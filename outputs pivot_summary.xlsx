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9833\Downloads\"/>
    </mc:Choice>
  </mc:AlternateContent>
  <xr:revisionPtr revIDLastSave="0" documentId="13_ncr:1_{76199AE0-8E7E-4AC5-99B4-FC6E83168722}" xr6:coauthVersionLast="47" xr6:coauthVersionMax="47" xr10:uidLastSave="{00000000-0000-0000-0000-000000000000}"/>
  <bookViews>
    <workbookView xWindow="-108" yWindow="-108" windowWidth="23256" windowHeight="13896" firstSheet="6" activeTab="7" xr2:uid="{79F3FD14-238E-45F7-8763-3C32756B45FB}"/>
  </bookViews>
  <sheets>
    <sheet name="Detail1" sheetId="3" r:id="rId1"/>
    <sheet name="Sales and profit by region" sheetId="2" r:id="rId2"/>
    <sheet name="Sheet1" sheetId="1" r:id="rId3"/>
    <sheet name="Sales and profit by category an" sheetId="4" r:id="rId4"/>
    <sheet name="Order count by ship mode" sheetId="5" r:id="rId5"/>
    <sheet name="Profit margin by customer segme" sheetId="7" r:id="rId6"/>
    <sheet name="Refunded cancelled failed order" sheetId="8" r:id="rId7"/>
    <sheet name="Monthly sales trend" sheetId="9" r:id="rId8"/>
  </sheets>
  <calcPr calcId="191029"/>
  <pivotCaches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933" i="1" l="1"/>
  <c r="AC933" i="1"/>
  <c r="AB933" i="1"/>
  <c r="Y933" i="1"/>
  <c r="AA933" i="1" s="1"/>
  <c r="X933" i="1"/>
  <c r="W933" i="1"/>
  <c r="V933" i="1"/>
  <c r="AE933" i="1" s="1"/>
  <c r="AD932" i="1"/>
  <c r="AC932" i="1"/>
  <c r="AB932" i="1"/>
  <c r="Y932" i="1"/>
  <c r="AA932" i="1" s="1"/>
  <c r="X932" i="1"/>
  <c r="W932" i="1"/>
  <c r="V932" i="1"/>
  <c r="AE932" i="1" s="1"/>
  <c r="AD931" i="1"/>
  <c r="AC931" i="1"/>
  <c r="AB931" i="1"/>
  <c r="AA931" i="1"/>
  <c r="Z931" i="1"/>
  <c r="Y931" i="1"/>
  <c r="X931" i="1"/>
  <c r="W931" i="1"/>
  <c r="V931" i="1"/>
  <c r="AE931" i="1" s="1"/>
  <c r="AD930" i="1"/>
  <c r="AC930" i="1"/>
  <c r="AB930" i="1"/>
  <c r="AA930" i="1"/>
  <c r="Z930" i="1"/>
  <c r="Y930" i="1"/>
  <c r="X930" i="1"/>
  <c r="W930" i="1"/>
  <c r="V930" i="1"/>
  <c r="AE930" i="1" s="1"/>
  <c r="AD929" i="1"/>
  <c r="AC929" i="1"/>
  <c r="AB929" i="1"/>
  <c r="AA929" i="1"/>
  <c r="Z929" i="1"/>
  <c r="Y929" i="1"/>
  <c r="X929" i="1"/>
  <c r="W929" i="1"/>
  <c r="V929" i="1"/>
  <c r="AE929" i="1" s="1"/>
  <c r="AD928" i="1"/>
  <c r="AC928" i="1"/>
  <c r="AB928" i="1"/>
  <c r="AA928" i="1"/>
  <c r="Z928" i="1"/>
  <c r="Y928" i="1"/>
  <c r="X928" i="1"/>
  <c r="W928" i="1"/>
  <c r="AE928" i="1" s="1"/>
  <c r="V928" i="1"/>
  <c r="AE927" i="1"/>
  <c r="AD927" i="1"/>
  <c r="AC927" i="1"/>
  <c r="AB927" i="1"/>
  <c r="Y927" i="1"/>
  <c r="AA927" i="1" s="1"/>
  <c r="X927" i="1"/>
  <c r="W927" i="1"/>
  <c r="V927" i="1"/>
  <c r="AE926" i="1"/>
  <c r="AD926" i="1"/>
  <c r="AC926" i="1"/>
  <c r="AB926" i="1"/>
  <c r="AA926" i="1"/>
  <c r="Y926" i="1"/>
  <c r="Z926" i="1" s="1"/>
  <c r="X926" i="1"/>
  <c r="W926" i="1"/>
  <c r="V926" i="1"/>
  <c r="AE925" i="1"/>
  <c r="AD925" i="1"/>
  <c r="AC925" i="1"/>
  <c r="AB925" i="1"/>
  <c r="Y925" i="1"/>
  <c r="AA925" i="1" s="1"/>
  <c r="X925" i="1"/>
  <c r="W925" i="1"/>
  <c r="V925" i="1"/>
  <c r="AE924" i="1"/>
  <c r="AD924" i="1"/>
  <c r="AC924" i="1"/>
  <c r="AB924" i="1"/>
  <c r="Y924" i="1"/>
  <c r="AA924" i="1" s="1"/>
  <c r="X924" i="1"/>
  <c r="W924" i="1"/>
  <c r="V924" i="1"/>
  <c r="AD923" i="1"/>
  <c r="AC923" i="1"/>
  <c r="AB923" i="1"/>
  <c r="Y923" i="1"/>
  <c r="AA923" i="1" s="1"/>
  <c r="X923" i="1"/>
  <c r="W923" i="1"/>
  <c r="AE923" i="1" s="1"/>
  <c r="V923" i="1"/>
  <c r="AD922" i="1"/>
  <c r="AC922" i="1"/>
  <c r="AB922" i="1"/>
  <c r="AA922" i="1"/>
  <c r="Y922" i="1"/>
  <c r="Z922" i="1" s="1"/>
  <c r="X922" i="1"/>
  <c r="W922" i="1"/>
  <c r="AE922" i="1" s="1"/>
  <c r="V922" i="1"/>
  <c r="AD921" i="1"/>
  <c r="AC921" i="1"/>
  <c r="AB921" i="1"/>
  <c r="AA921" i="1"/>
  <c r="Y921" i="1"/>
  <c r="Z921" i="1" s="1"/>
  <c r="X921" i="1"/>
  <c r="W921" i="1"/>
  <c r="AE921" i="1" s="1"/>
  <c r="V921" i="1"/>
  <c r="AD920" i="1"/>
  <c r="AC920" i="1"/>
  <c r="AB920" i="1"/>
  <c r="AA920" i="1"/>
  <c r="Y920" i="1"/>
  <c r="Z920" i="1" s="1"/>
  <c r="X920" i="1"/>
  <c r="W920" i="1"/>
  <c r="V920" i="1"/>
  <c r="AE920" i="1" s="1"/>
  <c r="AE919" i="1"/>
  <c r="AD919" i="1"/>
  <c r="AC919" i="1"/>
  <c r="AB919" i="1"/>
  <c r="AA919" i="1"/>
  <c r="Y919" i="1"/>
  <c r="Z919" i="1" s="1"/>
  <c r="X919" i="1"/>
  <c r="W919" i="1"/>
  <c r="V919" i="1"/>
  <c r="AE918" i="1"/>
  <c r="AD918" i="1"/>
  <c r="AC918" i="1"/>
  <c r="AB918" i="1"/>
  <c r="AA918" i="1"/>
  <c r="Z918" i="1"/>
  <c r="Y918" i="1"/>
  <c r="X918" i="1"/>
  <c r="W918" i="1"/>
  <c r="V918" i="1"/>
  <c r="AE917" i="1"/>
  <c r="AD917" i="1"/>
  <c r="AC917" i="1"/>
  <c r="AB917" i="1"/>
  <c r="Y917" i="1"/>
  <c r="AA917" i="1" s="1"/>
  <c r="X917" i="1"/>
  <c r="W917" i="1"/>
  <c r="V917" i="1"/>
  <c r="AE916" i="1"/>
  <c r="AD916" i="1"/>
  <c r="AC916" i="1"/>
  <c r="AB916" i="1"/>
  <c r="Y916" i="1"/>
  <c r="AA916" i="1" s="1"/>
  <c r="X916" i="1"/>
  <c r="W916" i="1"/>
  <c r="V916" i="1"/>
  <c r="AD915" i="1"/>
  <c r="AC915" i="1"/>
  <c r="AB915" i="1"/>
  <c r="Y915" i="1"/>
  <c r="AA915" i="1" s="1"/>
  <c r="X915" i="1"/>
  <c r="W915" i="1"/>
  <c r="V915" i="1"/>
  <c r="AE915" i="1" s="1"/>
  <c r="AD914" i="1"/>
  <c r="AC914" i="1"/>
  <c r="AB914" i="1"/>
  <c r="AA914" i="1"/>
  <c r="Y914" i="1"/>
  <c r="Z914" i="1" s="1"/>
  <c r="X914" i="1"/>
  <c r="W914" i="1"/>
  <c r="AE914" i="1" s="1"/>
  <c r="V914" i="1"/>
  <c r="AD913" i="1"/>
  <c r="AC913" i="1"/>
  <c r="AB913" i="1"/>
  <c r="Z913" i="1"/>
  <c r="AA913" i="1" s="1"/>
  <c r="Y913" i="1"/>
  <c r="X913" i="1"/>
  <c r="W913" i="1"/>
  <c r="AE913" i="1" s="1"/>
  <c r="V913" i="1"/>
  <c r="AD912" i="1"/>
  <c r="AC912" i="1"/>
  <c r="AB912" i="1"/>
  <c r="Y912" i="1"/>
  <c r="Z912" i="1" s="1"/>
  <c r="AA912" i="1" s="1"/>
  <c r="X912" i="1"/>
  <c r="W912" i="1"/>
  <c r="V912" i="1"/>
  <c r="AE912" i="1" s="1"/>
  <c r="AE911" i="1"/>
  <c r="AD911" i="1"/>
  <c r="AC911" i="1"/>
  <c r="AB911" i="1"/>
  <c r="Y911" i="1"/>
  <c r="Z911" i="1" s="1"/>
  <c r="AA911" i="1" s="1"/>
  <c r="X911" i="1"/>
  <c r="W911" i="1"/>
  <c r="V911" i="1"/>
  <c r="AE910" i="1"/>
  <c r="AD910" i="1"/>
  <c r="AC910" i="1"/>
  <c r="AB910" i="1"/>
  <c r="Y910" i="1"/>
  <c r="X910" i="1"/>
  <c r="W910" i="1"/>
  <c r="V910" i="1"/>
  <c r="AE909" i="1"/>
  <c r="AD909" i="1"/>
  <c r="AC909" i="1"/>
  <c r="AB909" i="1"/>
  <c r="Y909" i="1"/>
  <c r="X909" i="1"/>
  <c r="W909" i="1"/>
  <c r="V909" i="1"/>
  <c r="AE908" i="1"/>
  <c r="AD908" i="1"/>
  <c r="AC908" i="1"/>
  <c r="AB908" i="1"/>
  <c r="Y908" i="1"/>
  <c r="X908" i="1"/>
  <c r="W908" i="1"/>
  <c r="V908" i="1"/>
  <c r="AD907" i="1"/>
  <c r="AC907" i="1"/>
  <c r="AB907" i="1"/>
  <c r="Y907" i="1"/>
  <c r="X907" i="1"/>
  <c r="W907" i="1"/>
  <c r="V907" i="1"/>
  <c r="AE907" i="1" s="1"/>
  <c r="AD906" i="1"/>
  <c r="AC906" i="1"/>
  <c r="AB906" i="1"/>
  <c r="Y906" i="1"/>
  <c r="Z906" i="1" s="1"/>
  <c r="AA906" i="1" s="1"/>
  <c r="X906" i="1"/>
  <c r="W906" i="1"/>
  <c r="AE906" i="1" s="1"/>
  <c r="V906" i="1"/>
  <c r="AD905" i="1"/>
  <c r="AC905" i="1"/>
  <c r="AB905" i="1"/>
  <c r="Z905" i="1"/>
  <c r="AA905" i="1" s="1"/>
  <c r="Y905" i="1"/>
  <c r="X905" i="1"/>
  <c r="W905" i="1"/>
  <c r="AE905" i="1" s="1"/>
  <c r="V905" i="1"/>
  <c r="AD904" i="1"/>
  <c r="AC904" i="1"/>
  <c r="AB904" i="1"/>
  <c r="Y904" i="1"/>
  <c r="Z904" i="1" s="1"/>
  <c r="AA904" i="1" s="1"/>
  <c r="X904" i="1"/>
  <c r="W904" i="1"/>
  <c r="V904" i="1"/>
  <c r="AE904" i="1" s="1"/>
  <c r="AE903" i="1"/>
  <c r="AD903" i="1"/>
  <c r="AC903" i="1"/>
  <c r="AB903" i="1"/>
  <c r="Y903" i="1"/>
  <c r="Z903" i="1" s="1"/>
  <c r="AA903" i="1" s="1"/>
  <c r="X903" i="1"/>
  <c r="W903" i="1"/>
  <c r="V903" i="1"/>
  <c r="AE902" i="1"/>
  <c r="AD902" i="1"/>
  <c r="AC902" i="1"/>
  <c r="AB902" i="1"/>
  <c r="Z902" i="1"/>
  <c r="Y902" i="1"/>
  <c r="AA902" i="1" s="1"/>
  <c r="X902" i="1"/>
  <c r="W902" i="1"/>
  <c r="V902" i="1"/>
  <c r="AE901" i="1"/>
  <c r="AD901" i="1"/>
  <c r="AC901" i="1"/>
  <c r="AB901" i="1"/>
  <c r="Y901" i="1"/>
  <c r="X901" i="1"/>
  <c r="W901" i="1"/>
  <c r="V901" i="1"/>
  <c r="AE900" i="1"/>
  <c r="AD900" i="1"/>
  <c r="AC900" i="1"/>
  <c r="AB900" i="1"/>
  <c r="Y900" i="1"/>
  <c r="X900" i="1"/>
  <c r="W900" i="1"/>
  <c r="V900" i="1"/>
  <c r="AD899" i="1"/>
  <c r="AC899" i="1"/>
  <c r="AB899" i="1"/>
  <c r="Y899" i="1"/>
  <c r="X899" i="1"/>
  <c r="W899" i="1"/>
  <c r="V899" i="1"/>
  <c r="AE899" i="1" s="1"/>
  <c r="AD898" i="1"/>
  <c r="AC898" i="1"/>
  <c r="AB898" i="1"/>
  <c r="Y898" i="1"/>
  <c r="Z898" i="1" s="1"/>
  <c r="AA898" i="1" s="1"/>
  <c r="X898" i="1"/>
  <c r="W898" i="1"/>
  <c r="AE898" i="1" s="1"/>
  <c r="V898" i="1"/>
  <c r="AD897" i="1"/>
  <c r="AC897" i="1"/>
  <c r="AB897" i="1"/>
  <c r="Z897" i="1"/>
  <c r="AA897" i="1" s="1"/>
  <c r="Y897" i="1"/>
  <c r="X897" i="1"/>
  <c r="W897" i="1"/>
  <c r="V897" i="1"/>
  <c r="AE897" i="1" s="1"/>
  <c r="AD896" i="1"/>
  <c r="AC896" i="1"/>
  <c r="AB896" i="1"/>
  <c r="Y896" i="1"/>
  <c r="Z896" i="1" s="1"/>
  <c r="AA896" i="1" s="1"/>
  <c r="X896" i="1"/>
  <c r="W896" i="1"/>
  <c r="V896" i="1"/>
  <c r="AE896" i="1" s="1"/>
  <c r="AE895" i="1"/>
  <c r="AD895" i="1"/>
  <c r="AC895" i="1"/>
  <c r="AB895" i="1"/>
  <c r="Z895" i="1"/>
  <c r="AA895" i="1" s="1"/>
  <c r="Y895" i="1"/>
  <c r="X895" i="1"/>
  <c r="W895" i="1"/>
  <c r="V895" i="1"/>
  <c r="AE894" i="1"/>
  <c r="AD894" i="1"/>
  <c r="AC894" i="1"/>
  <c r="AB894" i="1"/>
  <c r="Z894" i="1"/>
  <c r="Y894" i="1"/>
  <c r="AA894" i="1" s="1"/>
  <c r="X894" i="1"/>
  <c r="W894" i="1"/>
  <c r="V894" i="1"/>
  <c r="AE893" i="1"/>
  <c r="AD893" i="1"/>
  <c r="AC893" i="1"/>
  <c r="AB893" i="1"/>
  <c r="Y893" i="1"/>
  <c r="X893" i="1"/>
  <c r="W893" i="1"/>
  <c r="V893" i="1"/>
  <c r="AE892" i="1"/>
  <c r="AD892" i="1"/>
  <c r="AC892" i="1"/>
  <c r="AB892" i="1"/>
  <c r="Y892" i="1"/>
  <c r="X892" i="1"/>
  <c r="W892" i="1"/>
  <c r="V892" i="1"/>
  <c r="AD891" i="1"/>
  <c r="AC891" i="1"/>
  <c r="AB891" i="1"/>
  <c r="Y891" i="1"/>
  <c r="X891" i="1"/>
  <c r="W891" i="1"/>
  <c r="V891" i="1"/>
  <c r="AE891" i="1" s="1"/>
  <c r="AD890" i="1"/>
  <c r="AC890" i="1"/>
  <c r="AB890" i="1"/>
  <c r="Y890" i="1"/>
  <c r="Z890" i="1" s="1"/>
  <c r="AA890" i="1" s="1"/>
  <c r="X890" i="1"/>
  <c r="W890" i="1"/>
  <c r="AE890" i="1" s="1"/>
  <c r="V890" i="1"/>
  <c r="AD889" i="1"/>
  <c r="AC889" i="1"/>
  <c r="AB889" i="1"/>
  <c r="Z889" i="1"/>
  <c r="AA889" i="1" s="1"/>
  <c r="Y889" i="1"/>
  <c r="X889" i="1"/>
  <c r="W889" i="1"/>
  <c r="V889" i="1"/>
  <c r="AE889" i="1" s="1"/>
  <c r="AD888" i="1"/>
  <c r="AC888" i="1"/>
  <c r="AB888" i="1"/>
  <c r="Y888" i="1"/>
  <c r="Z888" i="1" s="1"/>
  <c r="AA888" i="1" s="1"/>
  <c r="X888" i="1"/>
  <c r="W888" i="1"/>
  <c r="V888" i="1"/>
  <c r="AE888" i="1" s="1"/>
  <c r="AE887" i="1"/>
  <c r="AD887" i="1"/>
  <c r="AC887" i="1"/>
  <c r="AB887" i="1"/>
  <c r="Z887" i="1"/>
  <c r="AA887" i="1" s="1"/>
  <c r="Y887" i="1"/>
  <c r="X887" i="1"/>
  <c r="W887" i="1"/>
  <c r="V887" i="1"/>
  <c r="AE886" i="1"/>
  <c r="AD886" i="1"/>
  <c r="AC886" i="1"/>
  <c r="AB886" i="1"/>
  <c r="Z886" i="1"/>
  <c r="Y886" i="1"/>
  <c r="AA886" i="1" s="1"/>
  <c r="X886" i="1"/>
  <c r="W886" i="1"/>
  <c r="V886" i="1"/>
  <c r="AE885" i="1"/>
  <c r="AD885" i="1"/>
  <c r="AC885" i="1"/>
  <c r="AB885" i="1"/>
  <c r="Y885" i="1"/>
  <c r="X885" i="1"/>
  <c r="W885" i="1"/>
  <c r="V885" i="1"/>
  <c r="AE884" i="1"/>
  <c r="AD884" i="1"/>
  <c r="AC884" i="1"/>
  <c r="AB884" i="1"/>
  <c r="Z884" i="1"/>
  <c r="Y884" i="1"/>
  <c r="AA884" i="1" s="1"/>
  <c r="X884" i="1"/>
  <c r="W884" i="1"/>
  <c r="V884" i="1"/>
  <c r="AD883" i="1"/>
  <c r="AC883" i="1"/>
  <c r="AB883" i="1"/>
  <c r="Y883" i="1"/>
  <c r="X883" i="1"/>
  <c r="W883" i="1"/>
  <c r="V883" i="1"/>
  <c r="AE883" i="1" s="1"/>
  <c r="AD882" i="1"/>
  <c r="AC882" i="1"/>
  <c r="AB882" i="1"/>
  <c r="Z882" i="1"/>
  <c r="AA882" i="1" s="1"/>
  <c r="Y882" i="1"/>
  <c r="X882" i="1"/>
  <c r="W882" i="1"/>
  <c r="AE882" i="1" s="1"/>
  <c r="V882" i="1"/>
  <c r="AD881" i="1"/>
  <c r="AC881" i="1"/>
  <c r="AB881" i="1"/>
  <c r="Z881" i="1"/>
  <c r="AA881" i="1" s="1"/>
  <c r="Y881" i="1"/>
  <c r="X881" i="1"/>
  <c r="W881" i="1"/>
  <c r="V881" i="1"/>
  <c r="AE881" i="1" s="1"/>
  <c r="AD880" i="1"/>
  <c r="AC880" i="1"/>
  <c r="AB880" i="1"/>
  <c r="Y880" i="1"/>
  <c r="Z880" i="1" s="1"/>
  <c r="AA880" i="1" s="1"/>
  <c r="X880" i="1"/>
  <c r="W880" i="1"/>
  <c r="V880" i="1"/>
  <c r="AE880" i="1" s="1"/>
  <c r="AE879" i="1"/>
  <c r="AD879" i="1"/>
  <c r="AC879" i="1"/>
  <c r="AB879" i="1"/>
  <c r="Z879" i="1"/>
  <c r="AA879" i="1" s="1"/>
  <c r="Y879" i="1"/>
  <c r="X879" i="1"/>
  <c r="W879" i="1"/>
  <c r="V879" i="1"/>
  <c r="AE878" i="1"/>
  <c r="AD878" i="1"/>
  <c r="AC878" i="1"/>
  <c r="AB878" i="1"/>
  <c r="Z878" i="1"/>
  <c r="Y878" i="1"/>
  <c r="AA878" i="1" s="1"/>
  <c r="X878" i="1"/>
  <c r="W878" i="1"/>
  <c r="V878" i="1"/>
  <c r="AE877" i="1"/>
  <c r="AD877" i="1"/>
  <c r="AC877" i="1"/>
  <c r="AB877" i="1"/>
  <c r="Y877" i="1"/>
  <c r="X877" i="1"/>
  <c r="W877" i="1"/>
  <c r="V877" i="1"/>
  <c r="AE876" i="1"/>
  <c r="AD876" i="1"/>
  <c r="AC876" i="1"/>
  <c r="AB876" i="1"/>
  <c r="Z876" i="1"/>
  <c r="Y876" i="1"/>
  <c r="AA876" i="1" s="1"/>
  <c r="X876" i="1"/>
  <c r="W876" i="1"/>
  <c r="V876" i="1"/>
  <c r="AD875" i="1"/>
  <c r="AC875" i="1"/>
  <c r="AB875" i="1"/>
  <c r="Y875" i="1"/>
  <c r="X875" i="1"/>
  <c r="W875" i="1"/>
  <c r="V875" i="1"/>
  <c r="AE875" i="1" s="1"/>
  <c r="AD874" i="1"/>
  <c r="AC874" i="1"/>
  <c r="AB874" i="1"/>
  <c r="Z874" i="1"/>
  <c r="AA874" i="1" s="1"/>
  <c r="Y874" i="1"/>
  <c r="X874" i="1"/>
  <c r="W874" i="1"/>
  <c r="AE874" i="1" s="1"/>
  <c r="V874" i="1"/>
  <c r="AD873" i="1"/>
  <c r="AC873" i="1"/>
  <c r="AB873" i="1"/>
  <c r="Z873" i="1"/>
  <c r="AA873" i="1" s="1"/>
  <c r="Y873" i="1"/>
  <c r="X873" i="1"/>
  <c r="W873" i="1"/>
  <c r="V873" i="1"/>
  <c r="AE873" i="1" s="1"/>
  <c r="AD872" i="1"/>
  <c r="AC872" i="1"/>
  <c r="AB872" i="1"/>
  <c r="Y872" i="1"/>
  <c r="Z872" i="1" s="1"/>
  <c r="AA872" i="1" s="1"/>
  <c r="X872" i="1"/>
  <c r="W872" i="1"/>
  <c r="V872" i="1"/>
  <c r="AE872" i="1" s="1"/>
  <c r="AE871" i="1"/>
  <c r="AD871" i="1"/>
  <c r="AC871" i="1"/>
  <c r="AB871" i="1"/>
  <c r="Z871" i="1"/>
  <c r="AA871" i="1" s="1"/>
  <c r="Y871" i="1"/>
  <c r="X871" i="1"/>
  <c r="W871" i="1"/>
  <c r="V871" i="1"/>
  <c r="AE870" i="1"/>
  <c r="AD870" i="1"/>
  <c r="AC870" i="1"/>
  <c r="AB870" i="1"/>
  <c r="Z870" i="1"/>
  <c r="Y870" i="1"/>
  <c r="AA870" i="1" s="1"/>
  <c r="X870" i="1"/>
  <c r="W870" i="1"/>
  <c r="V870" i="1"/>
  <c r="AD869" i="1"/>
  <c r="AC869" i="1"/>
  <c r="AB869" i="1"/>
  <c r="Y869" i="1"/>
  <c r="X869" i="1"/>
  <c r="W869" i="1"/>
  <c r="V869" i="1"/>
  <c r="AE869" i="1" s="1"/>
  <c r="AD868" i="1"/>
  <c r="AC868" i="1"/>
  <c r="AB868" i="1"/>
  <c r="Z868" i="1"/>
  <c r="Y868" i="1"/>
  <c r="AA868" i="1" s="1"/>
  <c r="X868" i="1"/>
  <c r="W868" i="1"/>
  <c r="V868" i="1"/>
  <c r="AE868" i="1" s="1"/>
  <c r="AD867" i="1"/>
  <c r="AC867" i="1"/>
  <c r="AB867" i="1"/>
  <c r="Y867" i="1"/>
  <c r="X867" i="1"/>
  <c r="W867" i="1"/>
  <c r="V867" i="1"/>
  <c r="AE867" i="1" s="1"/>
  <c r="AD866" i="1"/>
  <c r="AC866" i="1"/>
  <c r="AB866" i="1"/>
  <c r="Z866" i="1"/>
  <c r="AA866" i="1" s="1"/>
  <c r="Y866" i="1"/>
  <c r="X866" i="1"/>
  <c r="W866" i="1"/>
  <c r="V866" i="1"/>
  <c r="AE866" i="1" s="1"/>
  <c r="AD865" i="1"/>
  <c r="AC865" i="1"/>
  <c r="AB865" i="1"/>
  <c r="Z865" i="1"/>
  <c r="AA865" i="1" s="1"/>
  <c r="Y865" i="1"/>
  <c r="X865" i="1"/>
  <c r="W865" i="1"/>
  <c r="V865" i="1"/>
  <c r="AE865" i="1" s="1"/>
  <c r="AD864" i="1"/>
  <c r="AC864" i="1"/>
  <c r="AB864" i="1"/>
  <c r="AA864" i="1"/>
  <c r="Z864" i="1"/>
  <c r="Y864" i="1"/>
  <c r="X864" i="1"/>
  <c r="W864" i="1"/>
  <c r="V864" i="1"/>
  <c r="AE864" i="1" s="1"/>
  <c r="AE863" i="1"/>
  <c r="AD863" i="1"/>
  <c r="AC863" i="1"/>
  <c r="AB863" i="1"/>
  <c r="Z863" i="1"/>
  <c r="AA863" i="1" s="1"/>
  <c r="Y863" i="1"/>
  <c r="X863" i="1"/>
  <c r="W863" i="1"/>
  <c r="V863" i="1"/>
  <c r="AD862" i="1"/>
  <c r="AC862" i="1"/>
  <c r="AB862" i="1"/>
  <c r="Z862" i="1"/>
  <c r="Y862" i="1"/>
  <c r="AA862" i="1" s="1"/>
  <c r="X862" i="1"/>
  <c r="W862" i="1"/>
  <c r="V862" i="1"/>
  <c r="AE862" i="1" s="1"/>
  <c r="AD861" i="1"/>
  <c r="AC861" i="1"/>
  <c r="AB861" i="1"/>
  <c r="Y861" i="1"/>
  <c r="X861" i="1"/>
  <c r="W861" i="1"/>
  <c r="V861" i="1"/>
  <c r="AE861" i="1" s="1"/>
  <c r="AD860" i="1"/>
  <c r="AC860" i="1"/>
  <c r="AB860" i="1"/>
  <c r="Z860" i="1"/>
  <c r="Y860" i="1"/>
  <c r="AA860" i="1" s="1"/>
  <c r="X860" i="1"/>
  <c r="W860" i="1"/>
  <c r="V860" i="1"/>
  <c r="AE860" i="1" s="1"/>
  <c r="AD859" i="1"/>
  <c r="AC859" i="1"/>
  <c r="AB859" i="1"/>
  <c r="Y859" i="1"/>
  <c r="X859" i="1"/>
  <c r="W859" i="1"/>
  <c r="V859" i="1"/>
  <c r="AE859" i="1" s="1"/>
  <c r="AD858" i="1"/>
  <c r="AC858" i="1"/>
  <c r="AB858" i="1"/>
  <c r="Z858" i="1"/>
  <c r="AA858" i="1" s="1"/>
  <c r="Y858" i="1"/>
  <c r="X858" i="1"/>
  <c r="W858" i="1"/>
  <c r="V858" i="1"/>
  <c r="AE858" i="1" s="1"/>
  <c r="AD857" i="1"/>
  <c r="AC857" i="1"/>
  <c r="AB857" i="1"/>
  <c r="Z857" i="1"/>
  <c r="AA857" i="1" s="1"/>
  <c r="Y857" i="1"/>
  <c r="X857" i="1"/>
  <c r="W857" i="1"/>
  <c r="V857" i="1"/>
  <c r="AE857" i="1" s="1"/>
  <c r="AD856" i="1"/>
  <c r="AC856" i="1"/>
  <c r="AB856" i="1"/>
  <c r="AA856" i="1"/>
  <c r="Z856" i="1"/>
  <c r="Y856" i="1"/>
  <c r="X856" i="1"/>
  <c r="W856" i="1"/>
  <c r="V856" i="1"/>
  <c r="AE856" i="1" s="1"/>
  <c r="AE855" i="1"/>
  <c r="AD855" i="1"/>
  <c r="AC855" i="1"/>
  <c r="AB855" i="1"/>
  <c r="Z855" i="1"/>
  <c r="AA855" i="1" s="1"/>
  <c r="Y855" i="1"/>
  <c r="X855" i="1"/>
  <c r="W855" i="1"/>
  <c r="V855" i="1"/>
  <c r="AD854" i="1"/>
  <c r="AC854" i="1"/>
  <c r="AB854" i="1"/>
  <c r="Z854" i="1"/>
  <c r="Y854" i="1"/>
  <c r="AA854" i="1" s="1"/>
  <c r="X854" i="1"/>
  <c r="W854" i="1"/>
  <c r="V854" i="1"/>
  <c r="AE854" i="1" s="1"/>
  <c r="AD853" i="1"/>
  <c r="AC853" i="1"/>
  <c r="AB853" i="1"/>
  <c r="Y853" i="1"/>
  <c r="X853" i="1"/>
  <c r="W853" i="1"/>
  <c r="V853" i="1"/>
  <c r="AE853" i="1" s="1"/>
  <c r="AD852" i="1"/>
  <c r="AC852" i="1"/>
  <c r="AB852" i="1"/>
  <c r="Z852" i="1"/>
  <c r="Y852" i="1"/>
  <c r="AA852" i="1" s="1"/>
  <c r="X852" i="1"/>
  <c r="W852" i="1"/>
  <c r="V852" i="1"/>
  <c r="AE852" i="1" s="1"/>
  <c r="AD851" i="1"/>
  <c r="AC851" i="1"/>
  <c r="AB851" i="1"/>
  <c r="Y851" i="1"/>
  <c r="X851" i="1"/>
  <c r="W851" i="1"/>
  <c r="V851" i="1"/>
  <c r="AE851" i="1" s="1"/>
  <c r="AD850" i="1"/>
  <c r="AC850" i="1"/>
  <c r="AB850" i="1"/>
  <c r="Z850" i="1"/>
  <c r="AA850" i="1" s="1"/>
  <c r="Y850" i="1"/>
  <c r="X850" i="1"/>
  <c r="W850" i="1"/>
  <c r="V850" i="1"/>
  <c r="AE850" i="1" s="1"/>
  <c r="AD849" i="1"/>
  <c r="AC849" i="1"/>
  <c r="AB849" i="1"/>
  <c r="Z849" i="1"/>
  <c r="AA849" i="1" s="1"/>
  <c r="Y849" i="1"/>
  <c r="X849" i="1"/>
  <c r="W849" i="1"/>
  <c r="V849" i="1"/>
  <c r="AE849" i="1" s="1"/>
  <c r="AD848" i="1"/>
  <c r="AC848" i="1"/>
  <c r="AB848" i="1"/>
  <c r="AA848" i="1"/>
  <c r="Z848" i="1"/>
  <c r="Y848" i="1"/>
  <c r="X848" i="1"/>
  <c r="W848" i="1"/>
  <c r="V848" i="1"/>
  <c r="AE848" i="1" s="1"/>
  <c r="AE847" i="1"/>
  <c r="AD847" i="1"/>
  <c r="AC847" i="1"/>
  <c r="AB847" i="1"/>
  <c r="Z847" i="1"/>
  <c r="AA847" i="1" s="1"/>
  <c r="Y847" i="1"/>
  <c r="X847" i="1"/>
  <c r="W847" i="1"/>
  <c r="V847" i="1"/>
  <c r="AD846" i="1"/>
  <c r="AC846" i="1"/>
  <c r="AB846" i="1"/>
  <c r="Z846" i="1"/>
  <c r="Y846" i="1"/>
  <c r="AA846" i="1" s="1"/>
  <c r="X846" i="1"/>
  <c r="W846" i="1"/>
  <c r="V846" i="1"/>
  <c r="AE846" i="1" s="1"/>
  <c r="AD845" i="1"/>
  <c r="AC845" i="1"/>
  <c r="AB845" i="1"/>
  <c r="Y845" i="1"/>
  <c r="X845" i="1"/>
  <c r="W845" i="1"/>
  <c r="V845" i="1"/>
  <c r="AE845" i="1" s="1"/>
  <c r="AD844" i="1"/>
  <c r="AC844" i="1"/>
  <c r="AB844" i="1"/>
  <c r="Z844" i="1"/>
  <c r="Y844" i="1"/>
  <c r="AA844" i="1" s="1"/>
  <c r="X844" i="1"/>
  <c r="W844" i="1"/>
  <c r="V844" i="1"/>
  <c r="AE844" i="1" s="1"/>
  <c r="AD843" i="1"/>
  <c r="AC843" i="1"/>
  <c r="AB843" i="1"/>
  <c r="Z843" i="1"/>
  <c r="Y843" i="1"/>
  <c r="AA843" i="1" s="1"/>
  <c r="X843" i="1"/>
  <c r="W843" i="1"/>
  <c r="V843" i="1"/>
  <c r="AE843" i="1" s="1"/>
  <c r="AD842" i="1"/>
  <c r="AC842" i="1"/>
  <c r="AB842" i="1"/>
  <c r="Z842" i="1"/>
  <c r="AA842" i="1" s="1"/>
  <c r="Y842" i="1"/>
  <c r="X842" i="1"/>
  <c r="W842" i="1"/>
  <c r="V842" i="1"/>
  <c r="AE842" i="1" s="1"/>
  <c r="AD841" i="1"/>
  <c r="AC841" i="1"/>
  <c r="AB841" i="1"/>
  <c r="Z841" i="1"/>
  <c r="AA841" i="1" s="1"/>
  <c r="Y841" i="1"/>
  <c r="X841" i="1"/>
  <c r="W841" i="1"/>
  <c r="V841" i="1"/>
  <c r="AE841" i="1" s="1"/>
  <c r="AD840" i="1"/>
  <c r="AC840" i="1"/>
  <c r="AB840" i="1"/>
  <c r="AA840" i="1"/>
  <c r="Z840" i="1"/>
  <c r="Y840" i="1"/>
  <c r="X840" i="1"/>
  <c r="W840" i="1"/>
  <c r="V840" i="1"/>
  <c r="AE840" i="1" s="1"/>
  <c r="AE839" i="1"/>
  <c r="AD839" i="1"/>
  <c r="AC839" i="1"/>
  <c r="AB839" i="1"/>
  <c r="Z839" i="1"/>
  <c r="AA839" i="1" s="1"/>
  <c r="Y839" i="1"/>
  <c r="X839" i="1"/>
  <c r="W839" i="1"/>
  <c r="V839" i="1"/>
  <c r="AD838" i="1"/>
  <c r="AC838" i="1"/>
  <c r="AB838" i="1"/>
  <c r="Z838" i="1"/>
  <c r="Y838" i="1"/>
  <c r="X838" i="1"/>
  <c r="W838" i="1"/>
  <c r="V838" i="1"/>
  <c r="AE838" i="1" s="1"/>
  <c r="AD837" i="1"/>
  <c r="AC837" i="1"/>
  <c r="AB837" i="1"/>
  <c r="Y837" i="1"/>
  <c r="X837" i="1"/>
  <c r="W837" i="1"/>
  <c r="V837" i="1"/>
  <c r="AE837" i="1" s="1"/>
  <c r="AD836" i="1"/>
  <c r="AC836" i="1"/>
  <c r="AB836" i="1"/>
  <c r="Z836" i="1"/>
  <c r="Y836" i="1"/>
  <c r="AA836" i="1" s="1"/>
  <c r="X836" i="1"/>
  <c r="W836" i="1"/>
  <c r="V836" i="1"/>
  <c r="AE836" i="1" s="1"/>
  <c r="AD835" i="1"/>
  <c r="AC835" i="1"/>
  <c r="AB835" i="1"/>
  <c r="Z835" i="1"/>
  <c r="Y835" i="1"/>
  <c r="AA835" i="1" s="1"/>
  <c r="X835" i="1"/>
  <c r="W835" i="1"/>
  <c r="V835" i="1"/>
  <c r="AE835" i="1" s="1"/>
  <c r="AD834" i="1"/>
  <c r="AC834" i="1"/>
  <c r="AB834" i="1"/>
  <c r="Z834" i="1"/>
  <c r="AA834" i="1" s="1"/>
  <c r="Y834" i="1"/>
  <c r="X834" i="1"/>
  <c r="W834" i="1"/>
  <c r="V834" i="1"/>
  <c r="AE834" i="1" s="1"/>
  <c r="AD833" i="1"/>
  <c r="AC833" i="1"/>
  <c r="AB833" i="1"/>
  <c r="Z833" i="1"/>
  <c r="AA833" i="1" s="1"/>
  <c r="Y833" i="1"/>
  <c r="X833" i="1"/>
  <c r="W833" i="1"/>
  <c r="V833" i="1"/>
  <c r="AE833" i="1" s="1"/>
  <c r="AD832" i="1"/>
  <c r="AC832" i="1"/>
  <c r="AB832" i="1"/>
  <c r="AA832" i="1"/>
  <c r="Z832" i="1"/>
  <c r="Y832" i="1"/>
  <c r="X832" i="1"/>
  <c r="W832" i="1"/>
  <c r="V832" i="1"/>
  <c r="AE832" i="1" s="1"/>
  <c r="AE831" i="1"/>
  <c r="AD831" i="1"/>
  <c r="AC831" i="1"/>
  <c r="AB831" i="1"/>
  <c r="Z831" i="1"/>
  <c r="AA831" i="1" s="1"/>
  <c r="Y831" i="1"/>
  <c r="X831" i="1"/>
  <c r="W831" i="1"/>
  <c r="V831" i="1"/>
  <c r="AD830" i="1"/>
  <c r="AC830" i="1"/>
  <c r="AB830" i="1"/>
  <c r="Z830" i="1"/>
  <c r="Y830" i="1"/>
  <c r="X830" i="1"/>
  <c r="W830" i="1"/>
  <c r="V830" i="1"/>
  <c r="AE830" i="1" s="1"/>
  <c r="AD829" i="1"/>
  <c r="AC829" i="1"/>
  <c r="AB829" i="1"/>
  <c r="Y829" i="1"/>
  <c r="X829" i="1"/>
  <c r="W829" i="1"/>
  <c r="V829" i="1"/>
  <c r="AE829" i="1" s="1"/>
  <c r="AD828" i="1"/>
  <c r="AC828" i="1"/>
  <c r="AB828" i="1"/>
  <c r="Z828" i="1"/>
  <c r="Y828" i="1"/>
  <c r="AA828" i="1" s="1"/>
  <c r="X828" i="1"/>
  <c r="W828" i="1"/>
  <c r="V828" i="1"/>
  <c r="AE828" i="1" s="1"/>
  <c r="AD827" i="1"/>
  <c r="AC827" i="1"/>
  <c r="AB827" i="1"/>
  <c r="Z827" i="1"/>
  <c r="Y827" i="1"/>
  <c r="AA827" i="1" s="1"/>
  <c r="X827" i="1"/>
  <c r="W827" i="1"/>
  <c r="V827" i="1"/>
  <c r="AE827" i="1" s="1"/>
  <c r="AD826" i="1"/>
  <c r="AC826" i="1"/>
  <c r="AB826" i="1"/>
  <c r="Z826" i="1"/>
  <c r="AA826" i="1" s="1"/>
  <c r="Y826" i="1"/>
  <c r="X826" i="1"/>
  <c r="W826" i="1"/>
  <c r="V826" i="1"/>
  <c r="AE826" i="1" s="1"/>
  <c r="AD825" i="1"/>
  <c r="AC825" i="1"/>
  <c r="AB825" i="1"/>
  <c r="Z825" i="1"/>
  <c r="AA825" i="1" s="1"/>
  <c r="Y825" i="1"/>
  <c r="X825" i="1"/>
  <c r="W825" i="1"/>
  <c r="V825" i="1"/>
  <c r="AE825" i="1" s="1"/>
  <c r="AD824" i="1"/>
  <c r="AC824" i="1"/>
  <c r="AB824" i="1"/>
  <c r="Z824" i="1"/>
  <c r="AA824" i="1" s="1"/>
  <c r="Y824" i="1"/>
  <c r="X824" i="1"/>
  <c r="W824" i="1"/>
  <c r="V824" i="1"/>
  <c r="AE824" i="1" s="1"/>
  <c r="AE823" i="1"/>
  <c r="AD823" i="1"/>
  <c r="AC823" i="1"/>
  <c r="AB823" i="1"/>
  <c r="Z823" i="1"/>
  <c r="AA823" i="1" s="1"/>
  <c r="Y823" i="1"/>
  <c r="X823" i="1"/>
  <c r="W823" i="1"/>
  <c r="V823" i="1"/>
  <c r="AD822" i="1"/>
  <c r="AC822" i="1"/>
  <c r="AB822" i="1"/>
  <c r="Z822" i="1"/>
  <c r="Y822" i="1"/>
  <c r="AA822" i="1" s="1"/>
  <c r="X822" i="1"/>
  <c r="W822" i="1"/>
  <c r="V822" i="1"/>
  <c r="AE822" i="1" s="1"/>
  <c r="AD821" i="1"/>
  <c r="AC821" i="1"/>
  <c r="AB821" i="1"/>
  <c r="Y821" i="1"/>
  <c r="X821" i="1"/>
  <c r="W821" i="1"/>
  <c r="V821" i="1"/>
  <c r="AE821" i="1" s="1"/>
  <c r="AD820" i="1"/>
  <c r="AC820" i="1"/>
  <c r="AB820" i="1"/>
  <c r="Z820" i="1"/>
  <c r="Y820" i="1"/>
  <c r="X820" i="1"/>
  <c r="W820" i="1"/>
  <c r="V820" i="1"/>
  <c r="AE820" i="1" s="1"/>
  <c r="AD819" i="1"/>
  <c r="AC819" i="1"/>
  <c r="AB819" i="1"/>
  <c r="Z819" i="1"/>
  <c r="Y819" i="1"/>
  <c r="AA819" i="1" s="1"/>
  <c r="X819" i="1"/>
  <c r="W819" i="1"/>
  <c r="V819" i="1"/>
  <c r="AE819" i="1" s="1"/>
  <c r="AD818" i="1"/>
  <c r="AC818" i="1"/>
  <c r="AB818" i="1"/>
  <c r="Z818" i="1"/>
  <c r="AA818" i="1" s="1"/>
  <c r="Y818" i="1"/>
  <c r="X818" i="1"/>
  <c r="W818" i="1"/>
  <c r="V818" i="1"/>
  <c r="AE818" i="1" s="1"/>
  <c r="AD817" i="1"/>
  <c r="AC817" i="1"/>
  <c r="AB817" i="1"/>
  <c r="Z817" i="1"/>
  <c r="AA817" i="1" s="1"/>
  <c r="Y817" i="1"/>
  <c r="X817" i="1"/>
  <c r="W817" i="1"/>
  <c r="V817" i="1"/>
  <c r="AE817" i="1" s="1"/>
  <c r="AD816" i="1"/>
  <c r="AC816" i="1"/>
  <c r="AB816" i="1"/>
  <c r="Z816" i="1"/>
  <c r="AA816" i="1" s="1"/>
  <c r="Y816" i="1"/>
  <c r="X816" i="1"/>
  <c r="W816" i="1"/>
  <c r="V816" i="1"/>
  <c r="AE816" i="1" s="1"/>
  <c r="AE815" i="1"/>
  <c r="AD815" i="1"/>
  <c r="AC815" i="1"/>
  <c r="AB815" i="1"/>
  <c r="Z815" i="1"/>
  <c r="AA815" i="1" s="1"/>
  <c r="Y815" i="1"/>
  <c r="X815" i="1"/>
  <c r="W815" i="1"/>
  <c r="V815" i="1"/>
  <c r="AD814" i="1"/>
  <c r="AC814" i="1"/>
  <c r="AB814" i="1"/>
  <c r="Z814" i="1"/>
  <c r="Y814" i="1"/>
  <c r="AA814" i="1" s="1"/>
  <c r="X814" i="1"/>
  <c r="W814" i="1"/>
  <c r="V814" i="1"/>
  <c r="AE814" i="1" s="1"/>
  <c r="AD813" i="1"/>
  <c r="AC813" i="1"/>
  <c r="AB813" i="1"/>
  <c r="Z813" i="1"/>
  <c r="Y813" i="1"/>
  <c r="AA813" i="1" s="1"/>
  <c r="X813" i="1"/>
  <c r="W813" i="1"/>
  <c r="V813" i="1"/>
  <c r="AE813" i="1" s="1"/>
  <c r="AD812" i="1"/>
  <c r="AC812" i="1"/>
  <c r="AB812" i="1"/>
  <c r="Z812" i="1"/>
  <c r="Y812" i="1"/>
  <c r="AA812" i="1" s="1"/>
  <c r="X812" i="1"/>
  <c r="W812" i="1"/>
  <c r="V812" i="1"/>
  <c r="AE812" i="1" s="1"/>
  <c r="AD811" i="1"/>
  <c r="AC811" i="1"/>
  <c r="AB811" i="1"/>
  <c r="Z811" i="1"/>
  <c r="Y811" i="1"/>
  <c r="AA811" i="1" s="1"/>
  <c r="X811" i="1"/>
  <c r="W811" i="1"/>
  <c r="V811" i="1"/>
  <c r="AE811" i="1" s="1"/>
  <c r="AD810" i="1"/>
  <c r="AC810" i="1"/>
  <c r="AB810" i="1"/>
  <c r="Z810" i="1"/>
  <c r="AA810" i="1" s="1"/>
  <c r="Y810" i="1"/>
  <c r="X810" i="1"/>
  <c r="W810" i="1"/>
  <c r="V810" i="1"/>
  <c r="AE810" i="1" s="1"/>
  <c r="AD809" i="1"/>
  <c r="AC809" i="1"/>
  <c r="AB809" i="1"/>
  <c r="Z809" i="1"/>
  <c r="AA809" i="1" s="1"/>
  <c r="Y809" i="1"/>
  <c r="X809" i="1"/>
  <c r="W809" i="1"/>
  <c r="V809" i="1"/>
  <c r="AE809" i="1" s="1"/>
  <c r="AD808" i="1"/>
  <c r="AC808" i="1"/>
  <c r="AB808" i="1"/>
  <c r="Z808" i="1"/>
  <c r="AA808" i="1" s="1"/>
  <c r="Y808" i="1"/>
  <c r="X808" i="1"/>
  <c r="W808" i="1"/>
  <c r="V808" i="1"/>
  <c r="AE808" i="1" s="1"/>
  <c r="AE807" i="1"/>
  <c r="AD807" i="1"/>
  <c r="AC807" i="1"/>
  <c r="AB807" i="1"/>
  <c r="Z807" i="1"/>
  <c r="AA807" i="1" s="1"/>
  <c r="Y807" i="1"/>
  <c r="X807" i="1"/>
  <c r="W807" i="1"/>
  <c r="V807" i="1"/>
  <c r="AD806" i="1"/>
  <c r="AC806" i="1"/>
  <c r="AB806" i="1"/>
  <c r="Z806" i="1"/>
  <c r="Y806" i="1"/>
  <c r="X806" i="1"/>
  <c r="W806" i="1"/>
  <c r="V806" i="1"/>
  <c r="AE806" i="1" s="1"/>
  <c r="AD805" i="1"/>
  <c r="AC805" i="1"/>
  <c r="AB805" i="1"/>
  <c r="Z805" i="1"/>
  <c r="Y805" i="1"/>
  <c r="AA805" i="1" s="1"/>
  <c r="X805" i="1"/>
  <c r="W805" i="1"/>
  <c r="V805" i="1"/>
  <c r="AE805" i="1" s="1"/>
  <c r="AD804" i="1"/>
  <c r="AC804" i="1"/>
  <c r="AB804" i="1"/>
  <c r="Z804" i="1"/>
  <c r="Y804" i="1"/>
  <c r="X804" i="1"/>
  <c r="W804" i="1"/>
  <c r="V804" i="1"/>
  <c r="AE804" i="1" s="1"/>
  <c r="AD803" i="1"/>
  <c r="AC803" i="1"/>
  <c r="AB803" i="1"/>
  <c r="Z803" i="1"/>
  <c r="Y803" i="1"/>
  <c r="AA803" i="1" s="1"/>
  <c r="X803" i="1"/>
  <c r="W803" i="1"/>
  <c r="V803" i="1"/>
  <c r="AE803" i="1" s="1"/>
  <c r="AD802" i="1"/>
  <c r="AC802" i="1"/>
  <c r="AB802" i="1"/>
  <c r="Z802" i="1"/>
  <c r="AA802" i="1" s="1"/>
  <c r="Y802" i="1"/>
  <c r="X802" i="1"/>
  <c r="W802" i="1"/>
  <c r="V802" i="1"/>
  <c r="AE802" i="1" s="1"/>
  <c r="AD801" i="1"/>
  <c r="AC801" i="1"/>
  <c r="AB801" i="1"/>
  <c r="Z801" i="1"/>
  <c r="AA801" i="1" s="1"/>
  <c r="Y801" i="1"/>
  <c r="X801" i="1"/>
  <c r="W801" i="1"/>
  <c r="V801" i="1"/>
  <c r="AE801" i="1" s="1"/>
  <c r="AD800" i="1"/>
  <c r="AC800" i="1"/>
  <c r="AB800" i="1"/>
  <c r="Z800" i="1"/>
  <c r="AA800" i="1" s="1"/>
  <c r="Y800" i="1"/>
  <c r="X800" i="1"/>
  <c r="W800" i="1"/>
  <c r="V800" i="1"/>
  <c r="AE800" i="1" s="1"/>
  <c r="AD799" i="1"/>
  <c r="AC799" i="1"/>
  <c r="AB799" i="1"/>
  <c r="Z799" i="1"/>
  <c r="AA799" i="1" s="1"/>
  <c r="Y799" i="1"/>
  <c r="X799" i="1"/>
  <c r="W799" i="1"/>
  <c r="V799" i="1"/>
  <c r="AE799" i="1" s="1"/>
  <c r="AD798" i="1"/>
  <c r="AC798" i="1"/>
  <c r="AB798" i="1"/>
  <c r="Z798" i="1"/>
  <c r="Y798" i="1"/>
  <c r="X798" i="1"/>
  <c r="W798" i="1"/>
  <c r="V798" i="1"/>
  <c r="AE798" i="1" s="1"/>
  <c r="AD797" i="1"/>
  <c r="AC797" i="1"/>
  <c r="AB797" i="1"/>
  <c r="Z797" i="1"/>
  <c r="Y797" i="1"/>
  <c r="AA797" i="1" s="1"/>
  <c r="X797" i="1"/>
  <c r="W797" i="1"/>
  <c r="V797" i="1"/>
  <c r="AE797" i="1" s="1"/>
  <c r="AD796" i="1"/>
  <c r="AC796" i="1"/>
  <c r="AB796" i="1"/>
  <c r="Z796" i="1"/>
  <c r="Y796" i="1"/>
  <c r="X796" i="1"/>
  <c r="W796" i="1"/>
  <c r="V796" i="1"/>
  <c r="AE796" i="1" s="1"/>
  <c r="AD795" i="1"/>
  <c r="AC795" i="1"/>
  <c r="AB795" i="1"/>
  <c r="Z795" i="1"/>
  <c r="Y795" i="1"/>
  <c r="AA795" i="1" s="1"/>
  <c r="X795" i="1"/>
  <c r="W795" i="1"/>
  <c r="V795" i="1"/>
  <c r="AE795" i="1" s="1"/>
  <c r="AD794" i="1"/>
  <c r="AC794" i="1"/>
  <c r="AB794" i="1"/>
  <c r="Z794" i="1"/>
  <c r="AA794" i="1" s="1"/>
  <c r="Y794" i="1"/>
  <c r="X794" i="1"/>
  <c r="W794" i="1"/>
  <c r="V794" i="1"/>
  <c r="AE794" i="1" s="1"/>
  <c r="AD793" i="1"/>
  <c r="AC793" i="1"/>
  <c r="AB793" i="1"/>
  <c r="Z793" i="1"/>
  <c r="AA793" i="1" s="1"/>
  <c r="Y793" i="1"/>
  <c r="X793" i="1"/>
  <c r="W793" i="1"/>
  <c r="V793" i="1"/>
  <c r="AE793" i="1" s="1"/>
  <c r="AD792" i="1"/>
  <c r="AC792" i="1"/>
  <c r="AB792" i="1"/>
  <c r="Z792" i="1"/>
  <c r="AA792" i="1" s="1"/>
  <c r="Y792" i="1"/>
  <c r="X792" i="1"/>
  <c r="W792" i="1"/>
  <c r="V792" i="1"/>
  <c r="AE792" i="1" s="1"/>
  <c r="AD791" i="1"/>
  <c r="AC791" i="1"/>
  <c r="AB791" i="1"/>
  <c r="Z791" i="1"/>
  <c r="AA791" i="1" s="1"/>
  <c r="Y791" i="1"/>
  <c r="X791" i="1"/>
  <c r="W791" i="1"/>
  <c r="V791" i="1"/>
  <c r="AE791" i="1" s="1"/>
  <c r="AD790" i="1"/>
  <c r="AC790" i="1"/>
  <c r="AB790" i="1"/>
  <c r="Z790" i="1"/>
  <c r="Y790" i="1"/>
  <c r="X790" i="1"/>
  <c r="W790" i="1"/>
  <c r="V790" i="1"/>
  <c r="AE790" i="1" s="1"/>
  <c r="AD789" i="1"/>
  <c r="AC789" i="1"/>
  <c r="AB789" i="1"/>
  <c r="Z789" i="1"/>
  <c r="Y789" i="1"/>
  <c r="AA789" i="1" s="1"/>
  <c r="X789" i="1"/>
  <c r="W789" i="1"/>
  <c r="V789" i="1"/>
  <c r="AE789" i="1" s="1"/>
  <c r="AD788" i="1"/>
  <c r="AC788" i="1"/>
  <c r="AB788" i="1"/>
  <c r="Z788" i="1"/>
  <c r="Y788" i="1"/>
  <c r="X788" i="1"/>
  <c r="W788" i="1"/>
  <c r="V788" i="1"/>
  <c r="AE788" i="1" s="1"/>
  <c r="AD787" i="1"/>
  <c r="AC787" i="1"/>
  <c r="AB787" i="1"/>
  <c r="Z787" i="1"/>
  <c r="Y787" i="1"/>
  <c r="AA787" i="1" s="1"/>
  <c r="X787" i="1"/>
  <c r="W787" i="1"/>
  <c r="V787" i="1"/>
  <c r="AE787" i="1" s="1"/>
  <c r="AD786" i="1"/>
  <c r="AC786" i="1"/>
  <c r="AB786" i="1"/>
  <c r="Z786" i="1"/>
  <c r="AA786" i="1" s="1"/>
  <c r="Y786" i="1"/>
  <c r="X786" i="1"/>
  <c r="W786" i="1"/>
  <c r="V786" i="1"/>
  <c r="AE786" i="1" s="1"/>
  <c r="AD785" i="1"/>
  <c r="AC785" i="1"/>
  <c r="AB785" i="1"/>
  <c r="Z785" i="1"/>
  <c r="AA785" i="1" s="1"/>
  <c r="Y785" i="1"/>
  <c r="X785" i="1"/>
  <c r="W785" i="1"/>
  <c r="V785" i="1"/>
  <c r="AE785" i="1" s="1"/>
  <c r="AD784" i="1"/>
  <c r="AC784" i="1"/>
  <c r="AB784" i="1"/>
  <c r="Z784" i="1"/>
  <c r="AA784" i="1" s="1"/>
  <c r="Y784" i="1"/>
  <c r="X784" i="1"/>
  <c r="W784" i="1"/>
  <c r="V784" i="1"/>
  <c r="AE784" i="1" s="1"/>
  <c r="AD783" i="1"/>
  <c r="AC783" i="1"/>
  <c r="AB783" i="1"/>
  <c r="Z783" i="1"/>
  <c r="AA783" i="1" s="1"/>
  <c r="Y783" i="1"/>
  <c r="X783" i="1"/>
  <c r="W783" i="1"/>
  <c r="V783" i="1"/>
  <c r="AE783" i="1" s="1"/>
  <c r="AD782" i="1"/>
  <c r="AC782" i="1"/>
  <c r="AB782" i="1"/>
  <c r="Z782" i="1"/>
  <c r="Y782" i="1"/>
  <c r="X782" i="1"/>
  <c r="W782" i="1"/>
  <c r="V782" i="1"/>
  <c r="AE782" i="1" s="1"/>
  <c r="AD781" i="1"/>
  <c r="AC781" i="1"/>
  <c r="AB781" i="1"/>
  <c r="Z781" i="1"/>
  <c r="Y781" i="1"/>
  <c r="AA781" i="1" s="1"/>
  <c r="X781" i="1"/>
  <c r="W781" i="1"/>
  <c r="V781" i="1"/>
  <c r="AE781" i="1" s="1"/>
  <c r="AD780" i="1"/>
  <c r="AC780" i="1"/>
  <c r="AB780" i="1"/>
  <c r="Z780" i="1"/>
  <c r="Y780" i="1"/>
  <c r="X780" i="1"/>
  <c r="W780" i="1"/>
  <c r="V780" i="1"/>
  <c r="AE780" i="1" s="1"/>
  <c r="AD779" i="1"/>
  <c r="AC779" i="1"/>
  <c r="AB779" i="1"/>
  <c r="Z779" i="1"/>
  <c r="Y779" i="1"/>
  <c r="X779" i="1"/>
  <c r="W779" i="1"/>
  <c r="V779" i="1"/>
  <c r="AE779" i="1" s="1"/>
  <c r="AD778" i="1"/>
  <c r="AC778" i="1"/>
  <c r="AB778" i="1"/>
  <c r="Z778" i="1"/>
  <c r="AA778" i="1" s="1"/>
  <c r="Y778" i="1"/>
  <c r="X778" i="1"/>
  <c r="W778" i="1"/>
  <c r="V778" i="1"/>
  <c r="AE778" i="1" s="1"/>
  <c r="AD777" i="1"/>
  <c r="AC777" i="1"/>
  <c r="AB777" i="1"/>
  <c r="Z777" i="1"/>
  <c r="AA777" i="1" s="1"/>
  <c r="Y777" i="1"/>
  <c r="X777" i="1"/>
  <c r="W777" i="1"/>
  <c r="V777" i="1"/>
  <c r="AE777" i="1" s="1"/>
  <c r="AD776" i="1"/>
  <c r="AC776" i="1"/>
  <c r="AB776" i="1"/>
  <c r="Z776" i="1"/>
  <c r="AA776" i="1" s="1"/>
  <c r="Y776" i="1"/>
  <c r="X776" i="1"/>
  <c r="W776" i="1"/>
  <c r="V776" i="1"/>
  <c r="AE776" i="1" s="1"/>
  <c r="AD775" i="1"/>
  <c r="AC775" i="1"/>
  <c r="AB775" i="1"/>
  <c r="Z775" i="1"/>
  <c r="AA775" i="1" s="1"/>
  <c r="Y775" i="1"/>
  <c r="X775" i="1"/>
  <c r="W775" i="1"/>
  <c r="V775" i="1"/>
  <c r="AE775" i="1" s="1"/>
  <c r="AD774" i="1"/>
  <c r="AC774" i="1"/>
  <c r="AB774" i="1"/>
  <c r="Z774" i="1"/>
  <c r="Y774" i="1"/>
  <c r="X774" i="1"/>
  <c r="W774" i="1"/>
  <c r="V774" i="1"/>
  <c r="AE774" i="1" s="1"/>
  <c r="AD773" i="1"/>
  <c r="AC773" i="1"/>
  <c r="AB773" i="1"/>
  <c r="Z773" i="1"/>
  <c r="Y773" i="1"/>
  <c r="AA773" i="1" s="1"/>
  <c r="X773" i="1"/>
  <c r="W773" i="1"/>
  <c r="V773" i="1"/>
  <c r="AE773" i="1" s="1"/>
  <c r="AD772" i="1"/>
  <c r="AC772" i="1"/>
  <c r="AB772" i="1"/>
  <c r="Z772" i="1"/>
  <c r="Y772" i="1"/>
  <c r="X772" i="1"/>
  <c r="W772" i="1"/>
  <c r="V772" i="1"/>
  <c r="AE772" i="1" s="1"/>
  <c r="AD771" i="1"/>
  <c r="AC771" i="1"/>
  <c r="AB771" i="1"/>
  <c r="Z771" i="1"/>
  <c r="Y771" i="1"/>
  <c r="X771" i="1"/>
  <c r="W771" i="1"/>
  <c r="V771" i="1"/>
  <c r="AE771" i="1" s="1"/>
  <c r="AD770" i="1"/>
  <c r="AC770" i="1"/>
  <c r="AB770" i="1"/>
  <c r="Z770" i="1"/>
  <c r="AA770" i="1" s="1"/>
  <c r="Y770" i="1"/>
  <c r="X770" i="1"/>
  <c r="W770" i="1"/>
  <c r="V770" i="1"/>
  <c r="AE770" i="1" s="1"/>
  <c r="AD769" i="1"/>
  <c r="AC769" i="1"/>
  <c r="AB769" i="1"/>
  <c r="Z769" i="1"/>
  <c r="AA769" i="1" s="1"/>
  <c r="Y769" i="1"/>
  <c r="X769" i="1"/>
  <c r="W769" i="1"/>
  <c r="V769" i="1"/>
  <c r="AE769" i="1" s="1"/>
  <c r="AD768" i="1"/>
  <c r="AC768" i="1"/>
  <c r="AB768" i="1"/>
  <c r="Z768" i="1"/>
  <c r="AA768" i="1" s="1"/>
  <c r="Y768" i="1"/>
  <c r="X768" i="1"/>
  <c r="W768" i="1"/>
  <c r="V768" i="1"/>
  <c r="AE768" i="1" s="1"/>
  <c r="AD767" i="1"/>
  <c r="AC767" i="1"/>
  <c r="AB767" i="1"/>
  <c r="Z767" i="1"/>
  <c r="AA767" i="1" s="1"/>
  <c r="Y767" i="1"/>
  <c r="X767" i="1"/>
  <c r="W767" i="1"/>
  <c r="V767" i="1"/>
  <c r="AE767" i="1" s="1"/>
  <c r="AD766" i="1"/>
  <c r="AC766" i="1"/>
  <c r="AB766" i="1"/>
  <c r="Z766" i="1"/>
  <c r="Y766" i="1"/>
  <c r="X766" i="1"/>
  <c r="W766" i="1"/>
  <c r="V766" i="1"/>
  <c r="AE766" i="1" s="1"/>
  <c r="AD765" i="1"/>
  <c r="AC765" i="1"/>
  <c r="AB765" i="1"/>
  <c r="Z765" i="1"/>
  <c r="Y765" i="1"/>
  <c r="X765" i="1"/>
  <c r="W765" i="1"/>
  <c r="V765" i="1"/>
  <c r="AE765" i="1" s="1"/>
  <c r="AD764" i="1"/>
  <c r="AC764" i="1"/>
  <c r="AB764" i="1"/>
  <c r="Z764" i="1"/>
  <c r="Y764" i="1"/>
  <c r="X764" i="1"/>
  <c r="W764" i="1"/>
  <c r="V764" i="1"/>
  <c r="AE764" i="1" s="1"/>
  <c r="AD763" i="1"/>
  <c r="AC763" i="1"/>
  <c r="AB763" i="1"/>
  <c r="Z763" i="1"/>
  <c r="Y763" i="1"/>
  <c r="X763" i="1"/>
  <c r="W763" i="1"/>
  <c r="V763" i="1"/>
  <c r="AE763" i="1" s="1"/>
  <c r="AD762" i="1"/>
  <c r="AC762" i="1"/>
  <c r="AB762" i="1"/>
  <c r="Z762" i="1"/>
  <c r="AA762" i="1" s="1"/>
  <c r="Y762" i="1"/>
  <c r="X762" i="1"/>
  <c r="W762" i="1"/>
  <c r="V762" i="1"/>
  <c r="AE762" i="1" s="1"/>
  <c r="AD761" i="1"/>
  <c r="AC761" i="1"/>
  <c r="AB761" i="1"/>
  <c r="Z761" i="1"/>
  <c r="AA761" i="1" s="1"/>
  <c r="Y761" i="1"/>
  <c r="X761" i="1"/>
  <c r="W761" i="1"/>
  <c r="V761" i="1"/>
  <c r="AE761" i="1" s="1"/>
  <c r="AD760" i="1"/>
  <c r="AC760" i="1"/>
  <c r="AB760" i="1"/>
  <c r="Z760" i="1"/>
  <c r="AA760" i="1" s="1"/>
  <c r="Y760" i="1"/>
  <c r="X760" i="1"/>
  <c r="W760" i="1"/>
  <c r="V760" i="1"/>
  <c r="AE760" i="1" s="1"/>
  <c r="AD759" i="1"/>
  <c r="AC759" i="1"/>
  <c r="AB759" i="1"/>
  <c r="Z759" i="1"/>
  <c r="AA759" i="1" s="1"/>
  <c r="Y759" i="1"/>
  <c r="X759" i="1"/>
  <c r="W759" i="1"/>
  <c r="V759" i="1"/>
  <c r="AE759" i="1" s="1"/>
  <c r="AD758" i="1"/>
  <c r="AC758" i="1"/>
  <c r="AB758" i="1"/>
  <c r="Z758" i="1"/>
  <c r="Y758" i="1"/>
  <c r="X758" i="1"/>
  <c r="W758" i="1"/>
  <c r="V758" i="1"/>
  <c r="AE758" i="1" s="1"/>
  <c r="AD757" i="1"/>
  <c r="AC757" i="1"/>
  <c r="AB757" i="1"/>
  <c r="Z757" i="1"/>
  <c r="Y757" i="1"/>
  <c r="X757" i="1"/>
  <c r="W757" i="1"/>
  <c r="V757" i="1"/>
  <c r="AE757" i="1" s="1"/>
  <c r="AD756" i="1"/>
  <c r="AC756" i="1"/>
  <c r="AB756" i="1"/>
  <c r="Z756" i="1"/>
  <c r="Y756" i="1"/>
  <c r="X756" i="1"/>
  <c r="W756" i="1"/>
  <c r="V756" i="1"/>
  <c r="AE756" i="1" s="1"/>
  <c r="AD755" i="1"/>
  <c r="AC755" i="1"/>
  <c r="AB755" i="1"/>
  <c r="Z755" i="1"/>
  <c r="Y755" i="1"/>
  <c r="X755" i="1"/>
  <c r="W755" i="1"/>
  <c r="V755" i="1"/>
  <c r="AE755" i="1" s="1"/>
  <c r="AD754" i="1"/>
  <c r="AC754" i="1"/>
  <c r="AB754" i="1"/>
  <c r="Z754" i="1"/>
  <c r="AA754" i="1" s="1"/>
  <c r="Y754" i="1"/>
  <c r="X754" i="1"/>
  <c r="W754" i="1"/>
  <c r="V754" i="1"/>
  <c r="AE754" i="1" s="1"/>
  <c r="AD753" i="1"/>
  <c r="AC753" i="1"/>
  <c r="AB753" i="1"/>
  <c r="Z753" i="1"/>
  <c r="AA753" i="1" s="1"/>
  <c r="Y753" i="1"/>
  <c r="X753" i="1"/>
  <c r="W753" i="1"/>
  <c r="V753" i="1"/>
  <c r="AE753" i="1" s="1"/>
  <c r="AD752" i="1"/>
  <c r="AC752" i="1"/>
  <c r="AB752" i="1"/>
  <c r="Z752" i="1"/>
  <c r="AA752" i="1" s="1"/>
  <c r="Y752" i="1"/>
  <c r="X752" i="1"/>
  <c r="W752" i="1"/>
  <c r="V752" i="1"/>
  <c r="AE752" i="1" s="1"/>
  <c r="AD751" i="1"/>
  <c r="AC751" i="1"/>
  <c r="AB751" i="1"/>
  <c r="Z751" i="1"/>
  <c r="AA751" i="1" s="1"/>
  <c r="Y751" i="1"/>
  <c r="X751" i="1"/>
  <c r="W751" i="1"/>
  <c r="V751" i="1"/>
  <c r="AE751" i="1" s="1"/>
  <c r="AD750" i="1"/>
  <c r="AC750" i="1"/>
  <c r="AB750" i="1"/>
  <c r="Z750" i="1"/>
  <c r="Y750" i="1"/>
  <c r="X750" i="1"/>
  <c r="W750" i="1"/>
  <c r="V750" i="1"/>
  <c r="AE750" i="1" s="1"/>
  <c r="AD749" i="1"/>
  <c r="AC749" i="1"/>
  <c r="AB749" i="1"/>
  <c r="Z749" i="1"/>
  <c r="Y749" i="1"/>
  <c r="X749" i="1"/>
  <c r="W749" i="1"/>
  <c r="V749" i="1"/>
  <c r="AE749" i="1" s="1"/>
  <c r="AD748" i="1"/>
  <c r="AC748" i="1"/>
  <c r="AB748" i="1"/>
  <c r="Z748" i="1"/>
  <c r="Y748" i="1"/>
  <c r="X748" i="1"/>
  <c r="W748" i="1"/>
  <c r="V748" i="1"/>
  <c r="AE748" i="1" s="1"/>
  <c r="AD747" i="1"/>
  <c r="AC747" i="1"/>
  <c r="AB747" i="1"/>
  <c r="Z747" i="1"/>
  <c r="Y747" i="1"/>
  <c r="X747" i="1"/>
  <c r="W747" i="1"/>
  <c r="V747" i="1"/>
  <c r="AE747" i="1" s="1"/>
  <c r="AD746" i="1"/>
  <c r="AC746" i="1"/>
  <c r="AB746" i="1"/>
  <c r="Z746" i="1"/>
  <c r="AA746" i="1" s="1"/>
  <c r="Y746" i="1"/>
  <c r="X746" i="1"/>
  <c r="W746" i="1"/>
  <c r="V746" i="1"/>
  <c r="AE746" i="1" s="1"/>
  <c r="AD745" i="1"/>
  <c r="AC745" i="1"/>
  <c r="AB745" i="1"/>
  <c r="Z745" i="1"/>
  <c r="AA745" i="1" s="1"/>
  <c r="Y745" i="1"/>
  <c r="X745" i="1"/>
  <c r="W745" i="1"/>
  <c r="V745" i="1"/>
  <c r="AE745" i="1" s="1"/>
  <c r="AD744" i="1"/>
  <c r="AC744" i="1"/>
  <c r="AB744" i="1"/>
  <c r="Z744" i="1"/>
  <c r="AA744" i="1" s="1"/>
  <c r="Y744" i="1"/>
  <c r="X744" i="1"/>
  <c r="W744" i="1"/>
  <c r="V744" i="1"/>
  <c r="AE744" i="1" s="1"/>
  <c r="AD743" i="1"/>
  <c r="AC743" i="1"/>
  <c r="AB743" i="1"/>
  <c r="Z743" i="1"/>
  <c r="AA743" i="1" s="1"/>
  <c r="Y743" i="1"/>
  <c r="X743" i="1"/>
  <c r="W743" i="1"/>
  <c r="V743" i="1"/>
  <c r="AE743" i="1" s="1"/>
  <c r="AD742" i="1"/>
  <c r="AC742" i="1"/>
  <c r="AB742" i="1"/>
  <c r="Z742" i="1"/>
  <c r="Y742" i="1"/>
  <c r="X742" i="1"/>
  <c r="W742" i="1"/>
  <c r="V742" i="1"/>
  <c r="AE742" i="1" s="1"/>
  <c r="AD741" i="1"/>
  <c r="AC741" i="1"/>
  <c r="AB741" i="1"/>
  <c r="Z741" i="1"/>
  <c r="Y741" i="1"/>
  <c r="X741" i="1"/>
  <c r="W741" i="1"/>
  <c r="V741" i="1"/>
  <c r="AE741" i="1" s="1"/>
  <c r="AD740" i="1"/>
  <c r="AC740" i="1"/>
  <c r="AB740" i="1"/>
  <c r="Z740" i="1"/>
  <c r="Y740" i="1"/>
  <c r="X740" i="1"/>
  <c r="W740" i="1"/>
  <c r="V740" i="1"/>
  <c r="AE740" i="1" s="1"/>
  <c r="AD739" i="1"/>
  <c r="AC739" i="1"/>
  <c r="AB739" i="1"/>
  <c r="Z739" i="1"/>
  <c r="Y739" i="1"/>
  <c r="X739" i="1"/>
  <c r="W739" i="1"/>
  <c r="V739" i="1"/>
  <c r="AE739" i="1" s="1"/>
  <c r="AD738" i="1"/>
  <c r="AC738" i="1"/>
  <c r="AB738" i="1"/>
  <c r="Z738" i="1"/>
  <c r="AA738" i="1" s="1"/>
  <c r="Y738" i="1"/>
  <c r="X738" i="1"/>
  <c r="W738" i="1"/>
  <c r="V738" i="1"/>
  <c r="AE738" i="1" s="1"/>
  <c r="AD737" i="1"/>
  <c r="AC737" i="1"/>
  <c r="AB737" i="1"/>
  <c r="Z737" i="1"/>
  <c r="AA737" i="1" s="1"/>
  <c r="Y737" i="1"/>
  <c r="X737" i="1"/>
  <c r="W737" i="1"/>
  <c r="V737" i="1"/>
  <c r="AE737" i="1" s="1"/>
  <c r="AD736" i="1"/>
  <c r="AC736" i="1"/>
  <c r="AB736" i="1"/>
  <c r="Z736" i="1"/>
  <c r="AA736" i="1" s="1"/>
  <c r="Y736" i="1"/>
  <c r="X736" i="1"/>
  <c r="W736" i="1"/>
  <c r="V736" i="1"/>
  <c r="AE736" i="1" s="1"/>
  <c r="AD735" i="1"/>
  <c r="AC735" i="1"/>
  <c r="AB735" i="1"/>
  <c r="Z735" i="1"/>
  <c r="AA735" i="1" s="1"/>
  <c r="Y735" i="1"/>
  <c r="X735" i="1"/>
  <c r="W735" i="1"/>
  <c r="V735" i="1"/>
  <c r="AE735" i="1" s="1"/>
  <c r="AD734" i="1"/>
  <c r="AC734" i="1"/>
  <c r="AB734" i="1"/>
  <c r="Z734" i="1"/>
  <c r="Y734" i="1"/>
  <c r="X734" i="1"/>
  <c r="W734" i="1"/>
  <c r="V734" i="1"/>
  <c r="AE734" i="1" s="1"/>
  <c r="AD733" i="1"/>
  <c r="AC733" i="1"/>
  <c r="AB733" i="1"/>
  <c r="Z733" i="1"/>
  <c r="Y733" i="1"/>
  <c r="X733" i="1"/>
  <c r="W733" i="1"/>
  <c r="V733" i="1"/>
  <c r="AE733" i="1" s="1"/>
  <c r="AD732" i="1"/>
  <c r="AC732" i="1"/>
  <c r="AB732" i="1"/>
  <c r="Z732" i="1"/>
  <c r="Y732" i="1"/>
  <c r="X732" i="1"/>
  <c r="W732" i="1"/>
  <c r="V732" i="1"/>
  <c r="AE732" i="1" s="1"/>
  <c r="AD731" i="1"/>
  <c r="AC731" i="1"/>
  <c r="AB731" i="1"/>
  <c r="Z731" i="1"/>
  <c r="Y731" i="1"/>
  <c r="X731" i="1"/>
  <c r="W731" i="1"/>
  <c r="V731" i="1"/>
  <c r="AE731" i="1" s="1"/>
  <c r="AD730" i="1"/>
  <c r="AC730" i="1"/>
  <c r="AB730" i="1"/>
  <c r="Z730" i="1"/>
  <c r="AA730" i="1" s="1"/>
  <c r="Y730" i="1"/>
  <c r="X730" i="1"/>
  <c r="W730" i="1"/>
  <c r="V730" i="1"/>
  <c r="AE730" i="1" s="1"/>
  <c r="AD729" i="1"/>
  <c r="AC729" i="1"/>
  <c r="AB729" i="1"/>
  <c r="Z729" i="1"/>
  <c r="AA729" i="1" s="1"/>
  <c r="Y729" i="1"/>
  <c r="X729" i="1"/>
  <c r="W729" i="1"/>
  <c r="V729" i="1"/>
  <c r="AE729" i="1" s="1"/>
  <c r="AD728" i="1"/>
  <c r="AC728" i="1"/>
  <c r="AB728" i="1"/>
  <c r="Z728" i="1"/>
  <c r="AA728" i="1" s="1"/>
  <c r="Y728" i="1"/>
  <c r="X728" i="1"/>
  <c r="W728" i="1"/>
  <c r="V728" i="1"/>
  <c r="AE728" i="1" s="1"/>
  <c r="AD727" i="1"/>
  <c r="AC727" i="1"/>
  <c r="AB727" i="1"/>
  <c r="Z727" i="1"/>
  <c r="AA727" i="1" s="1"/>
  <c r="Y727" i="1"/>
  <c r="X727" i="1"/>
  <c r="W727" i="1"/>
  <c r="V727" i="1"/>
  <c r="AE727" i="1" s="1"/>
  <c r="AD726" i="1"/>
  <c r="AC726" i="1"/>
  <c r="AB726" i="1"/>
  <c r="Z726" i="1"/>
  <c r="Y726" i="1"/>
  <c r="X726" i="1"/>
  <c r="W726" i="1"/>
  <c r="V726" i="1"/>
  <c r="AE726" i="1" s="1"/>
  <c r="AD725" i="1"/>
  <c r="AC725" i="1"/>
  <c r="AB725" i="1"/>
  <c r="Z725" i="1"/>
  <c r="Y725" i="1"/>
  <c r="X725" i="1"/>
  <c r="W725" i="1"/>
  <c r="V725" i="1"/>
  <c r="AE725" i="1" s="1"/>
  <c r="AD724" i="1"/>
  <c r="AC724" i="1"/>
  <c r="AB724" i="1"/>
  <c r="Z724" i="1"/>
  <c r="Y724" i="1"/>
  <c r="X724" i="1"/>
  <c r="W724" i="1"/>
  <c r="V724" i="1"/>
  <c r="AE724" i="1" s="1"/>
  <c r="AD723" i="1"/>
  <c r="AC723" i="1"/>
  <c r="AB723" i="1"/>
  <c r="Z723" i="1"/>
  <c r="Y723" i="1"/>
  <c r="X723" i="1"/>
  <c r="W723" i="1"/>
  <c r="V723" i="1"/>
  <c r="AE723" i="1" s="1"/>
  <c r="AD722" i="1"/>
  <c r="AC722" i="1"/>
  <c r="AB722" i="1"/>
  <c r="Z722" i="1"/>
  <c r="AA722" i="1" s="1"/>
  <c r="Y722" i="1"/>
  <c r="X722" i="1"/>
  <c r="W722" i="1"/>
  <c r="V722" i="1"/>
  <c r="AE722" i="1" s="1"/>
  <c r="AD721" i="1"/>
  <c r="AC721" i="1"/>
  <c r="AB721" i="1"/>
  <c r="Z721" i="1"/>
  <c r="AA721" i="1" s="1"/>
  <c r="Y721" i="1"/>
  <c r="X721" i="1"/>
  <c r="W721" i="1"/>
  <c r="V721" i="1"/>
  <c r="AE721" i="1" s="1"/>
  <c r="AD720" i="1"/>
  <c r="AC720" i="1"/>
  <c r="AB720" i="1"/>
  <c r="Z720" i="1"/>
  <c r="AA720" i="1" s="1"/>
  <c r="Y720" i="1"/>
  <c r="X720" i="1"/>
  <c r="W720" i="1"/>
  <c r="V720" i="1"/>
  <c r="AE720" i="1" s="1"/>
  <c r="AD719" i="1"/>
  <c r="AC719" i="1"/>
  <c r="AB719" i="1"/>
  <c r="Z719" i="1"/>
  <c r="AA719" i="1" s="1"/>
  <c r="Y719" i="1"/>
  <c r="X719" i="1"/>
  <c r="W719" i="1"/>
  <c r="V719" i="1"/>
  <c r="AE719" i="1" s="1"/>
  <c r="AD718" i="1"/>
  <c r="AC718" i="1"/>
  <c r="AB718" i="1"/>
  <c r="Z718" i="1"/>
  <c r="Y718" i="1"/>
  <c r="X718" i="1"/>
  <c r="W718" i="1"/>
  <c r="V718" i="1"/>
  <c r="AE718" i="1" s="1"/>
  <c r="AD717" i="1"/>
  <c r="AC717" i="1"/>
  <c r="AB717" i="1"/>
  <c r="Z717" i="1"/>
  <c r="Y717" i="1"/>
  <c r="X717" i="1"/>
  <c r="W717" i="1"/>
  <c r="V717" i="1"/>
  <c r="AE717" i="1" s="1"/>
  <c r="AD716" i="1"/>
  <c r="AC716" i="1"/>
  <c r="AB716" i="1"/>
  <c r="Z716" i="1"/>
  <c r="Y716" i="1"/>
  <c r="X716" i="1"/>
  <c r="W716" i="1"/>
  <c r="V716" i="1"/>
  <c r="AE716" i="1" s="1"/>
  <c r="AD715" i="1"/>
  <c r="AC715" i="1"/>
  <c r="AB715" i="1"/>
  <c r="Z715" i="1"/>
  <c r="Y715" i="1"/>
  <c r="X715" i="1"/>
  <c r="W715" i="1"/>
  <c r="V715" i="1"/>
  <c r="AE715" i="1" s="1"/>
  <c r="AD714" i="1"/>
  <c r="AC714" i="1"/>
  <c r="AB714" i="1"/>
  <c r="Z714" i="1"/>
  <c r="AA714" i="1" s="1"/>
  <c r="Y714" i="1"/>
  <c r="X714" i="1"/>
  <c r="W714" i="1"/>
  <c r="V714" i="1"/>
  <c r="AE714" i="1" s="1"/>
  <c r="AD713" i="1"/>
  <c r="AC713" i="1"/>
  <c r="AB713" i="1"/>
  <c r="Z713" i="1"/>
  <c r="AA713" i="1" s="1"/>
  <c r="Y713" i="1"/>
  <c r="X713" i="1"/>
  <c r="W713" i="1"/>
  <c r="V713" i="1"/>
  <c r="AE713" i="1" s="1"/>
  <c r="AD712" i="1"/>
  <c r="AC712" i="1"/>
  <c r="AB712" i="1"/>
  <c r="Z712" i="1"/>
  <c r="AA712" i="1" s="1"/>
  <c r="Y712" i="1"/>
  <c r="X712" i="1"/>
  <c r="W712" i="1"/>
  <c r="V712" i="1"/>
  <c r="AE712" i="1" s="1"/>
  <c r="AD711" i="1"/>
  <c r="AC711" i="1"/>
  <c r="AB711" i="1"/>
  <c r="Z711" i="1"/>
  <c r="AA711" i="1" s="1"/>
  <c r="Y711" i="1"/>
  <c r="X711" i="1"/>
  <c r="W711" i="1"/>
  <c r="V711" i="1"/>
  <c r="AE711" i="1" s="1"/>
  <c r="AD710" i="1"/>
  <c r="AC710" i="1"/>
  <c r="AB710" i="1"/>
  <c r="Z710" i="1"/>
  <c r="Y710" i="1"/>
  <c r="X710" i="1"/>
  <c r="W710" i="1"/>
  <c r="V710" i="1"/>
  <c r="AE710" i="1" s="1"/>
  <c r="AD709" i="1"/>
  <c r="AC709" i="1"/>
  <c r="AB709" i="1"/>
  <c r="Z709" i="1"/>
  <c r="Y709" i="1"/>
  <c r="X709" i="1"/>
  <c r="W709" i="1"/>
  <c r="V709" i="1"/>
  <c r="AE709" i="1" s="1"/>
  <c r="AD708" i="1"/>
  <c r="AC708" i="1"/>
  <c r="AB708" i="1"/>
  <c r="Z708" i="1"/>
  <c r="Y708" i="1"/>
  <c r="X708" i="1"/>
  <c r="W708" i="1"/>
  <c r="V708" i="1"/>
  <c r="AE708" i="1" s="1"/>
  <c r="AD707" i="1"/>
  <c r="AC707" i="1"/>
  <c r="AB707" i="1"/>
  <c r="Z707" i="1"/>
  <c r="Y707" i="1"/>
  <c r="X707" i="1"/>
  <c r="W707" i="1"/>
  <c r="V707" i="1"/>
  <c r="AE707" i="1" s="1"/>
  <c r="AD706" i="1"/>
  <c r="AC706" i="1"/>
  <c r="AB706" i="1"/>
  <c r="Z706" i="1"/>
  <c r="AA706" i="1" s="1"/>
  <c r="Y706" i="1"/>
  <c r="X706" i="1"/>
  <c r="W706" i="1"/>
  <c r="V706" i="1"/>
  <c r="AE706" i="1" s="1"/>
  <c r="AD705" i="1"/>
  <c r="AC705" i="1"/>
  <c r="AB705" i="1"/>
  <c r="Z705" i="1"/>
  <c r="AA705" i="1" s="1"/>
  <c r="Y705" i="1"/>
  <c r="X705" i="1"/>
  <c r="W705" i="1"/>
  <c r="V705" i="1"/>
  <c r="AE705" i="1" s="1"/>
  <c r="AD704" i="1"/>
  <c r="AC704" i="1"/>
  <c r="AB704" i="1"/>
  <c r="Z704" i="1"/>
  <c r="AA704" i="1" s="1"/>
  <c r="Y704" i="1"/>
  <c r="X704" i="1"/>
  <c r="W704" i="1"/>
  <c r="V704" i="1"/>
  <c r="AE704" i="1" s="1"/>
  <c r="AD703" i="1"/>
  <c r="AC703" i="1"/>
  <c r="AB703" i="1"/>
  <c r="Z703" i="1"/>
  <c r="AA703" i="1" s="1"/>
  <c r="Y703" i="1"/>
  <c r="X703" i="1"/>
  <c r="W703" i="1"/>
  <c r="V703" i="1"/>
  <c r="AE703" i="1" s="1"/>
  <c r="AD702" i="1"/>
  <c r="AC702" i="1"/>
  <c r="AB702" i="1"/>
  <c r="Z702" i="1"/>
  <c r="Y702" i="1"/>
  <c r="X702" i="1"/>
  <c r="W702" i="1"/>
  <c r="V702" i="1"/>
  <c r="AE702" i="1" s="1"/>
  <c r="AD701" i="1"/>
  <c r="AC701" i="1"/>
  <c r="AB701" i="1"/>
  <c r="Z701" i="1"/>
  <c r="Y701" i="1"/>
  <c r="X701" i="1"/>
  <c r="W701" i="1"/>
  <c r="V701" i="1"/>
  <c r="AE701" i="1" s="1"/>
  <c r="AD700" i="1"/>
  <c r="AC700" i="1"/>
  <c r="AB700" i="1"/>
  <c r="Z700" i="1"/>
  <c r="Y700" i="1"/>
  <c r="X700" i="1"/>
  <c r="W700" i="1"/>
  <c r="V700" i="1"/>
  <c r="AE700" i="1" s="1"/>
  <c r="AD699" i="1"/>
  <c r="AC699" i="1"/>
  <c r="AB699" i="1"/>
  <c r="Z699" i="1"/>
  <c r="Y699" i="1"/>
  <c r="X699" i="1"/>
  <c r="W699" i="1"/>
  <c r="V699" i="1"/>
  <c r="AE699" i="1" s="1"/>
  <c r="AD698" i="1"/>
  <c r="AC698" i="1"/>
  <c r="AB698" i="1"/>
  <c r="Z698" i="1"/>
  <c r="AA698" i="1" s="1"/>
  <c r="Y698" i="1"/>
  <c r="X698" i="1"/>
  <c r="W698" i="1"/>
  <c r="V698" i="1"/>
  <c r="AE698" i="1" s="1"/>
  <c r="AD697" i="1"/>
  <c r="AC697" i="1"/>
  <c r="AB697" i="1"/>
  <c r="Z697" i="1"/>
  <c r="AA697" i="1" s="1"/>
  <c r="Y697" i="1"/>
  <c r="X697" i="1"/>
  <c r="W697" i="1"/>
  <c r="V697" i="1"/>
  <c r="AE697" i="1" s="1"/>
  <c r="AD696" i="1"/>
  <c r="AC696" i="1"/>
  <c r="AB696" i="1"/>
  <c r="Z696" i="1"/>
  <c r="AA696" i="1" s="1"/>
  <c r="Y696" i="1"/>
  <c r="X696" i="1"/>
  <c r="W696" i="1"/>
  <c r="V696" i="1"/>
  <c r="AE696" i="1" s="1"/>
  <c r="AD695" i="1"/>
  <c r="AC695" i="1"/>
  <c r="AB695" i="1"/>
  <c r="Z695" i="1"/>
  <c r="AA695" i="1" s="1"/>
  <c r="Y695" i="1"/>
  <c r="X695" i="1"/>
  <c r="W695" i="1"/>
  <c r="V695" i="1"/>
  <c r="AE695" i="1" s="1"/>
  <c r="AD694" i="1"/>
  <c r="AC694" i="1"/>
  <c r="AB694" i="1"/>
  <c r="Z694" i="1"/>
  <c r="Y694" i="1"/>
  <c r="X694" i="1"/>
  <c r="W694" i="1"/>
  <c r="V694" i="1"/>
  <c r="AE694" i="1" s="1"/>
  <c r="AD693" i="1"/>
  <c r="AC693" i="1"/>
  <c r="AB693" i="1"/>
  <c r="Z693" i="1"/>
  <c r="Y693" i="1"/>
  <c r="X693" i="1"/>
  <c r="W693" i="1"/>
  <c r="V693" i="1"/>
  <c r="AE693" i="1" s="1"/>
  <c r="AD692" i="1"/>
  <c r="AC692" i="1"/>
  <c r="AB692" i="1"/>
  <c r="Z692" i="1"/>
  <c r="Y692" i="1"/>
  <c r="X692" i="1"/>
  <c r="W692" i="1"/>
  <c r="V692" i="1"/>
  <c r="AE692" i="1" s="1"/>
  <c r="AD691" i="1"/>
  <c r="AC691" i="1"/>
  <c r="AB691" i="1"/>
  <c r="Z691" i="1"/>
  <c r="Y691" i="1"/>
  <c r="X691" i="1"/>
  <c r="W691" i="1"/>
  <c r="V691" i="1"/>
  <c r="AE691" i="1" s="1"/>
  <c r="AD690" i="1"/>
  <c r="AC690" i="1"/>
  <c r="AB690" i="1"/>
  <c r="Z690" i="1"/>
  <c r="AA690" i="1" s="1"/>
  <c r="Y690" i="1"/>
  <c r="X690" i="1"/>
  <c r="W690" i="1"/>
  <c r="V690" i="1"/>
  <c r="AE690" i="1" s="1"/>
  <c r="AD689" i="1"/>
  <c r="AC689" i="1"/>
  <c r="AB689" i="1"/>
  <c r="Z689" i="1"/>
  <c r="AA689" i="1" s="1"/>
  <c r="Y689" i="1"/>
  <c r="X689" i="1"/>
  <c r="W689" i="1"/>
  <c r="V689" i="1"/>
  <c r="AE689" i="1" s="1"/>
  <c r="AD688" i="1"/>
  <c r="AC688" i="1"/>
  <c r="AB688" i="1"/>
  <c r="Z688" i="1"/>
  <c r="AA688" i="1" s="1"/>
  <c r="Y688" i="1"/>
  <c r="X688" i="1"/>
  <c r="W688" i="1"/>
  <c r="V688" i="1"/>
  <c r="AE688" i="1" s="1"/>
  <c r="AD687" i="1"/>
  <c r="AC687" i="1"/>
  <c r="AB687" i="1"/>
  <c r="Z687" i="1"/>
  <c r="AA687" i="1" s="1"/>
  <c r="Y687" i="1"/>
  <c r="X687" i="1"/>
  <c r="W687" i="1"/>
  <c r="V687" i="1"/>
  <c r="AE687" i="1" s="1"/>
  <c r="AD686" i="1"/>
  <c r="AC686" i="1"/>
  <c r="AB686" i="1"/>
  <c r="Z686" i="1"/>
  <c r="Y686" i="1"/>
  <c r="X686" i="1"/>
  <c r="W686" i="1"/>
  <c r="V686" i="1"/>
  <c r="AE686" i="1" s="1"/>
  <c r="AD685" i="1"/>
  <c r="AC685" i="1"/>
  <c r="AB685" i="1"/>
  <c r="Z685" i="1"/>
  <c r="Y685" i="1"/>
  <c r="X685" i="1"/>
  <c r="W685" i="1"/>
  <c r="V685" i="1"/>
  <c r="AE685" i="1" s="1"/>
  <c r="AD684" i="1"/>
  <c r="AC684" i="1"/>
  <c r="AB684" i="1"/>
  <c r="Z684" i="1"/>
  <c r="Y684" i="1"/>
  <c r="X684" i="1"/>
  <c r="W684" i="1"/>
  <c r="V684" i="1"/>
  <c r="AE684" i="1" s="1"/>
  <c r="AD683" i="1"/>
  <c r="AC683" i="1"/>
  <c r="AB683" i="1"/>
  <c r="Z683" i="1"/>
  <c r="Y683" i="1"/>
  <c r="X683" i="1"/>
  <c r="W683" i="1"/>
  <c r="V683" i="1"/>
  <c r="AE683" i="1" s="1"/>
  <c r="AD682" i="1"/>
  <c r="AC682" i="1"/>
  <c r="AB682" i="1"/>
  <c r="Z682" i="1"/>
  <c r="AA682" i="1" s="1"/>
  <c r="Y682" i="1"/>
  <c r="X682" i="1"/>
  <c r="W682" i="1"/>
  <c r="V682" i="1"/>
  <c r="AE682" i="1" s="1"/>
  <c r="AD681" i="1"/>
  <c r="AC681" i="1"/>
  <c r="AB681" i="1"/>
  <c r="Z681" i="1"/>
  <c r="AA681" i="1" s="1"/>
  <c r="Y681" i="1"/>
  <c r="X681" i="1"/>
  <c r="W681" i="1"/>
  <c r="V681" i="1"/>
  <c r="AE681" i="1" s="1"/>
  <c r="AD680" i="1"/>
  <c r="AC680" i="1"/>
  <c r="AB680" i="1"/>
  <c r="Z680" i="1"/>
  <c r="AA680" i="1" s="1"/>
  <c r="Y680" i="1"/>
  <c r="X680" i="1"/>
  <c r="W680" i="1"/>
  <c r="V680" i="1"/>
  <c r="AE680" i="1" s="1"/>
  <c r="AD679" i="1"/>
  <c r="AC679" i="1"/>
  <c r="AB679" i="1"/>
  <c r="Z679" i="1"/>
  <c r="AA679" i="1" s="1"/>
  <c r="Y679" i="1"/>
  <c r="X679" i="1"/>
  <c r="W679" i="1"/>
  <c r="V679" i="1"/>
  <c r="AE679" i="1" s="1"/>
  <c r="AD678" i="1"/>
  <c r="AC678" i="1"/>
  <c r="AB678" i="1"/>
  <c r="Z678" i="1"/>
  <c r="Y678" i="1"/>
  <c r="X678" i="1"/>
  <c r="W678" i="1"/>
  <c r="V678" i="1"/>
  <c r="AE678" i="1" s="1"/>
  <c r="AD677" i="1"/>
  <c r="AC677" i="1"/>
  <c r="AB677" i="1"/>
  <c r="Z677" i="1"/>
  <c r="Y677" i="1"/>
  <c r="X677" i="1"/>
  <c r="W677" i="1"/>
  <c r="V677" i="1"/>
  <c r="AE677" i="1" s="1"/>
  <c r="AD676" i="1"/>
  <c r="AC676" i="1"/>
  <c r="AB676" i="1"/>
  <c r="Z676" i="1"/>
  <c r="Y676" i="1"/>
  <c r="X676" i="1"/>
  <c r="W676" i="1"/>
  <c r="V676" i="1"/>
  <c r="AE676" i="1" s="1"/>
  <c r="AD675" i="1"/>
  <c r="AC675" i="1"/>
  <c r="AB675" i="1"/>
  <c r="Z675" i="1"/>
  <c r="Y675" i="1"/>
  <c r="X675" i="1"/>
  <c r="W675" i="1"/>
  <c r="V675" i="1"/>
  <c r="AE675" i="1" s="1"/>
  <c r="AD674" i="1"/>
  <c r="AC674" i="1"/>
  <c r="AB674" i="1"/>
  <c r="Z674" i="1"/>
  <c r="AA674" i="1" s="1"/>
  <c r="Y674" i="1"/>
  <c r="X674" i="1"/>
  <c r="W674" i="1"/>
  <c r="V674" i="1"/>
  <c r="AE674" i="1" s="1"/>
  <c r="AD673" i="1"/>
  <c r="AC673" i="1"/>
  <c r="AB673" i="1"/>
  <c r="Z673" i="1"/>
  <c r="AA673" i="1" s="1"/>
  <c r="Y673" i="1"/>
  <c r="X673" i="1"/>
  <c r="W673" i="1"/>
  <c r="V673" i="1"/>
  <c r="AE673" i="1" s="1"/>
  <c r="AD672" i="1"/>
  <c r="AC672" i="1"/>
  <c r="AB672" i="1"/>
  <c r="Z672" i="1"/>
  <c r="AA672" i="1" s="1"/>
  <c r="Y672" i="1"/>
  <c r="X672" i="1"/>
  <c r="W672" i="1"/>
  <c r="V672" i="1"/>
  <c r="AE672" i="1" s="1"/>
  <c r="AD671" i="1"/>
  <c r="AC671" i="1"/>
  <c r="AB671" i="1"/>
  <c r="Z671" i="1"/>
  <c r="AA671" i="1" s="1"/>
  <c r="Y671" i="1"/>
  <c r="X671" i="1"/>
  <c r="W671" i="1"/>
  <c r="V671" i="1"/>
  <c r="AE671" i="1" s="1"/>
  <c r="AD670" i="1"/>
  <c r="AC670" i="1"/>
  <c r="AB670" i="1"/>
  <c r="Z670" i="1"/>
  <c r="Y670" i="1"/>
  <c r="X670" i="1"/>
  <c r="W670" i="1"/>
  <c r="V670" i="1"/>
  <c r="AE670" i="1" s="1"/>
  <c r="AD669" i="1"/>
  <c r="AC669" i="1"/>
  <c r="AB669" i="1"/>
  <c r="Z669" i="1"/>
  <c r="Y669" i="1"/>
  <c r="X669" i="1"/>
  <c r="W669" i="1"/>
  <c r="V669" i="1"/>
  <c r="AE669" i="1" s="1"/>
  <c r="AD668" i="1"/>
  <c r="AC668" i="1"/>
  <c r="AB668" i="1"/>
  <c r="Z668" i="1"/>
  <c r="Y668" i="1"/>
  <c r="X668" i="1"/>
  <c r="W668" i="1"/>
  <c r="V668" i="1"/>
  <c r="AE668" i="1" s="1"/>
  <c r="AD667" i="1"/>
  <c r="AC667" i="1"/>
  <c r="AB667" i="1"/>
  <c r="Z667" i="1"/>
  <c r="Y667" i="1"/>
  <c r="X667" i="1"/>
  <c r="W667" i="1"/>
  <c r="V667" i="1"/>
  <c r="AE667" i="1" s="1"/>
  <c r="AD666" i="1"/>
  <c r="AC666" i="1"/>
  <c r="AB666" i="1"/>
  <c r="Z666" i="1"/>
  <c r="AA666" i="1" s="1"/>
  <c r="Y666" i="1"/>
  <c r="X666" i="1"/>
  <c r="W666" i="1"/>
  <c r="V666" i="1"/>
  <c r="AE666" i="1" s="1"/>
  <c r="AD665" i="1"/>
  <c r="AC665" i="1"/>
  <c r="AB665" i="1"/>
  <c r="Z665" i="1"/>
  <c r="AA665" i="1" s="1"/>
  <c r="Y665" i="1"/>
  <c r="X665" i="1"/>
  <c r="W665" i="1"/>
  <c r="V665" i="1"/>
  <c r="AE665" i="1" s="1"/>
  <c r="AD664" i="1"/>
  <c r="AC664" i="1"/>
  <c r="AB664" i="1"/>
  <c r="Z664" i="1"/>
  <c r="AA664" i="1" s="1"/>
  <c r="Y664" i="1"/>
  <c r="X664" i="1"/>
  <c r="W664" i="1"/>
  <c r="V664" i="1"/>
  <c r="AE664" i="1" s="1"/>
  <c r="AD663" i="1"/>
  <c r="AC663" i="1"/>
  <c r="AB663" i="1"/>
  <c r="Z663" i="1"/>
  <c r="AA663" i="1" s="1"/>
  <c r="Y663" i="1"/>
  <c r="X663" i="1"/>
  <c r="W663" i="1"/>
  <c r="V663" i="1"/>
  <c r="AE663" i="1" s="1"/>
  <c r="AD662" i="1"/>
  <c r="AC662" i="1"/>
  <c r="AB662" i="1"/>
  <c r="Z662" i="1"/>
  <c r="Y662" i="1"/>
  <c r="X662" i="1"/>
  <c r="W662" i="1"/>
  <c r="V662" i="1"/>
  <c r="AE662" i="1" s="1"/>
  <c r="AD661" i="1"/>
  <c r="AC661" i="1"/>
  <c r="AB661" i="1"/>
  <c r="Z661" i="1"/>
  <c r="Y661" i="1"/>
  <c r="X661" i="1"/>
  <c r="W661" i="1"/>
  <c r="V661" i="1"/>
  <c r="AE661" i="1" s="1"/>
  <c r="AD660" i="1"/>
  <c r="AC660" i="1"/>
  <c r="AB660" i="1"/>
  <c r="Z660" i="1"/>
  <c r="Y660" i="1"/>
  <c r="X660" i="1"/>
  <c r="W660" i="1"/>
  <c r="V660" i="1"/>
  <c r="AE660" i="1" s="1"/>
  <c r="AD659" i="1"/>
  <c r="AC659" i="1"/>
  <c r="AB659" i="1"/>
  <c r="Z659" i="1"/>
  <c r="Y659" i="1"/>
  <c r="X659" i="1"/>
  <c r="W659" i="1"/>
  <c r="V659" i="1"/>
  <c r="AE659" i="1" s="1"/>
  <c r="AD658" i="1"/>
  <c r="AC658" i="1"/>
  <c r="AB658" i="1"/>
  <c r="Z658" i="1"/>
  <c r="AA658" i="1" s="1"/>
  <c r="Y658" i="1"/>
  <c r="X658" i="1"/>
  <c r="W658" i="1"/>
  <c r="V658" i="1"/>
  <c r="AE658" i="1" s="1"/>
  <c r="AD657" i="1"/>
  <c r="AC657" i="1"/>
  <c r="AB657" i="1"/>
  <c r="Z657" i="1"/>
  <c r="AA657" i="1" s="1"/>
  <c r="Y657" i="1"/>
  <c r="X657" i="1"/>
  <c r="W657" i="1"/>
  <c r="V657" i="1"/>
  <c r="AE657" i="1" s="1"/>
  <c r="AD656" i="1"/>
  <c r="AC656" i="1"/>
  <c r="AB656" i="1"/>
  <c r="Z656" i="1"/>
  <c r="AA656" i="1" s="1"/>
  <c r="Y656" i="1"/>
  <c r="X656" i="1"/>
  <c r="W656" i="1"/>
  <c r="V656" i="1"/>
  <c r="AE656" i="1" s="1"/>
  <c r="AD655" i="1"/>
  <c r="AC655" i="1"/>
  <c r="AB655" i="1"/>
  <c r="Z655" i="1"/>
  <c r="AA655" i="1" s="1"/>
  <c r="Y655" i="1"/>
  <c r="X655" i="1"/>
  <c r="W655" i="1"/>
  <c r="V655" i="1"/>
  <c r="AE655" i="1" s="1"/>
  <c r="AD654" i="1"/>
  <c r="AC654" i="1"/>
  <c r="AB654" i="1"/>
  <c r="Z654" i="1"/>
  <c r="Y654" i="1"/>
  <c r="X654" i="1"/>
  <c r="W654" i="1"/>
  <c r="V654" i="1"/>
  <c r="AE654" i="1" s="1"/>
  <c r="AD653" i="1"/>
  <c r="AC653" i="1"/>
  <c r="AB653" i="1"/>
  <c r="Z653" i="1"/>
  <c r="Y653" i="1"/>
  <c r="X653" i="1"/>
  <c r="W653" i="1"/>
  <c r="V653" i="1"/>
  <c r="AE653" i="1" s="1"/>
  <c r="AD652" i="1"/>
  <c r="AC652" i="1"/>
  <c r="AB652" i="1"/>
  <c r="Z652" i="1"/>
  <c r="Y652" i="1"/>
  <c r="X652" i="1"/>
  <c r="W652" i="1"/>
  <c r="V652" i="1"/>
  <c r="AE652" i="1" s="1"/>
  <c r="AD651" i="1"/>
  <c r="AC651" i="1"/>
  <c r="AB651" i="1"/>
  <c r="Z651" i="1"/>
  <c r="Y651" i="1"/>
  <c r="X651" i="1"/>
  <c r="W651" i="1"/>
  <c r="V651" i="1"/>
  <c r="AE651" i="1" s="1"/>
  <c r="AD650" i="1"/>
  <c r="AC650" i="1"/>
  <c r="AB650" i="1"/>
  <c r="Z650" i="1"/>
  <c r="AA650" i="1" s="1"/>
  <c r="Y650" i="1"/>
  <c r="X650" i="1"/>
  <c r="W650" i="1"/>
  <c r="V650" i="1"/>
  <c r="AE650" i="1" s="1"/>
  <c r="AD649" i="1"/>
  <c r="AC649" i="1"/>
  <c r="AB649" i="1"/>
  <c r="Z649" i="1"/>
  <c r="AA649" i="1" s="1"/>
  <c r="Y649" i="1"/>
  <c r="X649" i="1"/>
  <c r="W649" i="1"/>
  <c r="V649" i="1"/>
  <c r="AE649" i="1" s="1"/>
  <c r="AD648" i="1"/>
  <c r="AC648" i="1"/>
  <c r="AB648" i="1"/>
  <c r="Z648" i="1"/>
  <c r="AA648" i="1" s="1"/>
  <c r="Y648" i="1"/>
  <c r="X648" i="1"/>
  <c r="W648" i="1"/>
  <c r="V648" i="1"/>
  <c r="AE648" i="1" s="1"/>
  <c r="AD647" i="1"/>
  <c r="AC647" i="1"/>
  <c r="AB647" i="1"/>
  <c r="Z647" i="1"/>
  <c r="AA647" i="1" s="1"/>
  <c r="Y647" i="1"/>
  <c r="X647" i="1"/>
  <c r="W647" i="1"/>
  <c r="V647" i="1"/>
  <c r="AE647" i="1" s="1"/>
  <c r="AD646" i="1"/>
  <c r="AC646" i="1"/>
  <c r="AB646" i="1"/>
  <c r="Z646" i="1"/>
  <c r="Y646" i="1"/>
  <c r="X646" i="1"/>
  <c r="W646" i="1"/>
  <c r="V646" i="1"/>
  <c r="AE646" i="1" s="1"/>
  <c r="AD645" i="1"/>
  <c r="AC645" i="1"/>
  <c r="AB645" i="1"/>
  <c r="Z645" i="1"/>
  <c r="Y645" i="1"/>
  <c r="X645" i="1"/>
  <c r="W645" i="1"/>
  <c r="V645" i="1"/>
  <c r="AE645" i="1" s="1"/>
  <c r="AD644" i="1"/>
  <c r="AC644" i="1"/>
  <c r="AB644" i="1"/>
  <c r="Z644" i="1"/>
  <c r="Y644" i="1"/>
  <c r="X644" i="1"/>
  <c r="W644" i="1"/>
  <c r="V644" i="1"/>
  <c r="AE644" i="1" s="1"/>
  <c r="AD643" i="1"/>
  <c r="AC643" i="1"/>
  <c r="AB643" i="1"/>
  <c r="Z643" i="1"/>
  <c r="Y643" i="1"/>
  <c r="X643" i="1"/>
  <c r="W643" i="1"/>
  <c r="V643" i="1"/>
  <c r="AE643" i="1" s="1"/>
  <c r="AD642" i="1"/>
  <c r="AC642" i="1"/>
  <c r="AB642" i="1"/>
  <c r="Z642" i="1"/>
  <c r="AA642" i="1" s="1"/>
  <c r="Y642" i="1"/>
  <c r="X642" i="1"/>
  <c r="W642" i="1"/>
  <c r="V642" i="1"/>
  <c r="AE642" i="1" s="1"/>
  <c r="AD641" i="1"/>
  <c r="AC641" i="1"/>
  <c r="AB641" i="1"/>
  <c r="Z641" i="1"/>
  <c r="AA641" i="1" s="1"/>
  <c r="Y641" i="1"/>
  <c r="X641" i="1"/>
  <c r="W641" i="1"/>
  <c r="V641" i="1"/>
  <c r="AE641" i="1" s="1"/>
  <c r="AD640" i="1"/>
  <c r="AC640" i="1"/>
  <c r="AB640" i="1"/>
  <c r="Z640" i="1"/>
  <c r="AA640" i="1" s="1"/>
  <c r="Y640" i="1"/>
  <c r="X640" i="1"/>
  <c r="W640" i="1"/>
  <c r="V640" i="1"/>
  <c r="AE640" i="1" s="1"/>
  <c r="AD639" i="1"/>
  <c r="AC639" i="1"/>
  <c r="AB639" i="1"/>
  <c r="Z639" i="1"/>
  <c r="AA639" i="1" s="1"/>
  <c r="Y639" i="1"/>
  <c r="X639" i="1"/>
  <c r="W639" i="1"/>
  <c r="V639" i="1"/>
  <c r="AE639" i="1" s="1"/>
  <c r="AD638" i="1"/>
  <c r="AC638" i="1"/>
  <c r="AB638" i="1"/>
  <c r="Z638" i="1"/>
  <c r="Y638" i="1"/>
  <c r="X638" i="1"/>
  <c r="W638" i="1"/>
  <c r="V638" i="1"/>
  <c r="AE638" i="1" s="1"/>
  <c r="AD637" i="1"/>
  <c r="AC637" i="1"/>
  <c r="AB637" i="1"/>
  <c r="Z637" i="1"/>
  <c r="Y637" i="1"/>
  <c r="X637" i="1"/>
  <c r="W637" i="1"/>
  <c r="V637" i="1"/>
  <c r="AE637" i="1" s="1"/>
  <c r="AD636" i="1"/>
  <c r="AC636" i="1"/>
  <c r="AB636" i="1"/>
  <c r="Z636" i="1"/>
  <c r="Y636" i="1"/>
  <c r="X636" i="1"/>
  <c r="W636" i="1"/>
  <c r="V636" i="1"/>
  <c r="AE636" i="1" s="1"/>
  <c r="AD635" i="1"/>
  <c r="AC635" i="1"/>
  <c r="AB635" i="1"/>
  <c r="Z635" i="1"/>
  <c r="Y635" i="1"/>
  <c r="X635" i="1"/>
  <c r="W635" i="1"/>
  <c r="V635" i="1"/>
  <c r="AE635" i="1" s="1"/>
  <c r="AD634" i="1"/>
  <c r="AC634" i="1"/>
  <c r="AB634" i="1"/>
  <c r="Z634" i="1"/>
  <c r="Y634" i="1"/>
  <c r="X634" i="1"/>
  <c r="W634" i="1"/>
  <c r="V634" i="1"/>
  <c r="AE634" i="1" s="1"/>
  <c r="AD633" i="1"/>
  <c r="AC633" i="1"/>
  <c r="AB633" i="1"/>
  <c r="Z633" i="1"/>
  <c r="AA633" i="1" s="1"/>
  <c r="Y633" i="1"/>
  <c r="X633" i="1"/>
  <c r="W633" i="1"/>
  <c r="V633" i="1"/>
  <c r="AE633" i="1" s="1"/>
  <c r="AD632" i="1"/>
  <c r="AC632" i="1"/>
  <c r="AB632" i="1"/>
  <c r="Z632" i="1"/>
  <c r="AA632" i="1" s="1"/>
  <c r="Y632" i="1"/>
  <c r="X632" i="1"/>
  <c r="W632" i="1"/>
  <c r="V632" i="1"/>
  <c r="AE632" i="1" s="1"/>
  <c r="AD631" i="1"/>
  <c r="AC631" i="1"/>
  <c r="AB631" i="1"/>
  <c r="Z631" i="1"/>
  <c r="AA631" i="1" s="1"/>
  <c r="Y631" i="1"/>
  <c r="X631" i="1"/>
  <c r="W631" i="1"/>
  <c r="V631" i="1"/>
  <c r="AE631" i="1" s="1"/>
  <c r="AD630" i="1"/>
  <c r="AC630" i="1"/>
  <c r="AB630" i="1"/>
  <c r="Z630" i="1"/>
  <c r="Y630" i="1"/>
  <c r="X630" i="1"/>
  <c r="W630" i="1"/>
  <c r="V630" i="1"/>
  <c r="AE630" i="1" s="1"/>
  <c r="AD629" i="1"/>
  <c r="AC629" i="1"/>
  <c r="AB629" i="1"/>
  <c r="Z629" i="1"/>
  <c r="Y629" i="1"/>
  <c r="X629" i="1"/>
  <c r="W629" i="1"/>
  <c r="V629" i="1"/>
  <c r="AE629" i="1" s="1"/>
  <c r="AD628" i="1"/>
  <c r="AC628" i="1"/>
  <c r="AB628" i="1"/>
  <c r="Z628" i="1"/>
  <c r="Y628" i="1"/>
  <c r="X628" i="1"/>
  <c r="W628" i="1"/>
  <c r="V628" i="1"/>
  <c r="AE628" i="1" s="1"/>
  <c r="AD627" i="1"/>
  <c r="AC627" i="1"/>
  <c r="AB627" i="1"/>
  <c r="Z627" i="1"/>
  <c r="Y627" i="1"/>
  <c r="X627" i="1"/>
  <c r="W627" i="1"/>
  <c r="V627" i="1"/>
  <c r="AE627" i="1" s="1"/>
  <c r="AD626" i="1"/>
  <c r="AC626" i="1"/>
  <c r="AB626" i="1"/>
  <c r="Z626" i="1"/>
  <c r="Y626" i="1"/>
  <c r="X626" i="1"/>
  <c r="W626" i="1"/>
  <c r="V626" i="1"/>
  <c r="AE626" i="1" s="1"/>
  <c r="AD625" i="1"/>
  <c r="AC625" i="1"/>
  <c r="AB625" i="1"/>
  <c r="Z625" i="1"/>
  <c r="AA625" i="1" s="1"/>
  <c r="Y625" i="1"/>
  <c r="X625" i="1"/>
  <c r="W625" i="1"/>
  <c r="V625" i="1"/>
  <c r="AE625" i="1" s="1"/>
  <c r="AD624" i="1"/>
  <c r="AC624" i="1"/>
  <c r="AB624" i="1"/>
  <c r="Z624" i="1"/>
  <c r="AA624" i="1" s="1"/>
  <c r="Y624" i="1"/>
  <c r="X624" i="1"/>
  <c r="W624" i="1"/>
  <c r="V624" i="1"/>
  <c r="AE624" i="1" s="1"/>
  <c r="AD623" i="1"/>
  <c r="AC623" i="1"/>
  <c r="AB623" i="1"/>
  <c r="Z623" i="1"/>
  <c r="AA623" i="1" s="1"/>
  <c r="Y623" i="1"/>
  <c r="X623" i="1"/>
  <c r="W623" i="1"/>
  <c r="V623" i="1"/>
  <c r="AE623" i="1" s="1"/>
  <c r="AD622" i="1"/>
  <c r="AC622" i="1"/>
  <c r="AB622" i="1"/>
  <c r="Z622" i="1"/>
  <c r="Y622" i="1"/>
  <c r="X622" i="1"/>
  <c r="W622" i="1"/>
  <c r="V622" i="1"/>
  <c r="AE622" i="1" s="1"/>
  <c r="AD621" i="1"/>
  <c r="AC621" i="1"/>
  <c r="AB621" i="1"/>
  <c r="Z621" i="1"/>
  <c r="Y621" i="1"/>
  <c r="X621" i="1"/>
  <c r="W621" i="1"/>
  <c r="V621" i="1"/>
  <c r="AE621" i="1" s="1"/>
  <c r="AD620" i="1"/>
  <c r="AC620" i="1"/>
  <c r="AB620" i="1"/>
  <c r="Z620" i="1"/>
  <c r="Y620" i="1"/>
  <c r="X620" i="1"/>
  <c r="W620" i="1"/>
  <c r="V620" i="1"/>
  <c r="AE620" i="1" s="1"/>
  <c r="AD619" i="1"/>
  <c r="AC619" i="1"/>
  <c r="AB619" i="1"/>
  <c r="Z619" i="1"/>
  <c r="Y619" i="1"/>
  <c r="X619" i="1"/>
  <c r="W619" i="1"/>
  <c r="V619" i="1"/>
  <c r="AE619" i="1" s="1"/>
  <c r="AD618" i="1"/>
  <c r="AC618" i="1"/>
  <c r="AB618" i="1"/>
  <c r="Z618" i="1"/>
  <c r="Y618" i="1"/>
  <c r="X618" i="1"/>
  <c r="W618" i="1"/>
  <c r="V618" i="1"/>
  <c r="AE618" i="1" s="1"/>
  <c r="AD617" i="1"/>
  <c r="AC617" i="1"/>
  <c r="AB617" i="1"/>
  <c r="Z617" i="1"/>
  <c r="AA617" i="1" s="1"/>
  <c r="Y617" i="1"/>
  <c r="X617" i="1"/>
  <c r="W617" i="1"/>
  <c r="V617" i="1"/>
  <c r="AE617" i="1" s="1"/>
  <c r="AD616" i="1"/>
  <c r="AC616" i="1"/>
  <c r="AB616" i="1"/>
  <c r="Z616" i="1"/>
  <c r="AA616" i="1" s="1"/>
  <c r="Y616" i="1"/>
  <c r="X616" i="1"/>
  <c r="W616" i="1"/>
  <c r="V616" i="1"/>
  <c r="AE616" i="1" s="1"/>
  <c r="AD615" i="1"/>
  <c r="AC615" i="1"/>
  <c r="AB615" i="1"/>
  <c r="Z615" i="1"/>
  <c r="AA615" i="1" s="1"/>
  <c r="Y615" i="1"/>
  <c r="X615" i="1"/>
  <c r="W615" i="1"/>
  <c r="V615" i="1"/>
  <c r="AE615" i="1" s="1"/>
  <c r="AD614" i="1"/>
  <c r="AC614" i="1"/>
  <c r="AB614" i="1"/>
  <c r="Y614" i="1"/>
  <c r="X614" i="1"/>
  <c r="W614" i="1"/>
  <c r="V614" i="1"/>
  <c r="AE614" i="1" s="1"/>
  <c r="AD613" i="1"/>
  <c r="AC613" i="1"/>
  <c r="AB613" i="1"/>
  <c r="Z613" i="1"/>
  <c r="Y613" i="1"/>
  <c r="AA613" i="1" s="1"/>
  <c r="X613" i="1"/>
  <c r="W613" i="1"/>
  <c r="V613" i="1"/>
  <c r="AE613" i="1" s="1"/>
  <c r="AD612" i="1"/>
  <c r="AC612" i="1"/>
  <c r="AB612" i="1"/>
  <c r="Z612" i="1"/>
  <c r="Y612" i="1"/>
  <c r="AA612" i="1" s="1"/>
  <c r="X612" i="1"/>
  <c r="W612" i="1"/>
  <c r="V612" i="1"/>
  <c r="AE612" i="1" s="1"/>
  <c r="AD611" i="1"/>
  <c r="AC611" i="1"/>
  <c r="AB611" i="1"/>
  <c r="Z611" i="1"/>
  <c r="Y611" i="1"/>
  <c r="AA611" i="1" s="1"/>
  <c r="X611" i="1"/>
  <c r="W611" i="1"/>
  <c r="V611" i="1"/>
  <c r="AD610" i="1"/>
  <c r="AC610" i="1"/>
  <c r="AB610" i="1"/>
  <c r="Z610" i="1"/>
  <c r="Y610" i="1"/>
  <c r="AA610" i="1" s="1"/>
  <c r="X610" i="1"/>
  <c r="W610" i="1"/>
  <c r="V610" i="1"/>
  <c r="AE610" i="1" s="1"/>
  <c r="AD609" i="1"/>
  <c r="AC609" i="1"/>
  <c r="AB609" i="1"/>
  <c r="Z609" i="1"/>
  <c r="AA609" i="1" s="1"/>
  <c r="Y609" i="1"/>
  <c r="X609" i="1"/>
  <c r="W609" i="1"/>
  <c r="V609" i="1"/>
  <c r="AE609" i="1" s="1"/>
  <c r="AD608" i="1"/>
  <c r="AC608" i="1"/>
  <c r="AB608" i="1"/>
  <c r="Z608" i="1"/>
  <c r="AA608" i="1" s="1"/>
  <c r="Y608" i="1"/>
  <c r="X608" i="1"/>
  <c r="W608" i="1"/>
  <c r="V608" i="1"/>
  <c r="AE608" i="1" s="1"/>
  <c r="AD607" i="1"/>
  <c r="AC607" i="1"/>
  <c r="AB607" i="1"/>
  <c r="Z607" i="1"/>
  <c r="AA607" i="1" s="1"/>
  <c r="Y607" i="1"/>
  <c r="X607" i="1"/>
  <c r="W607" i="1"/>
  <c r="V607" i="1"/>
  <c r="AE607" i="1" s="1"/>
  <c r="AD606" i="1"/>
  <c r="AC606" i="1"/>
  <c r="AB606" i="1"/>
  <c r="Y606" i="1"/>
  <c r="X606" i="1"/>
  <c r="W606" i="1"/>
  <c r="V606" i="1"/>
  <c r="AE606" i="1" s="1"/>
  <c r="AD605" i="1"/>
  <c r="AC605" i="1"/>
  <c r="AB605" i="1"/>
  <c r="Z605" i="1"/>
  <c r="Y605" i="1"/>
  <c r="X605" i="1"/>
  <c r="W605" i="1"/>
  <c r="V605" i="1"/>
  <c r="AE605" i="1" s="1"/>
  <c r="AD604" i="1"/>
  <c r="AC604" i="1"/>
  <c r="AB604" i="1"/>
  <c r="Z604" i="1"/>
  <c r="Y604" i="1"/>
  <c r="AA604" i="1" s="1"/>
  <c r="X604" i="1"/>
  <c r="W604" i="1"/>
  <c r="V604" i="1"/>
  <c r="AE604" i="1" s="1"/>
  <c r="AD603" i="1"/>
  <c r="AC603" i="1"/>
  <c r="AB603" i="1"/>
  <c r="Z603" i="1"/>
  <c r="Y603" i="1"/>
  <c r="AA603" i="1" s="1"/>
  <c r="X603" i="1"/>
  <c r="W603" i="1"/>
  <c r="V603" i="1"/>
  <c r="AD602" i="1"/>
  <c r="AC602" i="1"/>
  <c r="AB602" i="1"/>
  <c r="Z602" i="1"/>
  <c r="Y602" i="1"/>
  <c r="AA602" i="1" s="1"/>
  <c r="X602" i="1"/>
  <c r="W602" i="1"/>
  <c r="V602" i="1"/>
  <c r="AE602" i="1" s="1"/>
  <c r="AD601" i="1"/>
  <c r="AC601" i="1"/>
  <c r="AB601" i="1"/>
  <c r="Z601" i="1"/>
  <c r="AA601" i="1" s="1"/>
  <c r="Y601" i="1"/>
  <c r="X601" i="1"/>
  <c r="W601" i="1"/>
  <c r="V601" i="1"/>
  <c r="AE601" i="1" s="1"/>
  <c r="AD600" i="1"/>
  <c r="AC600" i="1"/>
  <c r="AB600" i="1"/>
  <c r="Z600" i="1"/>
  <c r="AA600" i="1" s="1"/>
  <c r="Y600" i="1"/>
  <c r="X600" i="1"/>
  <c r="W600" i="1"/>
  <c r="V600" i="1"/>
  <c r="AE600" i="1" s="1"/>
  <c r="AD599" i="1"/>
  <c r="AC599" i="1"/>
  <c r="AB599" i="1"/>
  <c r="Z599" i="1"/>
  <c r="Y599" i="1"/>
  <c r="AA599" i="1" s="1"/>
  <c r="X599" i="1"/>
  <c r="W599" i="1"/>
  <c r="V599" i="1"/>
  <c r="AE599" i="1" s="1"/>
  <c r="AD598" i="1"/>
  <c r="AC598" i="1"/>
  <c r="AB598" i="1"/>
  <c r="Z598" i="1"/>
  <c r="Y598" i="1"/>
  <c r="X598" i="1"/>
  <c r="W598" i="1"/>
  <c r="V598" i="1"/>
  <c r="AE598" i="1" s="1"/>
  <c r="AD597" i="1"/>
  <c r="AC597" i="1"/>
  <c r="AB597" i="1"/>
  <c r="Z597" i="1"/>
  <c r="Y597" i="1"/>
  <c r="AA597" i="1" s="1"/>
  <c r="X597" i="1"/>
  <c r="W597" i="1"/>
  <c r="V597" i="1"/>
  <c r="AE597" i="1" s="1"/>
  <c r="AD596" i="1"/>
  <c r="AC596" i="1"/>
  <c r="AB596" i="1"/>
  <c r="Z596" i="1"/>
  <c r="Y596" i="1"/>
  <c r="X596" i="1"/>
  <c r="W596" i="1"/>
  <c r="V596" i="1"/>
  <c r="AE596" i="1" s="1"/>
  <c r="AD595" i="1"/>
  <c r="AC595" i="1"/>
  <c r="AB595" i="1"/>
  <c r="Z595" i="1"/>
  <c r="Y595" i="1"/>
  <c r="AA595" i="1" s="1"/>
  <c r="X595" i="1"/>
  <c r="W595" i="1"/>
  <c r="V595" i="1"/>
  <c r="AE595" i="1" s="1"/>
  <c r="AD594" i="1"/>
  <c r="AC594" i="1"/>
  <c r="AB594" i="1"/>
  <c r="Z594" i="1"/>
  <c r="Y594" i="1"/>
  <c r="X594" i="1"/>
  <c r="W594" i="1"/>
  <c r="V594" i="1"/>
  <c r="AE594" i="1" s="1"/>
  <c r="AD593" i="1"/>
  <c r="AC593" i="1"/>
  <c r="AB593" i="1"/>
  <c r="AA593" i="1"/>
  <c r="Z593" i="1"/>
  <c r="Y593" i="1"/>
  <c r="X593" i="1"/>
  <c r="W593" i="1"/>
  <c r="V593" i="1"/>
  <c r="AE593" i="1" s="1"/>
  <c r="AD592" i="1"/>
  <c r="AC592" i="1"/>
  <c r="AB592" i="1"/>
  <c r="Y592" i="1"/>
  <c r="X592" i="1"/>
  <c r="W592" i="1"/>
  <c r="V592" i="1"/>
  <c r="AE592" i="1" s="1"/>
  <c r="AD591" i="1"/>
  <c r="AC591" i="1"/>
  <c r="AB591" i="1"/>
  <c r="Z591" i="1"/>
  <c r="Y591" i="1"/>
  <c r="AA591" i="1" s="1"/>
  <c r="X591" i="1"/>
  <c r="W591" i="1"/>
  <c r="AE591" i="1" s="1"/>
  <c r="V591" i="1"/>
  <c r="AD590" i="1"/>
  <c r="AC590" i="1"/>
  <c r="AB590" i="1"/>
  <c r="Y590" i="1"/>
  <c r="X590" i="1"/>
  <c r="W590" i="1"/>
  <c r="V590" i="1"/>
  <c r="AD589" i="1"/>
  <c r="AC589" i="1"/>
  <c r="AB589" i="1"/>
  <c r="Z589" i="1"/>
  <c r="AA589" i="1" s="1"/>
  <c r="Y589" i="1"/>
  <c r="X589" i="1"/>
  <c r="W589" i="1"/>
  <c r="V589" i="1"/>
  <c r="AD588" i="1"/>
  <c r="AC588" i="1"/>
  <c r="AB588" i="1"/>
  <c r="Z588" i="1"/>
  <c r="AA588" i="1" s="1"/>
  <c r="Y588" i="1"/>
  <c r="X588" i="1"/>
  <c r="W588" i="1"/>
  <c r="V588" i="1"/>
  <c r="AE588" i="1" s="1"/>
  <c r="AE587" i="1"/>
  <c r="AD587" i="1"/>
  <c r="AC587" i="1"/>
  <c r="AB587" i="1"/>
  <c r="AA587" i="1"/>
  <c r="Z587" i="1"/>
  <c r="Y587" i="1"/>
  <c r="X587" i="1"/>
  <c r="W587" i="1"/>
  <c r="V587" i="1"/>
  <c r="AE586" i="1"/>
  <c r="AD586" i="1"/>
  <c r="AC586" i="1"/>
  <c r="AB586" i="1"/>
  <c r="Y586" i="1"/>
  <c r="X586" i="1"/>
  <c r="W586" i="1"/>
  <c r="V586" i="1"/>
  <c r="AD585" i="1"/>
  <c r="AC585" i="1"/>
  <c r="AB585" i="1"/>
  <c r="Y585" i="1"/>
  <c r="Z585" i="1" s="1"/>
  <c r="AA585" i="1" s="1"/>
  <c r="X585" i="1"/>
  <c r="W585" i="1"/>
  <c r="V585" i="1"/>
  <c r="AE585" i="1" s="1"/>
  <c r="AD584" i="1"/>
  <c r="AC584" i="1"/>
  <c r="AB584" i="1"/>
  <c r="Z584" i="1"/>
  <c r="Y584" i="1"/>
  <c r="X584" i="1"/>
  <c r="W584" i="1"/>
  <c r="V584" i="1"/>
  <c r="AE584" i="1" s="1"/>
  <c r="AD583" i="1"/>
  <c r="AC583" i="1"/>
  <c r="AB583" i="1"/>
  <c r="Y583" i="1"/>
  <c r="X583" i="1"/>
  <c r="W583" i="1"/>
  <c r="V583" i="1"/>
  <c r="AE583" i="1" s="1"/>
  <c r="AD582" i="1"/>
  <c r="AC582" i="1"/>
  <c r="AB582" i="1"/>
  <c r="Y582" i="1"/>
  <c r="X582" i="1"/>
  <c r="W582" i="1"/>
  <c r="V582" i="1"/>
  <c r="AD581" i="1"/>
  <c r="AC581" i="1"/>
  <c r="AB581" i="1"/>
  <c r="Z581" i="1"/>
  <c r="AA581" i="1" s="1"/>
  <c r="Y581" i="1"/>
  <c r="X581" i="1"/>
  <c r="W581" i="1"/>
  <c r="V581" i="1"/>
  <c r="AE581" i="1" s="1"/>
  <c r="AD580" i="1"/>
  <c r="AC580" i="1"/>
  <c r="AB580" i="1"/>
  <c r="AA580" i="1"/>
  <c r="Z580" i="1"/>
  <c r="Y580" i="1"/>
  <c r="X580" i="1"/>
  <c r="W580" i="1"/>
  <c r="V580" i="1"/>
  <c r="AE580" i="1" s="1"/>
  <c r="AD579" i="1"/>
  <c r="AC579" i="1"/>
  <c r="AB579" i="1"/>
  <c r="AA579" i="1"/>
  <c r="Z579" i="1"/>
  <c r="Y579" i="1"/>
  <c r="X579" i="1"/>
  <c r="W579" i="1"/>
  <c r="AE579" i="1" s="1"/>
  <c r="V579" i="1"/>
  <c r="AE578" i="1"/>
  <c r="AD578" i="1"/>
  <c r="AC578" i="1"/>
  <c r="AB578" i="1"/>
  <c r="Z578" i="1"/>
  <c r="Y578" i="1"/>
  <c r="AA578" i="1" s="1"/>
  <c r="X578" i="1"/>
  <c r="W578" i="1"/>
  <c r="V578" i="1"/>
  <c r="AE577" i="1"/>
  <c r="AD577" i="1"/>
  <c r="AC577" i="1"/>
  <c r="AB577" i="1"/>
  <c r="Y577" i="1"/>
  <c r="X577" i="1"/>
  <c r="W577" i="1"/>
  <c r="V577" i="1"/>
  <c r="AD576" i="1"/>
  <c r="AC576" i="1"/>
  <c r="AB576" i="1"/>
  <c r="Y576" i="1"/>
  <c r="X576" i="1"/>
  <c r="W576" i="1"/>
  <c r="V576" i="1"/>
  <c r="AE576" i="1" s="1"/>
  <c r="AE575" i="1"/>
  <c r="AD575" i="1"/>
  <c r="AC575" i="1"/>
  <c r="AB575" i="1"/>
  <c r="Y575" i="1"/>
  <c r="X575" i="1"/>
  <c r="W575" i="1"/>
  <c r="V575" i="1"/>
  <c r="AD574" i="1"/>
  <c r="AC574" i="1"/>
  <c r="AB574" i="1"/>
  <c r="Y574" i="1"/>
  <c r="X574" i="1"/>
  <c r="W574" i="1"/>
  <c r="V574" i="1"/>
  <c r="AE574" i="1" s="1"/>
  <c r="AD573" i="1"/>
  <c r="AC573" i="1"/>
  <c r="AB573" i="1"/>
  <c r="Z573" i="1"/>
  <c r="AA573" i="1" s="1"/>
  <c r="Y573" i="1"/>
  <c r="X573" i="1"/>
  <c r="W573" i="1"/>
  <c r="V573" i="1"/>
  <c r="AD572" i="1"/>
  <c r="AC572" i="1"/>
  <c r="AB572" i="1"/>
  <c r="Z572" i="1"/>
  <c r="AA572" i="1" s="1"/>
  <c r="Y572" i="1"/>
  <c r="X572" i="1"/>
  <c r="W572" i="1"/>
  <c r="V572" i="1"/>
  <c r="AE571" i="1"/>
  <c r="AD571" i="1"/>
  <c r="AC571" i="1"/>
  <c r="AB571" i="1"/>
  <c r="Z571" i="1"/>
  <c r="AA571" i="1" s="1"/>
  <c r="Y571" i="1"/>
  <c r="X571" i="1"/>
  <c r="W571" i="1"/>
  <c r="V571" i="1"/>
  <c r="AE570" i="1"/>
  <c r="AD570" i="1"/>
  <c r="AC570" i="1"/>
  <c r="AB570" i="1"/>
  <c r="Y570" i="1"/>
  <c r="X570" i="1"/>
  <c r="W570" i="1"/>
  <c r="V570" i="1"/>
  <c r="AD569" i="1"/>
  <c r="AC569" i="1"/>
  <c r="AB569" i="1"/>
  <c r="AA569" i="1"/>
  <c r="Z569" i="1"/>
  <c r="Y569" i="1"/>
  <c r="X569" i="1"/>
  <c r="W569" i="1"/>
  <c r="V569" i="1"/>
  <c r="AE569" i="1" s="1"/>
  <c r="AE568" i="1"/>
  <c r="AD568" i="1"/>
  <c r="AC568" i="1"/>
  <c r="AB568" i="1"/>
  <c r="Z568" i="1"/>
  <c r="Y568" i="1"/>
  <c r="X568" i="1"/>
  <c r="W568" i="1"/>
  <c r="V568" i="1"/>
  <c r="AD567" i="1"/>
  <c r="AC567" i="1"/>
  <c r="AB567" i="1"/>
  <c r="Y567" i="1"/>
  <c r="X567" i="1"/>
  <c r="W567" i="1"/>
  <c r="AE567" i="1" s="1"/>
  <c r="V567" i="1"/>
  <c r="AD566" i="1"/>
  <c r="AC566" i="1"/>
  <c r="AB566" i="1"/>
  <c r="Z566" i="1"/>
  <c r="Y566" i="1"/>
  <c r="X566" i="1"/>
  <c r="W566" i="1"/>
  <c r="V566" i="1"/>
  <c r="AE566" i="1" s="1"/>
  <c r="AD565" i="1"/>
  <c r="AC565" i="1"/>
  <c r="AB565" i="1"/>
  <c r="Z565" i="1"/>
  <c r="AA565" i="1" s="1"/>
  <c r="Y565" i="1"/>
  <c r="X565" i="1"/>
  <c r="W565" i="1"/>
  <c r="V565" i="1"/>
  <c r="AE565" i="1" s="1"/>
  <c r="AD564" i="1"/>
  <c r="AC564" i="1"/>
  <c r="AB564" i="1"/>
  <c r="Z564" i="1"/>
  <c r="Y564" i="1"/>
  <c r="AA564" i="1" s="1"/>
  <c r="X564" i="1"/>
  <c r="W564" i="1"/>
  <c r="V564" i="1"/>
  <c r="AE564" i="1" s="1"/>
  <c r="AE563" i="1"/>
  <c r="AD563" i="1"/>
  <c r="AC563" i="1"/>
  <c r="AB563" i="1"/>
  <c r="AA563" i="1"/>
  <c r="Z563" i="1"/>
  <c r="Y563" i="1"/>
  <c r="X563" i="1"/>
  <c r="W563" i="1"/>
  <c r="V563" i="1"/>
  <c r="AD562" i="1"/>
  <c r="AC562" i="1"/>
  <c r="AB562" i="1"/>
  <c r="Y562" i="1"/>
  <c r="Z562" i="1" s="1"/>
  <c r="AA562" i="1" s="1"/>
  <c r="X562" i="1"/>
  <c r="W562" i="1"/>
  <c r="V562" i="1"/>
  <c r="AE562" i="1" s="1"/>
  <c r="AE561" i="1"/>
  <c r="AD561" i="1"/>
  <c r="AC561" i="1"/>
  <c r="AB561" i="1"/>
  <c r="AA561" i="1"/>
  <c r="Z561" i="1"/>
  <c r="Y561" i="1"/>
  <c r="X561" i="1"/>
  <c r="W561" i="1"/>
  <c r="V561" i="1"/>
  <c r="AD560" i="1"/>
  <c r="AC560" i="1"/>
  <c r="AB560" i="1"/>
  <c r="Z560" i="1"/>
  <c r="Y560" i="1"/>
  <c r="X560" i="1"/>
  <c r="W560" i="1"/>
  <c r="V560" i="1"/>
  <c r="AE560" i="1" s="1"/>
  <c r="AD559" i="1"/>
  <c r="AC559" i="1"/>
  <c r="AB559" i="1"/>
  <c r="Y559" i="1"/>
  <c r="Z559" i="1" s="1"/>
  <c r="AA559" i="1" s="1"/>
  <c r="X559" i="1"/>
  <c r="W559" i="1"/>
  <c r="V559" i="1"/>
  <c r="AE559" i="1" s="1"/>
  <c r="AD558" i="1"/>
  <c r="AC558" i="1"/>
  <c r="AB558" i="1"/>
  <c r="Z558" i="1"/>
  <c r="Y558" i="1"/>
  <c r="X558" i="1"/>
  <c r="W558" i="1"/>
  <c r="V558" i="1"/>
  <c r="AE558" i="1" s="1"/>
  <c r="AD557" i="1"/>
  <c r="AC557" i="1"/>
  <c r="AB557" i="1"/>
  <c r="Z557" i="1"/>
  <c r="AA557" i="1" s="1"/>
  <c r="Y557" i="1"/>
  <c r="X557" i="1"/>
  <c r="W557" i="1"/>
  <c r="V557" i="1"/>
  <c r="AE557" i="1" s="1"/>
  <c r="AE556" i="1"/>
  <c r="AD556" i="1"/>
  <c r="AC556" i="1"/>
  <c r="AB556" i="1"/>
  <c r="Z556" i="1"/>
  <c r="Y556" i="1"/>
  <c r="X556" i="1"/>
  <c r="W556" i="1"/>
  <c r="V556" i="1"/>
  <c r="AD555" i="1"/>
  <c r="AC555" i="1"/>
  <c r="AB555" i="1"/>
  <c r="Z555" i="1"/>
  <c r="AA555" i="1" s="1"/>
  <c r="Y555" i="1"/>
  <c r="X555" i="1"/>
  <c r="W555" i="1"/>
  <c r="V555" i="1"/>
  <c r="AE555" i="1" s="1"/>
  <c r="AD554" i="1"/>
  <c r="AC554" i="1"/>
  <c r="AB554" i="1"/>
  <c r="Y554" i="1"/>
  <c r="Z554" i="1" s="1"/>
  <c r="AA554" i="1" s="1"/>
  <c r="X554" i="1"/>
  <c r="W554" i="1"/>
  <c r="V554" i="1"/>
  <c r="AE554" i="1" s="1"/>
  <c r="AE553" i="1"/>
  <c r="AD553" i="1"/>
  <c r="AC553" i="1"/>
  <c r="AB553" i="1"/>
  <c r="Z553" i="1"/>
  <c r="Y553" i="1"/>
  <c r="X553" i="1"/>
  <c r="W553" i="1"/>
  <c r="V553" i="1"/>
  <c r="AD552" i="1"/>
  <c r="AC552" i="1"/>
  <c r="AB552" i="1"/>
  <c r="Y552" i="1"/>
  <c r="X552" i="1"/>
  <c r="W552" i="1"/>
  <c r="V552" i="1"/>
  <c r="AE551" i="1"/>
  <c r="AD551" i="1"/>
  <c r="AC551" i="1"/>
  <c r="AB551" i="1"/>
  <c r="AA551" i="1"/>
  <c r="Z551" i="1"/>
  <c r="Y551" i="1"/>
  <c r="X551" i="1"/>
  <c r="W551" i="1"/>
  <c r="V551" i="1"/>
  <c r="AD550" i="1"/>
  <c r="AC550" i="1"/>
  <c r="AB550" i="1"/>
  <c r="Z550" i="1"/>
  <c r="AA550" i="1" s="1"/>
  <c r="Y550" i="1"/>
  <c r="X550" i="1"/>
  <c r="W550" i="1"/>
  <c r="V550" i="1"/>
  <c r="AE550" i="1" s="1"/>
  <c r="AD549" i="1"/>
  <c r="AC549" i="1"/>
  <c r="AB549" i="1"/>
  <c r="AA549" i="1"/>
  <c r="Z549" i="1"/>
  <c r="Y549" i="1"/>
  <c r="X549" i="1"/>
  <c r="W549" i="1"/>
  <c r="V549" i="1"/>
  <c r="AE548" i="1"/>
  <c r="AD548" i="1"/>
  <c r="AC548" i="1"/>
  <c r="AB548" i="1"/>
  <c r="Z548" i="1"/>
  <c r="Y548" i="1"/>
  <c r="X548" i="1"/>
  <c r="W548" i="1"/>
  <c r="V548" i="1"/>
  <c r="AD547" i="1"/>
  <c r="AC547" i="1"/>
  <c r="AB547" i="1"/>
  <c r="Z547" i="1"/>
  <c r="Y547" i="1"/>
  <c r="AA547" i="1" s="1"/>
  <c r="X547" i="1"/>
  <c r="W547" i="1"/>
  <c r="V547" i="1"/>
  <c r="AE547" i="1" s="1"/>
  <c r="AD546" i="1"/>
  <c r="AC546" i="1"/>
  <c r="AB546" i="1"/>
  <c r="Y546" i="1"/>
  <c r="X546" i="1"/>
  <c r="W546" i="1"/>
  <c r="V546" i="1"/>
  <c r="AE546" i="1" s="1"/>
  <c r="AD545" i="1"/>
  <c r="AC545" i="1"/>
  <c r="AB545" i="1"/>
  <c r="Z545" i="1"/>
  <c r="AA545" i="1" s="1"/>
  <c r="Y545" i="1"/>
  <c r="X545" i="1"/>
  <c r="W545" i="1"/>
  <c r="V545" i="1"/>
  <c r="AE545" i="1" s="1"/>
  <c r="AD544" i="1"/>
  <c r="AC544" i="1"/>
  <c r="AB544" i="1"/>
  <c r="Y544" i="1"/>
  <c r="X544" i="1"/>
  <c r="W544" i="1"/>
  <c r="V544" i="1"/>
  <c r="AE544" i="1" s="1"/>
  <c r="AE543" i="1"/>
  <c r="AD543" i="1"/>
  <c r="AC543" i="1"/>
  <c r="AB543" i="1"/>
  <c r="AA543" i="1"/>
  <c r="Y543" i="1"/>
  <c r="Z543" i="1" s="1"/>
  <c r="X543" i="1"/>
  <c r="W543" i="1"/>
  <c r="V543" i="1"/>
  <c r="AD542" i="1"/>
  <c r="AC542" i="1"/>
  <c r="AB542" i="1"/>
  <c r="Z542" i="1"/>
  <c r="AA542" i="1" s="1"/>
  <c r="Y542" i="1"/>
  <c r="X542" i="1"/>
  <c r="W542" i="1"/>
  <c r="V542" i="1"/>
  <c r="AE542" i="1" s="1"/>
  <c r="AD541" i="1"/>
  <c r="AC541" i="1"/>
  <c r="AB541" i="1"/>
  <c r="AA541" i="1"/>
  <c r="Z541" i="1"/>
  <c r="Y541" i="1"/>
  <c r="X541" i="1"/>
  <c r="W541" i="1"/>
  <c r="V541" i="1"/>
  <c r="AE541" i="1" s="1"/>
  <c r="AD540" i="1"/>
  <c r="AC540" i="1"/>
  <c r="AB540" i="1"/>
  <c r="Z540" i="1"/>
  <c r="AA540" i="1" s="1"/>
  <c r="Y540" i="1"/>
  <c r="X540" i="1"/>
  <c r="W540" i="1"/>
  <c r="V540" i="1"/>
  <c r="AE540" i="1" s="1"/>
  <c r="AD539" i="1"/>
  <c r="AC539" i="1"/>
  <c r="AB539" i="1"/>
  <c r="Z539" i="1"/>
  <c r="Y539" i="1"/>
  <c r="X539" i="1"/>
  <c r="W539" i="1"/>
  <c r="V539" i="1"/>
  <c r="AE539" i="1" s="1"/>
  <c r="AE538" i="1"/>
  <c r="AD538" i="1"/>
  <c r="AC538" i="1"/>
  <c r="AB538" i="1"/>
  <c r="Z538" i="1"/>
  <c r="Y538" i="1"/>
  <c r="AA538" i="1" s="1"/>
  <c r="X538" i="1"/>
  <c r="W538" i="1"/>
  <c r="V538" i="1"/>
  <c r="AD537" i="1"/>
  <c r="AC537" i="1"/>
  <c r="AB537" i="1"/>
  <c r="Z537" i="1"/>
  <c r="AA537" i="1" s="1"/>
  <c r="Y537" i="1"/>
  <c r="X537" i="1"/>
  <c r="W537" i="1"/>
  <c r="V537" i="1"/>
  <c r="AE537" i="1" s="1"/>
  <c r="AD536" i="1"/>
  <c r="AC536" i="1"/>
  <c r="AB536" i="1"/>
  <c r="Z536" i="1"/>
  <c r="Y536" i="1"/>
  <c r="X536" i="1"/>
  <c r="W536" i="1"/>
  <c r="V536" i="1"/>
  <c r="AE536" i="1" s="1"/>
  <c r="AE535" i="1"/>
  <c r="AD535" i="1"/>
  <c r="AC535" i="1"/>
  <c r="AB535" i="1"/>
  <c r="Y535" i="1"/>
  <c r="Z535" i="1" s="1"/>
  <c r="X535" i="1"/>
  <c r="W535" i="1"/>
  <c r="V535" i="1"/>
  <c r="AD534" i="1"/>
  <c r="AC534" i="1"/>
  <c r="AB534" i="1"/>
  <c r="Y534" i="1"/>
  <c r="X534" i="1"/>
  <c r="W534" i="1"/>
  <c r="V534" i="1"/>
  <c r="AE533" i="1"/>
  <c r="AD533" i="1"/>
  <c r="AC533" i="1"/>
  <c r="AB533" i="1"/>
  <c r="Z533" i="1"/>
  <c r="Y533" i="1"/>
  <c r="X533" i="1"/>
  <c r="W533" i="1"/>
  <c r="V533" i="1"/>
  <c r="AD532" i="1"/>
  <c r="AC532" i="1"/>
  <c r="AB532" i="1"/>
  <c r="AA532" i="1"/>
  <c r="Z532" i="1"/>
  <c r="Y532" i="1"/>
  <c r="X532" i="1"/>
  <c r="W532" i="1"/>
  <c r="V532" i="1"/>
  <c r="AE532" i="1" s="1"/>
  <c r="AD531" i="1"/>
  <c r="AC531" i="1"/>
  <c r="AB531" i="1"/>
  <c r="AA531" i="1"/>
  <c r="Y531" i="1"/>
  <c r="Z531" i="1" s="1"/>
  <c r="X531" i="1"/>
  <c r="W531" i="1"/>
  <c r="V531" i="1"/>
  <c r="AE531" i="1" s="1"/>
  <c r="AE530" i="1"/>
  <c r="AD530" i="1"/>
  <c r="AC530" i="1"/>
  <c r="AB530" i="1"/>
  <c r="Z530" i="1"/>
  <c r="Y530" i="1"/>
  <c r="X530" i="1"/>
  <c r="W530" i="1"/>
  <c r="V530" i="1"/>
  <c r="AD529" i="1"/>
  <c r="AC529" i="1"/>
  <c r="AB529" i="1"/>
  <c r="Z529" i="1"/>
  <c r="Y529" i="1"/>
  <c r="X529" i="1"/>
  <c r="W529" i="1"/>
  <c r="V529" i="1"/>
  <c r="AE529" i="1" s="1"/>
  <c r="AD528" i="1"/>
  <c r="AC528" i="1"/>
  <c r="AB528" i="1"/>
  <c r="AA528" i="1"/>
  <c r="Y528" i="1"/>
  <c r="Z528" i="1" s="1"/>
  <c r="X528" i="1"/>
  <c r="W528" i="1"/>
  <c r="V528" i="1"/>
  <c r="AE528" i="1" s="1"/>
  <c r="AD527" i="1"/>
  <c r="AC527" i="1"/>
  <c r="AB527" i="1"/>
  <c r="AA527" i="1"/>
  <c r="Z527" i="1"/>
  <c r="Y527" i="1"/>
  <c r="X527" i="1"/>
  <c r="W527" i="1"/>
  <c r="V527" i="1"/>
  <c r="AE527" i="1" s="1"/>
  <c r="AD526" i="1"/>
  <c r="AC526" i="1"/>
  <c r="AB526" i="1"/>
  <c r="Y526" i="1"/>
  <c r="X526" i="1"/>
  <c r="W526" i="1"/>
  <c r="V526" i="1"/>
  <c r="AE526" i="1" s="1"/>
  <c r="AD525" i="1"/>
  <c r="AC525" i="1"/>
  <c r="AB525" i="1"/>
  <c r="Y525" i="1"/>
  <c r="Z525" i="1" s="1"/>
  <c r="AA525" i="1" s="1"/>
  <c r="X525" i="1"/>
  <c r="W525" i="1"/>
  <c r="AE525" i="1" s="1"/>
  <c r="V525" i="1"/>
  <c r="AD524" i="1"/>
  <c r="AC524" i="1"/>
  <c r="AB524" i="1"/>
  <c r="Y524" i="1"/>
  <c r="X524" i="1"/>
  <c r="W524" i="1"/>
  <c r="V524" i="1"/>
  <c r="AE524" i="1" s="1"/>
  <c r="AE523" i="1"/>
  <c r="AD523" i="1"/>
  <c r="AC523" i="1"/>
  <c r="AB523" i="1"/>
  <c r="AA523" i="1"/>
  <c r="Z523" i="1"/>
  <c r="Y523" i="1"/>
  <c r="X523" i="1"/>
  <c r="W523" i="1"/>
  <c r="V523" i="1"/>
  <c r="AD522" i="1"/>
  <c r="AC522" i="1"/>
  <c r="AB522" i="1"/>
  <c r="Y522" i="1"/>
  <c r="X522" i="1"/>
  <c r="W522" i="1"/>
  <c r="AE522" i="1" s="1"/>
  <c r="V522" i="1"/>
  <c r="AD521" i="1"/>
  <c r="AC521" i="1"/>
  <c r="AB521" i="1"/>
  <c r="Y521" i="1"/>
  <c r="Z521" i="1" s="1"/>
  <c r="AA521" i="1" s="1"/>
  <c r="X521" i="1"/>
  <c r="W521" i="1"/>
  <c r="V521" i="1"/>
  <c r="AE521" i="1" s="1"/>
  <c r="AD520" i="1"/>
  <c r="AC520" i="1"/>
  <c r="AB520" i="1"/>
  <c r="Y520" i="1"/>
  <c r="Z520" i="1" s="1"/>
  <c r="X520" i="1"/>
  <c r="W520" i="1"/>
  <c r="V520" i="1"/>
  <c r="AE520" i="1" s="1"/>
  <c r="AD519" i="1"/>
  <c r="AC519" i="1"/>
  <c r="AB519" i="1"/>
  <c r="AA519" i="1"/>
  <c r="Z519" i="1"/>
  <c r="Y519" i="1"/>
  <c r="X519" i="1"/>
  <c r="W519" i="1"/>
  <c r="V519" i="1"/>
  <c r="AE519" i="1" s="1"/>
  <c r="AD518" i="1"/>
  <c r="AC518" i="1"/>
  <c r="AB518" i="1"/>
  <c r="Z518" i="1"/>
  <c r="Y518" i="1"/>
  <c r="X518" i="1"/>
  <c r="W518" i="1"/>
  <c r="V518" i="1"/>
  <c r="AE518" i="1" s="1"/>
  <c r="AD517" i="1"/>
  <c r="AC517" i="1"/>
  <c r="AB517" i="1"/>
  <c r="Y517" i="1"/>
  <c r="X517" i="1"/>
  <c r="W517" i="1"/>
  <c r="AE517" i="1" s="1"/>
  <c r="V517" i="1"/>
  <c r="AD516" i="1"/>
  <c r="AC516" i="1"/>
  <c r="AB516" i="1"/>
  <c r="AA516" i="1"/>
  <c r="Y516" i="1"/>
  <c r="Z516" i="1" s="1"/>
  <c r="X516" i="1"/>
  <c r="W516" i="1"/>
  <c r="V516" i="1"/>
  <c r="AE516" i="1" s="1"/>
  <c r="AD515" i="1"/>
  <c r="AC515" i="1"/>
  <c r="AB515" i="1"/>
  <c r="Z515" i="1"/>
  <c r="AA515" i="1" s="1"/>
  <c r="Y515" i="1"/>
  <c r="X515" i="1"/>
  <c r="W515" i="1"/>
  <c r="V515" i="1"/>
  <c r="AE515" i="1" s="1"/>
  <c r="AE514" i="1"/>
  <c r="AD514" i="1"/>
  <c r="AC514" i="1"/>
  <c r="AB514" i="1"/>
  <c r="Z514" i="1"/>
  <c r="Y514" i="1"/>
  <c r="X514" i="1"/>
  <c r="W514" i="1"/>
  <c r="V514" i="1"/>
  <c r="AE513" i="1"/>
  <c r="AD513" i="1"/>
  <c r="AC513" i="1"/>
  <c r="AB513" i="1"/>
  <c r="AA513" i="1"/>
  <c r="Z513" i="1"/>
  <c r="Y513" i="1"/>
  <c r="X513" i="1"/>
  <c r="W513" i="1"/>
  <c r="V513" i="1"/>
  <c r="AD512" i="1"/>
  <c r="AC512" i="1"/>
  <c r="AB512" i="1"/>
  <c r="Y512" i="1"/>
  <c r="Z512" i="1" s="1"/>
  <c r="X512" i="1"/>
  <c r="W512" i="1"/>
  <c r="V512" i="1"/>
  <c r="AE512" i="1" s="1"/>
  <c r="AE511" i="1"/>
  <c r="AD511" i="1"/>
  <c r="AC511" i="1"/>
  <c r="AB511" i="1"/>
  <c r="Z511" i="1"/>
  <c r="AA511" i="1" s="1"/>
  <c r="Y511" i="1"/>
  <c r="X511" i="1"/>
  <c r="W511" i="1"/>
  <c r="V511" i="1"/>
  <c r="AD510" i="1"/>
  <c r="AC510" i="1"/>
  <c r="AB510" i="1"/>
  <c r="Y510" i="1"/>
  <c r="X510" i="1"/>
  <c r="W510" i="1"/>
  <c r="V510" i="1"/>
  <c r="AE510" i="1" s="1"/>
  <c r="AD509" i="1"/>
  <c r="AC509" i="1"/>
  <c r="AB509" i="1"/>
  <c r="Y509" i="1"/>
  <c r="Z509" i="1" s="1"/>
  <c r="AA509" i="1" s="1"/>
  <c r="X509" i="1"/>
  <c r="W509" i="1"/>
  <c r="V509" i="1"/>
  <c r="AE509" i="1" s="1"/>
  <c r="AD508" i="1"/>
  <c r="AC508" i="1"/>
  <c r="AB508" i="1"/>
  <c r="Z508" i="1"/>
  <c r="AA508" i="1" s="1"/>
  <c r="Y508" i="1"/>
  <c r="X508" i="1"/>
  <c r="W508" i="1"/>
  <c r="V508" i="1"/>
  <c r="AE508" i="1" s="1"/>
  <c r="AD507" i="1"/>
  <c r="AC507" i="1"/>
  <c r="AB507" i="1"/>
  <c r="AA507" i="1"/>
  <c r="Z507" i="1"/>
  <c r="Y507" i="1"/>
  <c r="X507" i="1"/>
  <c r="W507" i="1"/>
  <c r="V507" i="1"/>
  <c r="AE507" i="1" s="1"/>
  <c r="AD506" i="1"/>
  <c r="AC506" i="1"/>
  <c r="AB506" i="1"/>
  <c r="Y506" i="1"/>
  <c r="X506" i="1"/>
  <c r="W506" i="1"/>
  <c r="AE506" i="1" s="1"/>
  <c r="V506" i="1"/>
  <c r="AD505" i="1"/>
  <c r="AC505" i="1"/>
  <c r="AB505" i="1"/>
  <c r="Y505" i="1"/>
  <c r="Z505" i="1" s="1"/>
  <c r="AA505" i="1" s="1"/>
  <c r="X505" i="1"/>
  <c r="W505" i="1"/>
  <c r="V505" i="1"/>
  <c r="AD504" i="1"/>
  <c r="AC504" i="1"/>
  <c r="AB504" i="1"/>
  <c r="Z504" i="1"/>
  <c r="AA504" i="1" s="1"/>
  <c r="Y504" i="1"/>
  <c r="X504" i="1"/>
  <c r="W504" i="1"/>
  <c r="V504" i="1"/>
  <c r="AE504" i="1" s="1"/>
  <c r="AD503" i="1"/>
  <c r="AC503" i="1"/>
  <c r="AB503" i="1"/>
  <c r="Z503" i="1"/>
  <c r="AA503" i="1" s="1"/>
  <c r="Y503" i="1"/>
  <c r="X503" i="1"/>
  <c r="W503" i="1"/>
  <c r="V503" i="1"/>
  <c r="AE503" i="1" s="1"/>
  <c r="AD502" i="1"/>
  <c r="AC502" i="1"/>
  <c r="AB502" i="1"/>
  <c r="Z502" i="1"/>
  <c r="Y502" i="1"/>
  <c r="X502" i="1"/>
  <c r="W502" i="1"/>
  <c r="V502" i="1"/>
  <c r="AE501" i="1"/>
  <c r="AD501" i="1"/>
  <c r="AC501" i="1"/>
  <c r="AB501" i="1"/>
  <c r="Y501" i="1"/>
  <c r="X501" i="1"/>
  <c r="W501" i="1"/>
  <c r="V501" i="1"/>
  <c r="AD500" i="1"/>
  <c r="AC500" i="1"/>
  <c r="AB500" i="1"/>
  <c r="Y500" i="1"/>
  <c r="X500" i="1"/>
  <c r="W500" i="1"/>
  <c r="V500" i="1"/>
  <c r="AE500" i="1" s="1"/>
  <c r="AE499" i="1"/>
  <c r="AD499" i="1"/>
  <c r="AC499" i="1"/>
  <c r="AB499" i="1"/>
  <c r="Z499" i="1"/>
  <c r="AA499" i="1" s="1"/>
  <c r="Y499" i="1"/>
  <c r="X499" i="1"/>
  <c r="W499" i="1"/>
  <c r="V499" i="1"/>
  <c r="AE498" i="1"/>
  <c r="AD498" i="1"/>
  <c r="AC498" i="1"/>
  <c r="AB498" i="1"/>
  <c r="Z498" i="1"/>
  <c r="Y498" i="1"/>
  <c r="X498" i="1"/>
  <c r="W498" i="1"/>
  <c r="V498" i="1"/>
  <c r="AD497" i="1"/>
  <c r="AC497" i="1"/>
  <c r="AB497" i="1"/>
  <c r="AA497" i="1"/>
  <c r="Z497" i="1"/>
  <c r="Y497" i="1"/>
  <c r="X497" i="1"/>
  <c r="W497" i="1"/>
  <c r="V497" i="1"/>
  <c r="AE497" i="1" s="1"/>
  <c r="AD496" i="1"/>
  <c r="AC496" i="1"/>
  <c r="AB496" i="1"/>
  <c r="AA496" i="1"/>
  <c r="Z496" i="1"/>
  <c r="Y496" i="1"/>
  <c r="X496" i="1"/>
  <c r="W496" i="1"/>
  <c r="V496" i="1"/>
  <c r="AE496" i="1" s="1"/>
  <c r="AD495" i="1"/>
  <c r="AC495" i="1"/>
  <c r="AB495" i="1"/>
  <c r="Z495" i="1"/>
  <c r="AA495" i="1" s="1"/>
  <c r="Y495" i="1"/>
  <c r="X495" i="1"/>
  <c r="W495" i="1"/>
  <c r="V495" i="1"/>
  <c r="AE495" i="1" s="1"/>
  <c r="AE494" i="1"/>
  <c r="AD494" i="1"/>
  <c r="AC494" i="1"/>
  <c r="AB494" i="1"/>
  <c r="Y494" i="1"/>
  <c r="X494" i="1"/>
  <c r="W494" i="1"/>
  <c r="V494" i="1"/>
  <c r="AD493" i="1"/>
  <c r="AC493" i="1"/>
  <c r="AB493" i="1"/>
  <c r="Y493" i="1"/>
  <c r="Z493" i="1" s="1"/>
  <c r="X493" i="1"/>
  <c r="W493" i="1"/>
  <c r="V493" i="1"/>
  <c r="AE493" i="1" s="1"/>
  <c r="AD492" i="1"/>
  <c r="AC492" i="1"/>
  <c r="AB492" i="1"/>
  <c r="Z492" i="1"/>
  <c r="Y492" i="1"/>
  <c r="AA492" i="1" s="1"/>
  <c r="X492" i="1"/>
  <c r="W492" i="1"/>
  <c r="V492" i="1"/>
  <c r="AE492" i="1" s="1"/>
  <c r="AD491" i="1"/>
  <c r="AC491" i="1"/>
  <c r="AB491" i="1"/>
  <c r="AA491" i="1"/>
  <c r="Z491" i="1"/>
  <c r="Y491" i="1"/>
  <c r="X491" i="1"/>
  <c r="W491" i="1"/>
  <c r="V491" i="1"/>
  <c r="AE491" i="1" s="1"/>
  <c r="AD490" i="1"/>
  <c r="AC490" i="1"/>
  <c r="AB490" i="1"/>
  <c r="Y490" i="1"/>
  <c r="X490" i="1"/>
  <c r="W490" i="1"/>
  <c r="V490" i="1"/>
  <c r="AE489" i="1"/>
  <c r="AD489" i="1"/>
  <c r="AC489" i="1"/>
  <c r="AB489" i="1"/>
  <c r="Y489" i="1"/>
  <c r="Z489" i="1" s="1"/>
  <c r="X489" i="1"/>
  <c r="W489" i="1"/>
  <c r="V489" i="1"/>
  <c r="AD488" i="1"/>
  <c r="AC488" i="1"/>
  <c r="AB488" i="1"/>
  <c r="Y488" i="1"/>
  <c r="Z488" i="1" s="1"/>
  <c r="AA488" i="1" s="1"/>
  <c r="X488" i="1"/>
  <c r="W488" i="1"/>
  <c r="V488" i="1"/>
  <c r="AE488" i="1" s="1"/>
  <c r="AD487" i="1"/>
  <c r="AC487" i="1"/>
  <c r="AB487" i="1"/>
  <c r="Z487" i="1"/>
  <c r="AA487" i="1" s="1"/>
  <c r="Y487" i="1"/>
  <c r="X487" i="1"/>
  <c r="W487" i="1"/>
  <c r="V487" i="1"/>
  <c r="AE487" i="1" s="1"/>
  <c r="AE486" i="1"/>
  <c r="AD486" i="1"/>
  <c r="AC486" i="1"/>
  <c r="AB486" i="1"/>
  <c r="Z486" i="1"/>
  <c r="Y486" i="1"/>
  <c r="X486" i="1"/>
  <c r="W486" i="1"/>
  <c r="V486" i="1"/>
  <c r="AE485" i="1"/>
  <c r="AD485" i="1"/>
  <c r="AC485" i="1"/>
  <c r="AB485" i="1"/>
  <c r="Y485" i="1"/>
  <c r="X485" i="1"/>
  <c r="W485" i="1"/>
  <c r="V485" i="1"/>
  <c r="AD484" i="1"/>
  <c r="AC484" i="1"/>
  <c r="AB484" i="1"/>
  <c r="Z484" i="1"/>
  <c r="AA484" i="1" s="1"/>
  <c r="Y484" i="1"/>
  <c r="X484" i="1"/>
  <c r="W484" i="1"/>
  <c r="V484" i="1"/>
  <c r="AE484" i="1" s="1"/>
  <c r="AD483" i="1"/>
  <c r="AC483" i="1"/>
  <c r="AB483" i="1"/>
  <c r="AA483" i="1"/>
  <c r="Z483" i="1"/>
  <c r="Y483" i="1"/>
  <c r="X483" i="1"/>
  <c r="W483" i="1"/>
  <c r="V483" i="1"/>
  <c r="AE483" i="1" s="1"/>
  <c r="AD482" i="1"/>
  <c r="AC482" i="1"/>
  <c r="AB482" i="1"/>
  <c r="Y482" i="1"/>
  <c r="X482" i="1"/>
  <c r="W482" i="1"/>
  <c r="V482" i="1"/>
  <c r="AE482" i="1" s="1"/>
  <c r="AE481" i="1"/>
  <c r="AD481" i="1"/>
  <c r="AC481" i="1"/>
  <c r="AB481" i="1"/>
  <c r="AA481" i="1"/>
  <c r="Z481" i="1"/>
  <c r="Y481" i="1"/>
  <c r="X481" i="1"/>
  <c r="W481" i="1"/>
  <c r="V481" i="1"/>
  <c r="AD480" i="1"/>
  <c r="AC480" i="1"/>
  <c r="AB480" i="1"/>
  <c r="Y480" i="1"/>
  <c r="X480" i="1"/>
  <c r="W480" i="1"/>
  <c r="V480" i="1"/>
  <c r="AE480" i="1" s="1"/>
  <c r="AE479" i="1"/>
  <c r="AD479" i="1"/>
  <c r="AC479" i="1"/>
  <c r="AB479" i="1"/>
  <c r="Z479" i="1"/>
  <c r="AA479" i="1" s="1"/>
  <c r="Y479" i="1"/>
  <c r="X479" i="1"/>
  <c r="W479" i="1"/>
  <c r="V479" i="1"/>
  <c r="AD478" i="1"/>
  <c r="AC478" i="1"/>
  <c r="AB478" i="1"/>
  <c r="Y478" i="1"/>
  <c r="X478" i="1"/>
  <c r="W478" i="1"/>
  <c r="V478" i="1"/>
  <c r="AE478" i="1" s="1"/>
  <c r="AD477" i="1"/>
  <c r="AC477" i="1"/>
  <c r="AB477" i="1"/>
  <c r="AA477" i="1"/>
  <c r="Y477" i="1"/>
  <c r="Z477" i="1" s="1"/>
  <c r="X477" i="1"/>
  <c r="W477" i="1"/>
  <c r="V477" i="1"/>
  <c r="AE477" i="1" s="1"/>
  <c r="AD476" i="1"/>
  <c r="AC476" i="1"/>
  <c r="AB476" i="1"/>
  <c r="Z476" i="1"/>
  <c r="AA476" i="1" s="1"/>
  <c r="Y476" i="1"/>
  <c r="X476" i="1"/>
  <c r="W476" i="1"/>
  <c r="V476" i="1"/>
  <c r="AE476" i="1" s="1"/>
  <c r="AD475" i="1"/>
  <c r="AC475" i="1"/>
  <c r="AB475" i="1"/>
  <c r="AA475" i="1"/>
  <c r="Z475" i="1"/>
  <c r="Y475" i="1"/>
  <c r="X475" i="1"/>
  <c r="W475" i="1"/>
  <c r="V475" i="1"/>
  <c r="AE475" i="1" s="1"/>
  <c r="AD474" i="1"/>
  <c r="AC474" i="1"/>
  <c r="AB474" i="1"/>
  <c r="Y474" i="1"/>
  <c r="X474" i="1"/>
  <c r="W474" i="1"/>
  <c r="AE474" i="1" s="1"/>
  <c r="V474" i="1"/>
  <c r="AD473" i="1"/>
  <c r="AC473" i="1"/>
  <c r="AB473" i="1"/>
  <c r="Y473" i="1"/>
  <c r="Z473" i="1" s="1"/>
  <c r="AA473" i="1" s="1"/>
  <c r="X473" i="1"/>
  <c r="W473" i="1"/>
  <c r="V473" i="1"/>
  <c r="AD472" i="1"/>
  <c r="AC472" i="1"/>
  <c r="AB472" i="1"/>
  <c r="Z472" i="1"/>
  <c r="AA472" i="1" s="1"/>
  <c r="Y472" i="1"/>
  <c r="X472" i="1"/>
  <c r="W472" i="1"/>
  <c r="V472" i="1"/>
  <c r="AE472" i="1" s="1"/>
  <c r="AD471" i="1"/>
  <c r="AC471" i="1"/>
  <c r="AB471" i="1"/>
  <c r="Z471" i="1"/>
  <c r="AA471" i="1" s="1"/>
  <c r="Y471" i="1"/>
  <c r="X471" i="1"/>
  <c r="W471" i="1"/>
  <c r="V471" i="1"/>
  <c r="AE471" i="1" s="1"/>
  <c r="AD470" i="1"/>
  <c r="AC470" i="1"/>
  <c r="AB470" i="1"/>
  <c r="Z470" i="1"/>
  <c r="Y470" i="1"/>
  <c r="X470" i="1"/>
  <c r="W470" i="1"/>
  <c r="V470" i="1"/>
  <c r="AE470" i="1" s="1"/>
  <c r="AE469" i="1"/>
  <c r="AD469" i="1"/>
  <c r="AC469" i="1"/>
  <c r="AB469" i="1"/>
  <c r="Y469" i="1"/>
  <c r="X469" i="1"/>
  <c r="W469" i="1"/>
  <c r="V469" i="1"/>
  <c r="AD468" i="1"/>
  <c r="AC468" i="1"/>
  <c r="AB468" i="1"/>
  <c r="Y468" i="1"/>
  <c r="X468" i="1"/>
  <c r="W468" i="1"/>
  <c r="V468" i="1"/>
  <c r="AE468" i="1" s="1"/>
  <c r="AE467" i="1"/>
  <c r="AD467" i="1"/>
  <c r="AC467" i="1"/>
  <c r="AB467" i="1"/>
  <c r="Z467" i="1"/>
  <c r="AA467" i="1" s="1"/>
  <c r="Y467" i="1"/>
  <c r="X467" i="1"/>
  <c r="W467" i="1"/>
  <c r="V467" i="1"/>
  <c r="AE466" i="1"/>
  <c r="AD466" i="1"/>
  <c r="AC466" i="1"/>
  <c r="AB466" i="1"/>
  <c r="Z466" i="1"/>
  <c r="Y466" i="1"/>
  <c r="X466" i="1"/>
  <c r="W466" i="1"/>
  <c r="V466" i="1"/>
  <c r="AD465" i="1"/>
  <c r="AC465" i="1"/>
  <c r="AB465" i="1"/>
  <c r="AA465" i="1"/>
  <c r="Z465" i="1"/>
  <c r="Y465" i="1"/>
  <c r="X465" i="1"/>
  <c r="W465" i="1"/>
  <c r="V465" i="1"/>
  <c r="AE465" i="1" s="1"/>
  <c r="AD464" i="1"/>
  <c r="AC464" i="1"/>
  <c r="AB464" i="1"/>
  <c r="AA464" i="1"/>
  <c r="Z464" i="1"/>
  <c r="Y464" i="1"/>
  <c r="X464" i="1"/>
  <c r="W464" i="1"/>
  <c r="V464" i="1"/>
  <c r="AE464" i="1" s="1"/>
  <c r="AD463" i="1"/>
  <c r="AC463" i="1"/>
  <c r="AB463" i="1"/>
  <c r="Z463" i="1"/>
  <c r="AA463" i="1" s="1"/>
  <c r="Y463" i="1"/>
  <c r="X463" i="1"/>
  <c r="W463" i="1"/>
  <c r="V463" i="1"/>
  <c r="AE463" i="1" s="1"/>
  <c r="AE462" i="1"/>
  <c r="AD462" i="1"/>
  <c r="AC462" i="1"/>
  <c r="AB462" i="1"/>
  <c r="Y462" i="1"/>
  <c r="X462" i="1"/>
  <c r="W462" i="1"/>
  <c r="V462" i="1"/>
  <c r="AD461" i="1"/>
  <c r="AC461" i="1"/>
  <c r="AB461" i="1"/>
  <c r="Y461" i="1"/>
  <c r="Z461" i="1" s="1"/>
  <c r="X461" i="1"/>
  <c r="W461" i="1"/>
  <c r="V461" i="1"/>
  <c r="AE461" i="1" s="1"/>
  <c r="AD460" i="1"/>
  <c r="AC460" i="1"/>
  <c r="AB460" i="1"/>
  <c r="Z460" i="1"/>
  <c r="Y460" i="1"/>
  <c r="AA460" i="1" s="1"/>
  <c r="X460" i="1"/>
  <c r="W460" i="1"/>
  <c r="V460" i="1"/>
  <c r="AE460" i="1" s="1"/>
  <c r="AD459" i="1"/>
  <c r="AC459" i="1"/>
  <c r="AB459" i="1"/>
  <c r="AA459" i="1"/>
  <c r="Z459" i="1"/>
  <c r="Y459" i="1"/>
  <c r="X459" i="1"/>
  <c r="W459" i="1"/>
  <c r="V459" i="1"/>
  <c r="AE459" i="1" s="1"/>
  <c r="AD458" i="1"/>
  <c r="AC458" i="1"/>
  <c r="AB458" i="1"/>
  <c r="Y458" i="1"/>
  <c r="X458" i="1"/>
  <c r="W458" i="1"/>
  <c r="V458" i="1"/>
  <c r="AE457" i="1"/>
  <c r="AD457" i="1"/>
  <c r="AC457" i="1"/>
  <c r="AB457" i="1"/>
  <c r="Y457" i="1"/>
  <c r="Z457" i="1" s="1"/>
  <c r="X457" i="1"/>
  <c r="W457" i="1"/>
  <c r="V457" i="1"/>
  <c r="AD456" i="1"/>
  <c r="AC456" i="1"/>
  <c r="AB456" i="1"/>
  <c r="Y456" i="1"/>
  <c r="Z456" i="1" s="1"/>
  <c r="AA456" i="1" s="1"/>
  <c r="X456" i="1"/>
  <c r="W456" i="1"/>
  <c r="V456" i="1"/>
  <c r="AE456" i="1" s="1"/>
  <c r="AD455" i="1"/>
  <c r="AC455" i="1"/>
  <c r="AB455" i="1"/>
  <c r="Z455" i="1"/>
  <c r="AA455" i="1" s="1"/>
  <c r="Y455" i="1"/>
  <c r="X455" i="1"/>
  <c r="W455" i="1"/>
  <c r="V455" i="1"/>
  <c r="AE455" i="1" s="1"/>
  <c r="AE454" i="1"/>
  <c r="AD454" i="1"/>
  <c r="AC454" i="1"/>
  <c r="AB454" i="1"/>
  <c r="Z454" i="1"/>
  <c r="Y454" i="1"/>
  <c r="X454" i="1"/>
  <c r="W454" i="1"/>
  <c r="V454" i="1"/>
  <c r="AE453" i="1"/>
  <c r="AD453" i="1"/>
  <c r="AC453" i="1"/>
  <c r="AB453" i="1"/>
  <c r="Y453" i="1"/>
  <c r="X453" i="1"/>
  <c r="W453" i="1"/>
  <c r="V453" i="1"/>
  <c r="AD452" i="1"/>
  <c r="AC452" i="1"/>
  <c r="AB452" i="1"/>
  <c r="Z452" i="1"/>
  <c r="Y452" i="1"/>
  <c r="AA452" i="1" s="1"/>
  <c r="X452" i="1"/>
  <c r="W452" i="1"/>
  <c r="V452" i="1"/>
  <c r="AE452" i="1" s="1"/>
  <c r="AD451" i="1"/>
  <c r="AC451" i="1"/>
  <c r="AB451" i="1"/>
  <c r="AA451" i="1"/>
  <c r="Z451" i="1"/>
  <c r="Y451" i="1"/>
  <c r="X451" i="1"/>
  <c r="W451" i="1"/>
  <c r="V451" i="1"/>
  <c r="AE451" i="1" s="1"/>
  <c r="AD450" i="1"/>
  <c r="AC450" i="1"/>
  <c r="AB450" i="1"/>
  <c r="Y450" i="1"/>
  <c r="X450" i="1"/>
  <c r="W450" i="1"/>
  <c r="V450" i="1"/>
  <c r="AE450" i="1" s="1"/>
  <c r="AE449" i="1"/>
  <c r="AD449" i="1"/>
  <c r="AC449" i="1"/>
  <c r="AB449" i="1"/>
  <c r="AA449" i="1"/>
  <c r="Z449" i="1"/>
  <c r="Y449" i="1"/>
  <c r="X449" i="1"/>
  <c r="W449" i="1"/>
  <c r="V449" i="1"/>
  <c r="AD448" i="1"/>
  <c r="AC448" i="1"/>
  <c r="AB448" i="1"/>
  <c r="Y448" i="1"/>
  <c r="X448" i="1"/>
  <c r="W448" i="1"/>
  <c r="V448" i="1"/>
  <c r="AE448" i="1" s="1"/>
  <c r="AE447" i="1"/>
  <c r="AD447" i="1"/>
  <c r="AC447" i="1"/>
  <c r="AB447" i="1"/>
  <c r="Z447" i="1"/>
  <c r="AA447" i="1" s="1"/>
  <c r="Y447" i="1"/>
  <c r="X447" i="1"/>
  <c r="W447" i="1"/>
  <c r="V447" i="1"/>
  <c r="AD446" i="1"/>
  <c r="AC446" i="1"/>
  <c r="AB446" i="1"/>
  <c r="Y446" i="1"/>
  <c r="X446" i="1"/>
  <c r="W446" i="1"/>
  <c r="V446" i="1"/>
  <c r="AE446" i="1" s="1"/>
  <c r="AD445" i="1"/>
  <c r="AC445" i="1"/>
  <c r="AB445" i="1"/>
  <c r="AA445" i="1"/>
  <c r="Y445" i="1"/>
  <c r="Z445" i="1" s="1"/>
  <c r="X445" i="1"/>
  <c r="W445" i="1"/>
  <c r="V445" i="1"/>
  <c r="AE445" i="1" s="1"/>
  <c r="AD444" i="1"/>
  <c r="AC444" i="1"/>
  <c r="AB444" i="1"/>
  <c r="Z444" i="1"/>
  <c r="AA444" i="1" s="1"/>
  <c r="Y444" i="1"/>
  <c r="X444" i="1"/>
  <c r="W444" i="1"/>
  <c r="V444" i="1"/>
  <c r="AE444" i="1" s="1"/>
  <c r="AD443" i="1"/>
  <c r="AC443" i="1"/>
  <c r="AB443" i="1"/>
  <c r="AA443" i="1"/>
  <c r="Z443" i="1"/>
  <c r="Y443" i="1"/>
  <c r="X443" i="1"/>
  <c r="W443" i="1"/>
  <c r="V443" i="1"/>
  <c r="AE443" i="1" s="1"/>
  <c r="AD442" i="1"/>
  <c r="AC442" i="1"/>
  <c r="AB442" i="1"/>
  <c r="Y442" i="1"/>
  <c r="X442" i="1"/>
  <c r="W442" i="1"/>
  <c r="AE442" i="1" s="1"/>
  <c r="V442" i="1"/>
  <c r="AD441" i="1"/>
  <c r="AC441" i="1"/>
  <c r="AB441" i="1"/>
  <c r="Y441" i="1"/>
  <c r="Z441" i="1" s="1"/>
  <c r="AA441" i="1" s="1"/>
  <c r="X441" i="1"/>
  <c r="W441" i="1"/>
  <c r="V441" i="1"/>
  <c r="AD440" i="1"/>
  <c r="AC440" i="1"/>
  <c r="AB440" i="1"/>
  <c r="Z440" i="1"/>
  <c r="AA440" i="1" s="1"/>
  <c r="Y440" i="1"/>
  <c r="X440" i="1"/>
  <c r="W440" i="1"/>
  <c r="V440" i="1"/>
  <c r="AE440" i="1" s="1"/>
  <c r="AD439" i="1"/>
  <c r="AC439" i="1"/>
  <c r="AB439" i="1"/>
  <c r="Z439" i="1"/>
  <c r="AA439" i="1" s="1"/>
  <c r="Y439" i="1"/>
  <c r="X439" i="1"/>
  <c r="W439" i="1"/>
  <c r="V439" i="1"/>
  <c r="AE439" i="1" s="1"/>
  <c r="AD438" i="1"/>
  <c r="AC438" i="1"/>
  <c r="AB438" i="1"/>
  <c r="Z438" i="1"/>
  <c r="Y438" i="1"/>
  <c r="X438" i="1"/>
  <c r="W438" i="1"/>
  <c r="V438" i="1"/>
  <c r="AE438" i="1" s="1"/>
  <c r="AE437" i="1"/>
  <c r="AD437" i="1"/>
  <c r="AC437" i="1"/>
  <c r="AB437" i="1"/>
  <c r="Y437" i="1"/>
  <c r="X437" i="1"/>
  <c r="W437" i="1"/>
  <c r="V437" i="1"/>
  <c r="AD436" i="1"/>
  <c r="AC436" i="1"/>
  <c r="AB436" i="1"/>
  <c r="Y436" i="1"/>
  <c r="X436" i="1"/>
  <c r="W436" i="1"/>
  <c r="V436" i="1"/>
  <c r="AE436" i="1" s="1"/>
  <c r="AE435" i="1"/>
  <c r="AD435" i="1"/>
  <c r="AC435" i="1"/>
  <c r="AB435" i="1"/>
  <c r="Z435" i="1"/>
  <c r="AA435" i="1" s="1"/>
  <c r="Y435" i="1"/>
  <c r="X435" i="1"/>
  <c r="W435" i="1"/>
  <c r="V435" i="1"/>
  <c r="AD434" i="1"/>
  <c r="AC434" i="1"/>
  <c r="AB434" i="1"/>
  <c r="Y434" i="1"/>
  <c r="X434" i="1"/>
  <c r="W434" i="1"/>
  <c r="AE434" i="1" s="1"/>
  <c r="V434" i="1"/>
  <c r="AD433" i="1"/>
  <c r="AC433" i="1"/>
  <c r="AB433" i="1"/>
  <c r="AA433" i="1"/>
  <c r="Z433" i="1"/>
  <c r="Y433" i="1"/>
  <c r="X433" i="1"/>
  <c r="W433" i="1"/>
  <c r="V433" i="1"/>
  <c r="AE433" i="1" s="1"/>
  <c r="AD432" i="1"/>
  <c r="AC432" i="1"/>
  <c r="AB432" i="1"/>
  <c r="AA432" i="1"/>
  <c r="Z432" i="1"/>
  <c r="Y432" i="1"/>
  <c r="X432" i="1"/>
  <c r="W432" i="1"/>
  <c r="V432" i="1"/>
  <c r="AE432" i="1" s="1"/>
  <c r="AD431" i="1"/>
  <c r="AC431" i="1"/>
  <c r="AB431" i="1"/>
  <c r="Z431" i="1"/>
  <c r="AA431" i="1" s="1"/>
  <c r="Y431" i="1"/>
  <c r="X431" i="1"/>
  <c r="W431" i="1"/>
  <c r="V431" i="1"/>
  <c r="AE431" i="1" s="1"/>
  <c r="AE430" i="1"/>
  <c r="AD430" i="1"/>
  <c r="AC430" i="1"/>
  <c r="AB430" i="1"/>
  <c r="Y430" i="1"/>
  <c r="X430" i="1"/>
  <c r="W430" i="1"/>
  <c r="V430" i="1"/>
  <c r="AD429" i="1"/>
  <c r="AC429" i="1"/>
  <c r="AB429" i="1"/>
  <c r="Y429" i="1"/>
  <c r="X429" i="1"/>
  <c r="W429" i="1"/>
  <c r="V429" i="1"/>
  <c r="AE429" i="1" s="1"/>
  <c r="AD428" i="1"/>
  <c r="AC428" i="1"/>
  <c r="AB428" i="1"/>
  <c r="Z428" i="1"/>
  <c r="Y428" i="1"/>
  <c r="AA428" i="1" s="1"/>
  <c r="X428" i="1"/>
  <c r="W428" i="1"/>
  <c r="V428" i="1"/>
  <c r="AE428" i="1" s="1"/>
  <c r="AE427" i="1"/>
  <c r="AD427" i="1"/>
  <c r="AC427" i="1"/>
  <c r="AB427" i="1"/>
  <c r="AA427" i="1"/>
  <c r="Z427" i="1"/>
  <c r="Y427" i="1"/>
  <c r="X427" i="1"/>
  <c r="W427" i="1"/>
  <c r="V427" i="1"/>
  <c r="AD426" i="1"/>
  <c r="AC426" i="1"/>
  <c r="AB426" i="1"/>
  <c r="Y426" i="1"/>
  <c r="X426" i="1"/>
  <c r="W426" i="1"/>
  <c r="V426" i="1"/>
  <c r="AE426" i="1" s="1"/>
  <c r="AE425" i="1"/>
  <c r="AD425" i="1"/>
  <c r="AC425" i="1"/>
  <c r="AB425" i="1"/>
  <c r="Y425" i="1"/>
  <c r="Z425" i="1" s="1"/>
  <c r="X425" i="1"/>
  <c r="W425" i="1"/>
  <c r="V425" i="1"/>
  <c r="AD424" i="1"/>
  <c r="AC424" i="1"/>
  <c r="AB424" i="1"/>
  <c r="Z424" i="1"/>
  <c r="AA424" i="1" s="1"/>
  <c r="Y424" i="1"/>
  <c r="X424" i="1"/>
  <c r="W424" i="1"/>
  <c r="V424" i="1"/>
  <c r="AE424" i="1" s="1"/>
  <c r="AD423" i="1"/>
  <c r="AC423" i="1"/>
  <c r="AB423" i="1"/>
  <c r="Z423" i="1"/>
  <c r="AA423" i="1" s="1"/>
  <c r="Y423" i="1"/>
  <c r="X423" i="1"/>
  <c r="W423" i="1"/>
  <c r="V423" i="1"/>
  <c r="AE423" i="1" s="1"/>
  <c r="AE422" i="1"/>
  <c r="AD422" i="1"/>
  <c r="AC422" i="1"/>
  <c r="AB422" i="1"/>
  <c r="Z422" i="1"/>
  <c r="Y422" i="1"/>
  <c r="X422" i="1"/>
  <c r="W422" i="1"/>
  <c r="V422" i="1"/>
  <c r="AE421" i="1"/>
  <c r="AD421" i="1"/>
  <c r="AC421" i="1"/>
  <c r="AB421" i="1"/>
  <c r="Y421" i="1"/>
  <c r="X421" i="1"/>
  <c r="W421" i="1"/>
  <c r="V421" i="1"/>
  <c r="AD420" i="1"/>
  <c r="AC420" i="1"/>
  <c r="AB420" i="1"/>
  <c r="Z420" i="1"/>
  <c r="Y420" i="1"/>
  <c r="AA420" i="1" s="1"/>
  <c r="X420" i="1"/>
  <c r="W420" i="1"/>
  <c r="V420" i="1"/>
  <c r="AE420" i="1" s="1"/>
  <c r="AD419" i="1"/>
  <c r="AC419" i="1"/>
  <c r="AB419" i="1"/>
  <c r="Z419" i="1"/>
  <c r="AA419" i="1" s="1"/>
  <c r="Y419" i="1"/>
  <c r="X419" i="1"/>
  <c r="W419" i="1"/>
  <c r="V419" i="1"/>
  <c r="AE419" i="1" s="1"/>
  <c r="AD418" i="1"/>
  <c r="AC418" i="1"/>
  <c r="AB418" i="1"/>
  <c r="Y418" i="1"/>
  <c r="X418" i="1"/>
  <c r="W418" i="1"/>
  <c r="V418" i="1"/>
  <c r="AE418" i="1" s="1"/>
  <c r="AE417" i="1"/>
  <c r="AD417" i="1"/>
  <c r="AC417" i="1"/>
  <c r="AB417" i="1"/>
  <c r="AA417" i="1"/>
  <c r="Y417" i="1"/>
  <c r="Z417" i="1" s="1"/>
  <c r="X417" i="1"/>
  <c r="W417" i="1"/>
  <c r="V417" i="1"/>
  <c r="AD416" i="1"/>
  <c r="AC416" i="1"/>
  <c r="AB416" i="1"/>
  <c r="Y416" i="1"/>
  <c r="X416" i="1"/>
  <c r="W416" i="1"/>
  <c r="V416" i="1"/>
  <c r="AE416" i="1" s="1"/>
  <c r="AE415" i="1"/>
  <c r="AD415" i="1"/>
  <c r="AC415" i="1"/>
  <c r="AB415" i="1"/>
  <c r="Z415" i="1"/>
  <c r="AA415" i="1" s="1"/>
  <c r="Y415" i="1"/>
  <c r="X415" i="1"/>
  <c r="W415" i="1"/>
  <c r="V415" i="1"/>
  <c r="AD414" i="1"/>
  <c r="AC414" i="1"/>
  <c r="AB414" i="1"/>
  <c r="Z414" i="1"/>
  <c r="Y414" i="1"/>
  <c r="X414" i="1"/>
  <c r="W414" i="1"/>
  <c r="V414" i="1"/>
  <c r="AE414" i="1" s="1"/>
  <c r="AE413" i="1"/>
  <c r="AD413" i="1"/>
  <c r="AC413" i="1"/>
  <c r="AB413" i="1"/>
  <c r="Y413" i="1"/>
  <c r="Z413" i="1" s="1"/>
  <c r="AA413" i="1" s="1"/>
  <c r="X413" i="1"/>
  <c r="W413" i="1"/>
  <c r="V413" i="1"/>
  <c r="AD412" i="1"/>
  <c r="AC412" i="1"/>
  <c r="AB412" i="1"/>
  <c r="AA412" i="1"/>
  <c r="Z412" i="1"/>
  <c r="Y412" i="1"/>
  <c r="X412" i="1"/>
  <c r="W412" i="1"/>
  <c r="V412" i="1"/>
  <c r="AE412" i="1" s="1"/>
  <c r="AD411" i="1"/>
  <c r="AC411" i="1"/>
  <c r="AB411" i="1"/>
  <c r="AA411" i="1"/>
  <c r="Z411" i="1"/>
  <c r="Y411" i="1"/>
  <c r="X411" i="1"/>
  <c r="W411" i="1"/>
  <c r="V411" i="1"/>
  <c r="AD410" i="1"/>
  <c r="AC410" i="1"/>
  <c r="AB410" i="1"/>
  <c r="Y410" i="1"/>
  <c r="X410" i="1"/>
  <c r="W410" i="1"/>
  <c r="AE410" i="1" s="1"/>
  <c r="V410" i="1"/>
  <c r="AD409" i="1"/>
  <c r="AC409" i="1"/>
  <c r="AB409" i="1"/>
  <c r="Z409" i="1"/>
  <c r="Y409" i="1"/>
  <c r="AA409" i="1" s="1"/>
  <c r="X409" i="1"/>
  <c r="W409" i="1"/>
  <c r="V409" i="1"/>
  <c r="AE409" i="1" s="1"/>
  <c r="AD408" i="1"/>
  <c r="AC408" i="1"/>
  <c r="AB408" i="1"/>
  <c r="Z408" i="1"/>
  <c r="AA408" i="1" s="1"/>
  <c r="Y408" i="1"/>
  <c r="X408" i="1"/>
  <c r="W408" i="1"/>
  <c r="V408" i="1"/>
  <c r="AE408" i="1" s="1"/>
  <c r="AD407" i="1"/>
  <c r="AC407" i="1"/>
  <c r="AB407" i="1"/>
  <c r="AA407" i="1"/>
  <c r="Z407" i="1"/>
  <c r="Y407" i="1"/>
  <c r="X407" i="1"/>
  <c r="W407" i="1"/>
  <c r="V407" i="1"/>
  <c r="AE407" i="1" s="1"/>
  <c r="AD406" i="1"/>
  <c r="AC406" i="1"/>
  <c r="AB406" i="1"/>
  <c r="Z406" i="1"/>
  <c r="Y406" i="1"/>
  <c r="X406" i="1"/>
  <c r="W406" i="1"/>
  <c r="V406" i="1"/>
  <c r="AE405" i="1"/>
  <c r="AD405" i="1"/>
  <c r="AC405" i="1"/>
  <c r="AB405" i="1"/>
  <c r="Y405" i="1"/>
  <c r="X405" i="1"/>
  <c r="W405" i="1"/>
  <c r="V405" i="1"/>
  <c r="AD404" i="1"/>
  <c r="AC404" i="1"/>
  <c r="AB404" i="1"/>
  <c r="Y404" i="1"/>
  <c r="X404" i="1"/>
  <c r="W404" i="1"/>
  <c r="V404" i="1"/>
  <c r="AE404" i="1" s="1"/>
  <c r="AE403" i="1"/>
  <c r="AD403" i="1"/>
  <c r="AC403" i="1"/>
  <c r="AB403" i="1"/>
  <c r="Z403" i="1"/>
  <c r="AA403" i="1" s="1"/>
  <c r="Y403" i="1"/>
  <c r="X403" i="1"/>
  <c r="W403" i="1"/>
  <c r="V403" i="1"/>
  <c r="AD402" i="1"/>
  <c r="AC402" i="1"/>
  <c r="AB402" i="1"/>
  <c r="Y402" i="1"/>
  <c r="Z402" i="1" s="1"/>
  <c r="X402" i="1"/>
  <c r="W402" i="1"/>
  <c r="AE402" i="1" s="1"/>
  <c r="V402" i="1"/>
  <c r="AD401" i="1"/>
  <c r="AC401" i="1"/>
  <c r="AB401" i="1"/>
  <c r="AA401" i="1"/>
  <c r="Z401" i="1"/>
  <c r="Y401" i="1"/>
  <c r="X401" i="1"/>
  <c r="W401" i="1"/>
  <c r="V401" i="1"/>
  <c r="AE401" i="1" s="1"/>
  <c r="AD400" i="1"/>
  <c r="AC400" i="1"/>
  <c r="AB400" i="1"/>
  <c r="AA400" i="1"/>
  <c r="Z400" i="1"/>
  <c r="Y400" i="1"/>
  <c r="X400" i="1"/>
  <c r="W400" i="1"/>
  <c r="V400" i="1"/>
  <c r="AE400" i="1" s="1"/>
  <c r="AD399" i="1"/>
  <c r="AC399" i="1"/>
  <c r="AB399" i="1"/>
  <c r="Z399" i="1"/>
  <c r="AA399" i="1" s="1"/>
  <c r="Y399" i="1"/>
  <c r="X399" i="1"/>
  <c r="W399" i="1"/>
  <c r="V399" i="1"/>
  <c r="AE399" i="1" s="1"/>
  <c r="AE398" i="1"/>
  <c r="AD398" i="1"/>
  <c r="AC398" i="1"/>
  <c r="AB398" i="1"/>
  <c r="Y398" i="1"/>
  <c r="X398" i="1"/>
  <c r="W398" i="1"/>
  <c r="V398" i="1"/>
  <c r="AD397" i="1"/>
  <c r="AC397" i="1"/>
  <c r="AB397" i="1"/>
  <c r="Y397" i="1"/>
  <c r="X397" i="1"/>
  <c r="W397" i="1"/>
  <c r="V397" i="1"/>
  <c r="AE397" i="1" s="1"/>
  <c r="AD396" i="1"/>
  <c r="AC396" i="1"/>
  <c r="AB396" i="1"/>
  <c r="Z396" i="1"/>
  <c r="Y396" i="1"/>
  <c r="AA396" i="1" s="1"/>
  <c r="X396" i="1"/>
  <c r="W396" i="1"/>
  <c r="V396" i="1"/>
  <c r="AE396" i="1" s="1"/>
  <c r="AD395" i="1"/>
  <c r="AC395" i="1"/>
  <c r="AB395" i="1"/>
  <c r="AA395" i="1"/>
  <c r="Z395" i="1"/>
  <c r="Y395" i="1"/>
  <c r="X395" i="1"/>
  <c r="W395" i="1"/>
  <c r="V395" i="1"/>
  <c r="AE395" i="1" s="1"/>
  <c r="AD394" i="1"/>
  <c r="AC394" i="1"/>
  <c r="AB394" i="1"/>
  <c r="Y394" i="1"/>
  <c r="X394" i="1"/>
  <c r="W394" i="1"/>
  <c r="V394" i="1"/>
  <c r="AE393" i="1"/>
  <c r="AD393" i="1"/>
  <c r="AC393" i="1"/>
  <c r="AB393" i="1"/>
  <c r="Y393" i="1"/>
  <c r="Z393" i="1" s="1"/>
  <c r="X393" i="1"/>
  <c r="W393" i="1"/>
  <c r="V393" i="1"/>
  <c r="AD392" i="1"/>
  <c r="AC392" i="1"/>
  <c r="AB392" i="1"/>
  <c r="Y392" i="1"/>
  <c r="Z392" i="1" s="1"/>
  <c r="AA392" i="1" s="1"/>
  <c r="X392" i="1"/>
  <c r="W392" i="1"/>
  <c r="V392" i="1"/>
  <c r="AE392" i="1" s="1"/>
  <c r="AD391" i="1"/>
  <c r="AC391" i="1"/>
  <c r="AB391" i="1"/>
  <c r="Z391" i="1"/>
  <c r="AA391" i="1" s="1"/>
  <c r="Y391" i="1"/>
  <c r="X391" i="1"/>
  <c r="W391" i="1"/>
  <c r="V391" i="1"/>
  <c r="AE391" i="1" s="1"/>
  <c r="AE390" i="1"/>
  <c r="AD390" i="1"/>
  <c r="AC390" i="1"/>
  <c r="AB390" i="1"/>
  <c r="Z390" i="1"/>
  <c r="Y390" i="1"/>
  <c r="X390" i="1"/>
  <c r="W390" i="1"/>
  <c r="V390" i="1"/>
  <c r="AD389" i="1"/>
  <c r="AC389" i="1"/>
  <c r="AB389" i="1"/>
  <c r="Y389" i="1"/>
  <c r="X389" i="1"/>
  <c r="W389" i="1"/>
  <c r="V389" i="1"/>
  <c r="AE389" i="1" s="1"/>
  <c r="AE388" i="1"/>
  <c r="AD388" i="1"/>
  <c r="AC388" i="1"/>
  <c r="AB388" i="1"/>
  <c r="AA388" i="1"/>
  <c r="Y388" i="1"/>
  <c r="Z388" i="1" s="1"/>
  <c r="X388" i="1"/>
  <c r="W388" i="1"/>
  <c r="V388" i="1"/>
  <c r="AD387" i="1"/>
  <c r="AC387" i="1"/>
  <c r="AB387" i="1"/>
  <c r="Z387" i="1"/>
  <c r="AA387" i="1" s="1"/>
  <c r="Y387" i="1"/>
  <c r="X387" i="1"/>
  <c r="W387" i="1"/>
  <c r="V387" i="1"/>
  <c r="AE387" i="1" s="1"/>
  <c r="AD386" i="1"/>
  <c r="AC386" i="1"/>
  <c r="AB386" i="1"/>
  <c r="Z386" i="1"/>
  <c r="Y386" i="1"/>
  <c r="X386" i="1"/>
  <c r="W386" i="1"/>
  <c r="V386" i="1"/>
  <c r="AE386" i="1" s="1"/>
  <c r="AE385" i="1"/>
  <c r="AD385" i="1"/>
  <c r="AC385" i="1"/>
  <c r="AB385" i="1"/>
  <c r="AA385" i="1"/>
  <c r="Z385" i="1"/>
  <c r="Y385" i="1"/>
  <c r="X385" i="1"/>
  <c r="W385" i="1"/>
  <c r="V385" i="1"/>
  <c r="AD384" i="1"/>
  <c r="AC384" i="1"/>
  <c r="AB384" i="1"/>
  <c r="Y384" i="1"/>
  <c r="X384" i="1"/>
  <c r="W384" i="1"/>
  <c r="V384" i="1"/>
  <c r="AE384" i="1" s="1"/>
  <c r="AE383" i="1"/>
  <c r="AD383" i="1"/>
  <c r="AC383" i="1"/>
  <c r="AB383" i="1"/>
  <c r="AA383" i="1"/>
  <c r="Z383" i="1"/>
  <c r="Y383" i="1"/>
  <c r="X383" i="1"/>
  <c r="W383" i="1"/>
  <c r="V383" i="1"/>
  <c r="AD382" i="1"/>
  <c r="AC382" i="1"/>
  <c r="AB382" i="1"/>
  <c r="Y382" i="1"/>
  <c r="Z382" i="1" s="1"/>
  <c r="X382" i="1"/>
  <c r="W382" i="1"/>
  <c r="V382" i="1"/>
  <c r="AE382" i="1" s="1"/>
  <c r="AE381" i="1"/>
  <c r="AD381" i="1"/>
  <c r="AC381" i="1"/>
  <c r="AB381" i="1"/>
  <c r="Z381" i="1"/>
  <c r="AA381" i="1" s="1"/>
  <c r="Y381" i="1"/>
  <c r="X381" i="1"/>
  <c r="W381" i="1"/>
  <c r="V381" i="1"/>
  <c r="AE380" i="1"/>
  <c r="AD380" i="1"/>
  <c r="AC380" i="1"/>
  <c r="AB380" i="1"/>
  <c r="Y380" i="1"/>
  <c r="X380" i="1"/>
  <c r="W380" i="1"/>
  <c r="V380" i="1"/>
  <c r="AD379" i="1"/>
  <c r="AC379" i="1"/>
  <c r="AB379" i="1"/>
  <c r="AA379" i="1"/>
  <c r="Z379" i="1"/>
  <c r="Y379" i="1"/>
  <c r="X379" i="1"/>
  <c r="W379" i="1"/>
  <c r="V379" i="1"/>
  <c r="AE379" i="1" s="1"/>
  <c r="AE378" i="1"/>
  <c r="AD378" i="1"/>
  <c r="AC378" i="1"/>
  <c r="AB378" i="1"/>
  <c r="Z378" i="1"/>
  <c r="Y378" i="1"/>
  <c r="X378" i="1"/>
  <c r="W378" i="1"/>
  <c r="V378" i="1"/>
  <c r="AD377" i="1"/>
  <c r="AC377" i="1"/>
  <c r="AB377" i="1"/>
  <c r="Z377" i="1"/>
  <c r="AA377" i="1" s="1"/>
  <c r="Y377" i="1"/>
  <c r="X377" i="1"/>
  <c r="W377" i="1"/>
  <c r="V377" i="1"/>
  <c r="AE377" i="1" s="1"/>
  <c r="AD376" i="1"/>
  <c r="AC376" i="1"/>
  <c r="AB376" i="1"/>
  <c r="AA376" i="1"/>
  <c r="Z376" i="1"/>
  <c r="Y376" i="1"/>
  <c r="X376" i="1"/>
  <c r="W376" i="1"/>
  <c r="V376" i="1"/>
  <c r="AE376" i="1" s="1"/>
  <c r="AD375" i="1"/>
  <c r="AC375" i="1"/>
  <c r="AB375" i="1"/>
  <c r="AA375" i="1"/>
  <c r="Z375" i="1"/>
  <c r="Y375" i="1"/>
  <c r="X375" i="1"/>
  <c r="W375" i="1"/>
  <c r="AE375" i="1" s="1"/>
  <c r="V375" i="1"/>
  <c r="AD374" i="1"/>
  <c r="AC374" i="1"/>
  <c r="AB374" i="1"/>
  <c r="Y374" i="1"/>
  <c r="Z374" i="1" s="1"/>
  <c r="AA374" i="1" s="1"/>
  <c r="X374" i="1"/>
  <c r="W374" i="1"/>
  <c r="V374" i="1"/>
  <c r="AE374" i="1" s="1"/>
  <c r="AE373" i="1"/>
  <c r="AD373" i="1"/>
  <c r="AC373" i="1"/>
  <c r="AB373" i="1"/>
  <c r="Y373" i="1"/>
  <c r="Z373" i="1" s="1"/>
  <c r="AA373" i="1" s="1"/>
  <c r="X373" i="1"/>
  <c r="W373" i="1"/>
  <c r="V373" i="1"/>
  <c r="AE372" i="1"/>
  <c r="AD372" i="1"/>
  <c r="AC372" i="1"/>
  <c r="AB372" i="1"/>
  <c r="AA372" i="1"/>
  <c r="Z372" i="1"/>
  <c r="Y372" i="1"/>
  <c r="X372" i="1"/>
  <c r="W372" i="1"/>
  <c r="V372" i="1"/>
  <c r="AE371" i="1"/>
  <c r="AD371" i="1"/>
  <c r="AC371" i="1"/>
  <c r="AB371" i="1"/>
  <c r="Y371" i="1"/>
  <c r="X371" i="1"/>
  <c r="W371" i="1"/>
  <c r="V371" i="1"/>
  <c r="AE370" i="1"/>
  <c r="AD370" i="1"/>
  <c r="AC370" i="1"/>
  <c r="AB370" i="1"/>
  <c r="Z370" i="1"/>
  <c r="Y370" i="1"/>
  <c r="X370" i="1"/>
  <c r="W370" i="1"/>
  <c r="V370" i="1"/>
  <c r="AD369" i="1"/>
  <c r="AC369" i="1"/>
  <c r="AB369" i="1"/>
  <c r="Z369" i="1"/>
  <c r="AA369" i="1" s="1"/>
  <c r="Y369" i="1"/>
  <c r="X369" i="1"/>
  <c r="W369" i="1"/>
  <c r="V369" i="1"/>
  <c r="AE369" i="1" s="1"/>
  <c r="AD368" i="1"/>
  <c r="AC368" i="1"/>
  <c r="AB368" i="1"/>
  <c r="Y368" i="1"/>
  <c r="Z368" i="1" s="1"/>
  <c r="AA368" i="1" s="1"/>
  <c r="X368" i="1"/>
  <c r="W368" i="1"/>
  <c r="V368" i="1"/>
  <c r="AE368" i="1" s="1"/>
  <c r="AE367" i="1"/>
  <c r="AD367" i="1"/>
  <c r="AC367" i="1"/>
  <c r="AB367" i="1"/>
  <c r="Z367" i="1"/>
  <c r="AA367" i="1" s="1"/>
  <c r="Y367" i="1"/>
  <c r="X367" i="1"/>
  <c r="W367" i="1"/>
  <c r="V367" i="1"/>
  <c r="AD366" i="1"/>
  <c r="AC366" i="1"/>
  <c r="AB366" i="1"/>
  <c r="Y366" i="1"/>
  <c r="X366" i="1"/>
  <c r="W366" i="1"/>
  <c r="V366" i="1"/>
  <c r="AE366" i="1" s="1"/>
  <c r="AE365" i="1"/>
  <c r="AD365" i="1"/>
  <c r="AC365" i="1"/>
  <c r="AB365" i="1"/>
  <c r="Y365" i="1"/>
  <c r="Z365" i="1" s="1"/>
  <c r="X365" i="1"/>
  <c r="W365" i="1"/>
  <c r="V365" i="1"/>
  <c r="AD364" i="1"/>
  <c r="AC364" i="1"/>
  <c r="AB364" i="1"/>
  <c r="Y364" i="1"/>
  <c r="Z364" i="1" s="1"/>
  <c r="X364" i="1"/>
  <c r="W364" i="1"/>
  <c r="V364" i="1"/>
  <c r="AE364" i="1" s="1"/>
  <c r="AD363" i="1"/>
  <c r="AC363" i="1"/>
  <c r="AB363" i="1"/>
  <c r="Z363" i="1"/>
  <c r="AA363" i="1" s="1"/>
  <c r="Y363" i="1"/>
  <c r="X363" i="1"/>
  <c r="W363" i="1"/>
  <c r="V363" i="1"/>
  <c r="AE363" i="1" s="1"/>
  <c r="AE362" i="1"/>
  <c r="AD362" i="1"/>
  <c r="AC362" i="1"/>
  <c r="AB362" i="1"/>
  <c r="Z362" i="1"/>
  <c r="Y362" i="1"/>
  <c r="X362" i="1"/>
  <c r="W362" i="1"/>
  <c r="V362" i="1"/>
  <c r="AD361" i="1"/>
  <c r="AC361" i="1"/>
  <c r="AB361" i="1"/>
  <c r="Y361" i="1"/>
  <c r="X361" i="1"/>
  <c r="W361" i="1"/>
  <c r="V361" i="1"/>
  <c r="AE361" i="1" s="1"/>
  <c r="AD360" i="1"/>
  <c r="AC360" i="1"/>
  <c r="AB360" i="1"/>
  <c r="AA360" i="1"/>
  <c r="Y360" i="1"/>
  <c r="Z360" i="1" s="1"/>
  <c r="X360" i="1"/>
  <c r="W360" i="1"/>
  <c r="V360" i="1"/>
  <c r="AE360" i="1" s="1"/>
  <c r="AD359" i="1"/>
  <c r="AC359" i="1"/>
  <c r="AB359" i="1"/>
  <c r="Z359" i="1"/>
  <c r="AA359" i="1" s="1"/>
  <c r="Y359" i="1"/>
  <c r="X359" i="1"/>
  <c r="W359" i="1"/>
  <c r="V359" i="1"/>
  <c r="AE359" i="1" s="1"/>
  <c r="AE358" i="1"/>
  <c r="AD358" i="1"/>
  <c r="AC358" i="1"/>
  <c r="AB358" i="1"/>
  <c r="Z358" i="1"/>
  <c r="AA358" i="1" s="1"/>
  <c r="Y358" i="1"/>
  <c r="X358" i="1"/>
  <c r="W358" i="1"/>
  <c r="V358" i="1"/>
  <c r="AD357" i="1"/>
  <c r="AC357" i="1"/>
  <c r="AB357" i="1"/>
  <c r="Y357" i="1"/>
  <c r="Z357" i="1" s="1"/>
  <c r="X357" i="1"/>
  <c r="W357" i="1"/>
  <c r="AE357" i="1" s="1"/>
  <c r="V357" i="1"/>
  <c r="AD356" i="1"/>
  <c r="AC356" i="1"/>
  <c r="AB356" i="1"/>
  <c r="Z356" i="1"/>
  <c r="Y356" i="1"/>
  <c r="AA356" i="1" s="1"/>
  <c r="X356" i="1"/>
  <c r="W356" i="1"/>
  <c r="V356" i="1"/>
  <c r="AE356" i="1" s="1"/>
  <c r="AE355" i="1"/>
  <c r="AD355" i="1"/>
  <c r="AC355" i="1"/>
  <c r="AB355" i="1"/>
  <c r="Y355" i="1"/>
  <c r="Z355" i="1" s="1"/>
  <c r="AA355" i="1" s="1"/>
  <c r="X355" i="1"/>
  <c r="W355" i="1"/>
  <c r="V355" i="1"/>
  <c r="AE354" i="1"/>
  <c r="AD354" i="1"/>
  <c r="AC354" i="1"/>
  <c r="AB354" i="1"/>
  <c r="Z354" i="1"/>
  <c r="Y354" i="1"/>
  <c r="X354" i="1"/>
  <c r="W354" i="1"/>
  <c r="V354" i="1"/>
  <c r="AD353" i="1"/>
  <c r="AC353" i="1"/>
  <c r="AB353" i="1"/>
  <c r="Y353" i="1"/>
  <c r="X353" i="1"/>
  <c r="W353" i="1"/>
  <c r="V353" i="1"/>
  <c r="AD352" i="1"/>
  <c r="AC352" i="1"/>
  <c r="AB352" i="1"/>
  <c r="Y352" i="1"/>
  <c r="Z352" i="1" s="1"/>
  <c r="X352" i="1"/>
  <c r="W352" i="1"/>
  <c r="V352" i="1"/>
  <c r="AD351" i="1"/>
  <c r="AC351" i="1"/>
  <c r="AB351" i="1"/>
  <c r="Z351" i="1"/>
  <c r="AA351" i="1" s="1"/>
  <c r="Y351" i="1"/>
  <c r="X351" i="1"/>
  <c r="W351" i="1"/>
  <c r="V351" i="1"/>
  <c r="AE351" i="1" s="1"/>
  <c r="AE350" i="1"/>
  <c r="AD350" i="1"/>
  <c r="AC350" i="1"/>
  <c r="AB350" i="1"/>
  <c r="AA350" i="1"/>
  <c r="Y350" i="1"/>
  <c r="Z350" i="1" s="1"/>
  <c r="X350" i="1"/>
  <c r="W350" i="1"/>
  <c r="V350" i="1"/>
  <c r="AE349" i="1"/>
  <c r="AD349" i="1"/>
  <c r="AC349" i="1"/>
  <c r="AB349" i="1"/>
  <c r="Y349" i="1"/>
  <c r="Z349" i="1" s="1"/>
  <c r="AA349" i="1" s="1"/>
  <c r="X349" i="1"/>
  <c r="W349" i="1"/>
  <c r="V349" i="1"/>
  <c r="AD348" i="1"/>
  <c r="AC348" i="1"/>
  <c r="AB348" i="1"/>
  <c r="Y348" i="1"/>
  <c r="X348" i="1"/>
  <c r="W348" i="1"/>
  <c r="V348" i="1"/>
  <c r="AE348" i="1" s="1"/>
  <c r="AE347" i="1"/>
  <c r="AD347" i="1"/>
  <c r="AC347" i="1"/>
  <c r="AB347" i="1"/>
  <c r="Z347" i="1"/>
  <c r="Y347" i="1"/>
  <c r="AA347" i="1" s="1"/>
  <c r="X347" i="1"/>
  <c r="W347" i="1"/>
  <c r="V347" i="1"/>
  <c r="AD346" i="1"/>
  <c r="AC346" i="1"/>
  <c r="AB346" i="1"/>
  <c r="Y346" i="1"/>
  <c r="X346" i="1"/>
  <c r="W346" i="1"/>
  <c r="V346" i="1"/>
  <c r="AE346" i="1" s="1"/>
  <c r="AD345" i="1"/>
  <c r="AC345" i="1"/>
  <c r="AB345" i="1"/>
  <c r="Y345" i="1"/>
  <c r="X345" i="1"/>
  <c r="W345" i="1"/>
  <c r="V345" i="1"/>
  <c r="AD344" i="1"/>
  <c r="AC344" i="1"/>
  <c r="AB344" i="1"/>
  <c r="Y344" i="1"/>
  <c r="Z344" i="1" s="1"/>
  <c r="X344" i="1"/>
  <c r="W344" i="1"/>
  <c r="V344" i="1"/>
  <c r="AE344" i="1" s="1"/>
  <c r="AE343" i="1"/>
  <c r="AD343" i="1"/>
  <c r="AC343" i="1"/>
  <c r="AB343" i="1"/>
  <c r="Z343" i="1"/>
  <c r="AA343" i="1" s="1"/>
  <c r="Y343" i="1"/>
  <c r="X343" i="1"/>
  <c r="W343" i="1"/>
  <c r="V343" i="1"/>
  <c r="AE342" i="1"/>
  <c r="AD342" i="1"/>
  <c r="AC342" i="1"/>
  <c r="AB342" i="1"/>
  <c r="Y342" i="1"/>
  <c r="Z342" i="1" s="1"/>
  <c r="X342" i="1"/>
  <c r="W342" i="1"/>
  <c r="V342" i="1"/>
  <c r="AD341" i="1"/>
  <c r="AC341" i="1"/>
  <c r="AB341" i="1"/>
  <c r="Y341" i="1"/>
  <c r="Z341" i="1" s="1"/>
  <c r="AA341" i="1" s="1"/>
  <c r="X341" i="1"/>
  <c r="W341" i="1"/>
  <c r="V341" i="1"/>
  <c r="AE341" i="1" s="1"/>
  <c r="AE340" i="1"/>
  <c r="AD340" i="1"/>
  <c r="AC340" i="1"/>
  <c r="AB340" i="1"/>
  <c r="Z340" i="1"/>
  <c r="AA340" i="1" s="1"/>
  <c r="Y340" i="1"/>
  <c r="X340" i="1"/>
  <c r="W340" i="1"/>
  <c r="V340" i="1"/>
  <c r="AD339" i="1"/>
  <c r="AC339" i="1"/>
  <c r="AB339" i="1"/>
  <c r="Y339" i="1"/>
  <c r="Z339" i="1" s="1"/>
  <c r="X339" i="1"/>
  <c r="W339" i="1"/>
  <c r="AE339" i="1" s="1"/>
  <c r="V339" i="1"/>
  <c r="AD338" i="1"/>
  <c r="AC338" i="1"/>
  <c r="AB338" i="1"/>
  <c r="Z338" i="1"/>
  <c r="Y338" i="1"/>
  <c r="X338" i="1"/>
  <c r="W338" i="1"/>
  <c r="V338" i="1"/>
  <c r="AE338" i="1" s="1"/>
  <c r="AE337" i="1"/>
  <c r="AD337" i="1"/>
  <c r="AC337" i="1"/>
  <c r="AB337" i="1"/>
  <c r="Z337" i="1"/>
  <c r="AA337" i="1" s="1"/>
  <c r="Y337" i="1"/>
  <c r="X337" i="1"/>
  <c r="W337" i="1"/>
  <c r="V337" i="1"/>
  <c r="AD336" i="1"/>
  <c r="AC336" i="1"/>
  <c r="AB336" i="1"/>
  <c r="Y336" i="1"/>
  <c r="Z336" i="1" s="1"/>
  <c r="AA336" i="1" s="1"/>
  <c r="X336" i="1"/>
  <c r="W336" i="1"/>
  <c r="V336" i="1"/>
  <c r="AD335" i="1"/>
  <c r="AC335" i="1"/>
  <c r="AB335" i="1"/>
  <c r="Z335" i="1"/>
  <c r="AA335" i="1" s="1"/>
  <c r="Y335" i="1"/>
  <c r="X335" i="1"/>
  <c r="W335" i="1"/>
  <c r="V335" i="1"/>
  <c r="AE335" i="1" s="1"/>
  <c r="AD334" i="1"/>
  <c r="AC334" i="1"/>
  <c r="AB334" i="1"/>
  <c r="AA334" i="1"/>
  <c r="Y334" i="1"/>
  <c r="Z334" i="1" s="1"/>
  <c r="X334" i="1"/>
  <c r="W334" i="1"/>
  <c r="AE334" i="1" s="1"/>
  <c r="V334" i="1"/>
  <c r="AD333" i="1"/>
  <c r="AC333" i="1"/>
  <c r="AB333" i="1"/>
  <c r="Z333" i="1"/>
  <c r="AA333" i="1" s="1"/>
  <c r="Y333" i="1"/>
  <c r="X333" i="1"/>
  <c r="W333" i="1"/>
  <c r="V333" i="1"/>
  <c r="AE333" i="1" s="1"/>
  <c r="AD332" i="1"/>
  <c r="AC332" i="1"/>
  <c r="AB332" i="1"/>
  <c r="AA332" i="1"/>
  <c r="Z332" i="1"/>
  <c r="Y332" i="1"/>
  <c r="X332" i="1"/>
  <c r="W332" i="1"/>
  <c r="V332" i="1"/>
  <c r="AE332" i="1" s="1"/>
  <c r="AE331" i="1"/>
  <c r="AD331" i="1"/>
  <c r="AC331" i="1"/>
  <c r="AB331" i="1"/>
  <c r="Z331" i="1"/>
  <c r="Y331" i="1"/>
  <c r="AA331" i="1" s="1"/>
  <c r="X331" i="1"/>
  <c r="W331" i="1"/>
  <c r="V331" i="1"/>
  <c r="AD330" i="1"/>
  <c r="AC330" i="1"/>
  <c r="AB330" i="1"/>
  <c r="Y330" i="1"/>
  <c r="X330" i="1"/>
  <c r="W330" i="1"/>
  <c r="V330" i="1"/>
  <c r="AE330" i="1" s="1"/>
  <c r="AE329" i="1"/>
  <c r="AD329" i="1"/>
  <c r="AC329" i="1"/>
  <c r="AB329" i="1"/>
  <c r="Y329" i="1"/>
  <c r="X329" i="1"/>
  <c r="W329" i="1"/>
  <c r="V329" i="1"/>
  <c r="AD328" i="1"/>
  <c r="AC328" i="1"/>
  <c r="AB328" i="1"/>
  <c r="Y328" i="1"/>
  <c r="Z328" i="1" s="1"/>
  <c r="X328" i="1"/>
  <c r="W328" i="1"/>
  <c r="V328" i="1"/>
  <c r="AE328" i="1" s="1"/>
  <c r="AD327" i="1"/>
  <c r="AC327" i="1"/>
  <c r="AB327" i="1"/>
  <c r="AA327" i="1"/>
  <c r="Z327" i="1"/>
  <c r="Y327" i="1"/>
  <c r="X327" i="1"/>
  <c r="W327" i="1"/>
  <c r="V327" i="1"/>
  <c r="AE327" i="1" s="1"/>
  <c r="AE326" i="1"/>
  <c r="AD326" i="1"/>
  <c r="AC326" i="1"/>
  <c r="AB326" i="1"/>
  <c r="Z326" i="1"/>
  <c r="AA326" i="1" s="1"/>
  <c r="Y326" i="1"/>
  <c r="X326" i="1"/>
  <c r="W326" i="1"/>
  <c r="V326" i="1"/>
  <c r="AD325" i="1"/>
  <c r="AC325" i="1"/>
  <c r="AB325" i="1"/>
  <c r="Y325" i="1"/>
  <c r="Z325" i="1" s="1"/>
  <c r="X325" i="1"/>
  <c r="W325" i="1"/>
  <c r="V325" i="1"/>
  <c r="AE325" i="1" s="1"/>
  <c r="AE324" i="1"/>
  <c r="AD324" i="1"/>
  <c r="AC324" i="1"/>
  <c r="AB324" i="1"/>
  <c r="Y324" i="1"/>
  <c r="Z324" i="1" s="1"/>
  <c r="AA324" i="1" s="1"/>
  <c r="X324" i="1"/>
  <c r="W324" i="1"/>
  <c r="V324" i="1"/>
  <c r="AD323" i="1"/>
  <c r="AC323" i="1"/>
  <c r="AB323" i="1"/>
  <c r="Y323" i="1"/>
  <c r="Z323" i="1" s="1"/>
  <c r="X323" i="1"/>
  <c r="W323" i="1"/>
  <c r="V323" i="1"/>
  <c r="AE323" i="1" s="1"/>
  <c r="AD322" i="1"/>
  <c r="AC322" i="1"/>
  <c r="AB322" i="1"/>
  <c r="Y322" i="1"/>
  <c r="X322" i="1"/>
  <c r="W322" i="1"/>
  <c r="V322" i="1"/>
  <c r="AE322" i="1" s="1"/>
  <c r="AD321" i="1"/>
  <c r="AC321" i="1"/>
  <c r="AB321" i="1"/>
  <c r="Z321" i="1"/>
  <c r="AA321" i="1" s="1"/>
  <c r="Y321" i="1"/>
  <c r="X321" i="1"/>
  <c r="W321" i="1"/>
  <c r="V321" i="1"/>
  <c r="AE321" i="1" s="1"/>
  <c r="AD320" i="1"/>
  <c r="AC320" i="1"/>
  <c r="AB320" i="1"/>
  <c r="Y320" i="1"/>
  <c r="X320" i="1"/>
  <c r="W320" i="1"/>
  <c r="V320" i="1"/>
  <c r="AE320" i="1" s="1"/>
  <c r="AE319" i="1"/>
  <c r="AD319" i="1"/>
  <c r="AC319" i="1"/>
  <c r="AB319" i="1"/>
  <c r="Z319" i="1"/>
  <c r="AA319" i="1" s="1"/>
  <c r="Y319" i="1"/>
  <c r="X319" i="1"/>
  <c r="W319" i="1"/>
  <c r="V319" i="1"/>
  <c r="AD318" i="1"/>
  <c r="AC318" i="1"/>
  <c r="AB318" i="1"/>
  <c r="Y318" i="1"/>
  <c r="X318" i="1"/>
  <c r="W318" i="1"/>
  <c r="V318" i="1"/>
  <c r="AE318" i="1" s="1"/>
  <c r="AE317" i="1"/>
  <c r="AD317" i="1"/>
  <c r="AC317" i="1"/>
  <c r="AB317" i="1"/>
  <c r="Z317" i="1"/>
  <c r="AA317" i="1" s="1"/>
  <c r="Y317" i="1"/>
  <c r="X317" i="1"/>
  <c r="W317" i="1"/>
  <c r="V317" i="1"/>
  <c r="AE316" i="1"/>
  <c r="AD316" i="1"/>
  <c r="AC316" i="1"/>
  <c r="AB316" i="1"/>
  <c r="Y316" i="1"/>
  <c r="Z316" i="1" s="1"/>
  <c r="X316" i="1"/>
  <c r="W316" i="1"/>
  <c r="V316" i="1"/>
  <c r="AD315" i="1"/>
  <c r="AC315" i="1"/>
  <c r="AB315" i="1"/>
  <c r="Z315" i="1"/>
  <c r="AA315" i="1" s="1"/>
  <c r="Y315" i="1"/>
  <c r="X315" i="1"/>
  <c r="W315" i="1"/>
  <c r="V315" i="1"/>
  <c r="AE315" i="1" s="1"/>
  <c r="AE314" i="1"/>
  <c r="AD314" i="1"/>
  <c r="AC314" i="1"/>
  <c r="AB314" i="1"/>
  <c r="Z314" i="1"/>
  <c r="Y314" i="1"/>
  <c r="X314" i="1"/>
  <c r="W314" i="1"/>
  <c r="V314" i="1"/>
  <c r="AD313" i="1"/>
  <c r="AC313" i="1"/>
  <c r="AB313" i="1"/>
  <c r="Y313" i="1"/>
  <c r="X313" i="1"/>
  <c r="W313" i="1"/>
  <c r="V313" i="1"/>
  <c r="AE313" i="1" s="1"/>
  <c r="AD312" i="1"/>
  <c r="AC312" i="1"/>
  <c r="AB312" i="1"/>
  <c r="Z312" i="1"/>
  <c r="AA312" i="1" s="1"/>
  <c r="Y312" i="1"/>
  <c r="X312" i="1"/>
  <c r="W312" i="1"/>
  <c r="V312" i="1"/>
  <c r="AD311" i="1"/>
  <c r="AC311" i="1"/>
  <c r="AB311" i="1"/>
  <c r="AA311" i="1"/>
  <c r="Z311" i="1"/>
  <c r="Y311" i="1"/>
  <c r="X311" i="1"/>
  <c r="W311" i="1"/>
  <c r="AE311" i="1" s="1"/>
  <c r="V311" i="1"/>
  <c r="AD310" i="1"/>
  <c r="AC310" i="1"/>
  <c r="AB310" i="1"/>
  <c r="Z310" i="1"/>
  <c r="Y310" i="1"/>
  <c r="AA310" i="1" s="1"/>
  <c r="X310" i="1"/>
  <c r="W310" i="1"/>
  <c r="V310" i="1"/>
  <c r="AE310" i="1" s="1"/>
  <c r="AD309" i="1"/>
  <c r="AC309" i="1"/>
  <c r="AB309" i="1"/>
  <c r="AA309" i="1"/>
  <c r="Z309" i="1"/>
  <c r="Y309" i="1"/>
  <c r="X309" i="1"/>
  <c r="W309" i="1"/>
  <c r="V309" i="1"/>
  <c r="AE309" i="1" s="1"/>
  <c r="AD308" i="1"/>
  <c r="AC308" i="1"/>
  <c r="AB308" i="1"/>
  <c r="Z308" i="1"/>
  <c r="AA308" i="1" s="1"/>
  <c r="Y308" i="1"/>
  <c r="X308" i="1"/>
  <c r="W308" i="1"/>
  <c r="V308" i="1"/>
  <c r="AE308" i="1" s="1"/>
  <c r="AE307" i="1"/>
  <c r="AD307" i="1"/>
  <c r="AC307" i="1"/>
  <c r="AB307" i="1"/>
  <c r="Y307" i="1"/>
  <c r="X307" i="1"/>
  <c r="W307" i="1"/>
  <c r="V307" i="1"/>
  <c r="AE306" i="1"/>
  <c r="AD306" i="1"/>
  <c r="AC306" i="1"/>
  <c r="AB306" i="1"/>
  <c r="Y306" i="1"/>
  <c r="X306" i="1"/>
  <c r="W306" i="1"/>
  <c r="V306" i="1"/>
  <c r="AD305" i="1"/>
  <c r="AC305" i="1"/>
  <c r="AB305" i="1"/>
  <c r="Y305" i="1"/>
  <c r="Z305" i="1" s="1"/>
  <c r="X305" i="1"/>
  <c r="W305" i="1"/>
  <c r="V305" i="1"/>
  <c r="AD304" i="1"/>
  <c r="AC304" i="1"/>
  <c r="AB304" i="1"/>
  <c r="AA304" i="1"/>
  <c r="Z304" i="1"/>
  <c r="Y304" i="1"/>
  <c r="X304" i="1"/>
  <c r="W304" i="1"/>
  <c r="V304" i="1"/>
  <c r="AE304" i="1" s="1"/>
  <c r="AE303" i="1"/>
  <c r="AD303" i="1"/>
  <c r="AC303" i="1"/>
  <c r="AB303" i="1"/>
  <c r="Z303" i="1"/>
  <c r="AA303" i="1" s="1"/>
  <c r="Y303" i="1"/>
  <c r="X303" i="1"/>
  <c r="W303" i="1"/>
  <c r="V303" i="1"/>
  <c r="AD302" i="1"/>
  <c r="AC302" i="1"/>
  <c r="AB302" i="1"/>
  <c r="Y302" i="1"/>
  <c r="Z302" i="1" s="1"/>
  <c r="X302" i="1"/>
  <c r="W302" i="1"/>
  <c r="AE302" i="1" s="1"/>
  <c r="V302" i="1"/>
  <c r="AE301" i="1"/>
  <c r="AD301" i="1"/>
  <c r="AC301" i="1"/>
  <c r="AB301" i="1"/>
  <c r="Y301" i="1"/>
  <c r="X301" i="1"/>
  <c r="W301" i="1"/>
  <c r="V301" i="1"/>
  <c r="AD300" i="1"/>
  <c r="AC300" i="1"/>
  <c r="AB300" i="1"/>
  <c r="Z300" i="1"/>
  <c r="AA300" i="1" s="1"/>
  <c r="Y300" i="1"/>
  <c r="X300" i="1"/>
  <c r="W300" i="1"/>
  <c r="V300" i="1"/>
  <c r="AE300" i="1" s="1"/>
  <c r="AD299" i="1"/>
  <c r="AC299" i="1"/>
  <c r="AB299" i="1"/>
  <c r="Z299" i="1"/>
  <c r="AA299" i="1" s="1"/>
  <c r="Y299" i="1"/>
  <c r="X299" i="1"/>
  <c r="W299" i="1"/>
  <c r="V299" i="1"/>
  <c r="AE299" i="1" s="1"/>
  <c r="AE298" i="1"/>
  <c r="AD298" i="1"/>
  <c r="AC298" i="1"/>
  <c r="AB298" i="1"/>
  <c r="Z298" i="1"/>
  <c r="Y298" i="1"/>
  <c r="X298" i="1"/>
  <c r="W298" i="1"/>
  <c r="V298" i="1"/>
  <c r="AD297" i="1"/>
  <c r="AC297" i="1"/>
  <c r="AB297" i="1"/>
  <c r="Y297" i="1"/>
  <c r="Z297" i="1" s="1"/>
  <c r="X297" i="1"/>
  <c r="W297" i="1"/>
  <c r="V297" i="1"/>
  <c r="AD296" i="1"/>
  <c r="AC296" i="1"/>
  <c r="AB296" i="1"/>
  <c r="Z296" i="1"/>
  <c r="AA296" i="1" s="1"/>
  <c r="Y296" i="1"/>
  <c r="X296" i="1"/>
  <c r="W296" i="1"/>
  <c r="V296" i="1"/>
  <c r="AE296" i="1" s="1"/>
  <c r="AD295" i="1"/>
  <c r="AC295" i="1"/>
  <c r="AB295" i="1"/>
  <c r="Z295" i="1"/>
  <c r="AA295" i="1" s="1"/>
  <c r="Y295" i="1"/>
  <c r="X295" i="1"/>
  <c r="W295" i="1"/>
  <c r="V295" i="1"/>
  <c r="AD294" i="1"/>
  <c r="AC294" i="1"/>
  <c r="AB294" i="1"/>
  <c r="Z294" i="1"/>
  <c r="AA294" i="1" s="1"/>
  <c r="Y294" i="1"/>
  <c r="X294" i="1"/>
  <c r="W294" i="1"/>
  <c r="V294" i="1"/>
  <c r="AE294" i="1" s="1"/>
  <c r="AE293" i="1"/>
  <c r="AD293" i="1"/>
  <c r="AC293" i="1"/>
  <c r="AB293" i="1"/>
  <c r="Z293" i="1"/>
  <c r="AA293" i="1" s="1"/>
  <c r="Y293" i="1"/>
  <c r="X293" i="1"/>
  <c r="W293" i="1"/>
  <c r="V293" i="1"/>
  <c r="AD292" i="1"/>
  <c r="AC292" i="1"/>
  <c r="AB292" i="1"/>
  <c r="Y292" i="1"/>
  <c r="X292" i="1"/>
  <c r="W292" i="1"/>
  <c r="V292" i="1"/>
  <c r="AE292" i="1" s="1"/>
  <c r="AE291" i="1"/>
  <c r="AD291" i="1"/>
  <c r="AC291" i="1"/>
  <c r="AB291" i="1"/>
  <c r="AA291" i="1"/>
  <c r="Z291" i="1"/>
  <c r="Y291" i="1"/>
  <c r="X291" i="1"/>
  <c r="W291" i="1"/>
  <c r="V291" i="1"/>
  <c r="AD290" i="1"/>
  <c r="AC290" i="1"/>
  <c r="AB290" i="1"/>
  <c r="Y290" i="1"/>
  <c r="X290" i="1"/>
  <c r="W290" i="1"/>
  <c r="V290" i="1"/>
  <c r="AE290" i="1" s="1"/>
  <c r="AD289" i="1"/>
  <c r="AC289" i="1"/>
  <c r="AB289" i="1"/>
  <c r="Y289" i="1"/>
  <c r="X289" i="1"/>
  <c r="W289" i="1"/>
  <c r="V289" i="1"/>
  <c r="AE289" i="1" s="1"/>
  <c r="AD288" i="1"/>
  <c r="AC288" i="1"/>
  <c r="AB288" i="1"/>
  <c r="Y288" i="1"/>
  <c r="X288" i="1"/>
  <c r="W288" i="1"/>
  <c r="V288" i="1"/>
  <c r="AD287" i="1"/>
  <c r="AC287" i="1"/>
  <c r="AB287" i="1"/>
  <c r="Z287" i="1"/>
  <c r="AA287" i="1" s="1"/>
  <c r="Y287" i="1"/>
  <c r="X287" i="1"/>
  <c r="W287" i="1"/>
  <c r="V287" i="1"/>
  <c r="AE287" i="1" s="1"/>
  <c r="AE286" i="1"/>
  <c r="AD286" i="1"/>
  <c r="AC286" i="1"/>
  <c r="AB286" i="1"/>
  <c r="AA286" i="1"/>
  <c r="Z286" i="1"/>
  <c r="Y286" i="1"/>
  <c r="X286" i="1"/>
  <c r="W286" i="1"/>
  <c r="V286" i="1"/>
  <c r="AD285" i="1"/>
  <c r="AC285" i="1"/>
  <c r="AB285" i="1"/>
  <c r="Y285" i="1"/>
  <c r="Z285" i="1" s="1"/>
  <c r="X285" i="1"/>
  <c r="W285" i="1"/>
  <c r="V285" i="1"/>
  <c r="AE285" i="1" s="1"/>
  <c r="AE284" i="1"/>
  <c r="AD284" i="1"/>
  <c r="AC284" i="1"/>
  <c r="AB284" i="1"/>
  <c r="Y284" i="1"/>
  <c r="X284" i="1"/>
  <c r="W284" i="1"/>
  <c r="V284" i="1"/>
  <c r="AE283" i="1"/>
  <c r="AD283" i="1"/>
  <c r="AC283" i="1"/>
  <c r="AB283" i="1"/>
  <c r="Y283" i="1"/>
  <c r="X283" i="1"/>
  <c r="W283" i="1"/>
  <c r="V283" i="1"/>
  <c r="AD282" i="1"/>
  <c r="AC282" i="1"/>
  <c r="AB282" i="1"/>
  <c r="Y282" i="1"/>
  <c r="X282" i="1"/>
  <c r="W282" i="1"/>
  <c r="V282" i="1"/>
  <c r="AE282" i="1" s="1"/>
  <c r="AE281" i="1"/>
  <c r="AD281" i="1"/>
  <c r="AC281" i="1"/>
  <c r="AB281" i="1"/>
  <c r="Y281" i="1"/>
  <c r="X281" i="1"/>
  <c r="W281" i="1"/>
  <c r="V281" i="1"/>
  <c r="AD280" i="1"/>
  <c r="AC280" i="1"/>
  <c r="AB280" i="1"/>
  <c r="Z280" i="1"/>
  <c r="AA280" i="1" s="1"/>
  <c r="Y280" i="1"/>
  <c r="X280" i="1"/>
  <c r="W280" i="1"/>
  <c r="V280" i="1"/>
  <c r="AE280" i="1" s="1"/>
  <c r="AE279" i="1"/>
  <c r="AD279" i="1"/>
  <c r="AC279" i="1"/>
  <c r="AB279" i="1"/>
  <c r="Z279" i="1"/>
  <c r="AA279" i="1" s="1"/>
  <c r="Y279" i="1"/>
  <c r="X279" i="1"/>
  <c r="W279" i="1"/>
  <c r="V279" i="1"/>
  <c r="AD278" i="1"/>
  <c r="AC278" i="1"/>
  <c r="AB278" i="1"/>
  <c r="Y278" i="1"/>
  <c r="X278" i="1"/>
  <c r="W278" i="1"/>
  <c r="V278" i="1"/>
  <c r="AE278" i="1" s="1"/>
  <c r="AD277" i="1"/>
  <c r="AC277" i="1"/>
  <c r="AB277" i="1"/>
  <c r="Z277" i="1"/>
  <c r="Y277" i="1"/>
  <c r="AA277" i="1" s="1"/>
  <c r="X277" i="1"/>
  <c r="W277" i="1"/>
  <c r="V277" i="1"/>
  <c r="AE277" i="1" s="1"/>
  <c r="AD276" i="1"/>
  <c r="AC276" i="1"/>
  <c r="AB276" i="1"/>
  <c r="Z276" i="1"/>
  <c r="AA276" i="1" s="1"/>
  <c r="Y276" i="1"/>
  <c r="X276" i="1"/>
  <c r="W276" i="1"/>
  <c r="V276" i="1"/>
  <c r="AE276" i="1" s="1"/>
  <c r="AE275" i="1"/>
  <c r="AD275" i="1"/>
  <c r="AC275" i="1"/>
  <c r="AB275" i="1"/>
  <c r="Y275" i="1"/>
  <c r="Z275" i="1" s="1"/>
  <c r="AA275" i="1" s="1"/>
  <c r="X275" i="1"/>
  <c r="W275" i="1"/>
  <c r="V275" i="1"/>
  <c r="AD274" i="1"/>
  <c r="AC274" i="1"/>
  <c r="AB274" i="1"/>
  <c r="Y274" i="1"/>
  <c r="Z274" i="1" s="1"/>
  <c r="X274" i="1"/>
  <c r="W274" i="1"/>
  <c r="V274" i="1"/>
  <c r="AD273" i="1"/>
  <c r="AC273" i="1"/>
  <c r="AB273" i="1"/>
  <c r="AA273" i="1"/>
  <c r="Z273" i="1"/>
  <c r="Y273" i="1"/>
  <c r="X273" i="1"/>
  <c r="W273" i="1"/>
  <c r="AE273" i="1" s="1"/>
  <c r="V273" i="1"/>
  <c r="AD272" i="1"/>
  <c r="AC272" i="1"/>
  <c r="AB272" i="1"/>
  <c r="Z272" i="1"/>
  <c r="AA272" i="1" s="1"/>
  <c r="Y272" i="1"/>
  <c r="X272" i="1"/>
  <c r="W272" i="1"/>
  <c r="V272" i="1"/>
  <c r="AE272" i="1" s="1"/>
  <c r="AD271" i="1"/>
  <c r="AC271" i="1"/>
  <c r="AB271" i="1"/>
  <c r="Z271" i="1"/>
  <c r="AA271" i="1" s="1"/>
  <c r="Y271" i="1"/>
  <c r="X271" i="1"/>
  <c r="W271" i="1"/>
  <c r="V271" i="1"/>
  <c r="AE271" i="1" s="1"/>
  <c r="AE270" i="1"/>
  <c r="AD270" i="1"/>
  <c r="AC270" i="1"/>
  <c r="AB270" i="1"/>
  <c r="Y270" i="1"/>
  <c r="Z270" i="1" s="1"/>
  <c r="AA270" i="1" s="1"/>
  <c r="X270" i="1"/>
  <c r="W270" i="1"/>
  <c r="V270" i="1"/>
  <c r="AD269" i="1"/>
  <c r="AC269" i="1"/>
  <c r="AB269" i="1"/>
  <c r="Y269" i="1"/>
  <c r="Z269" i="1" s="1"/>
  <c r="X269" i="1"/>
  <c r="W269" i="1"/>
  <c r="V269" i="1"/>
  <c r="AE269" i="1" s="1"/>
  <c r="AD268" i="1"/>
  <c r="AC268" i="1"/>
  <c r="AB268" i="1"/>
  <c r="Z268" i="1"/>
  <c r="AA268" i="1" s="1"/>
  <c r="Y268" i="1"/>
  <c r="X268" i="1"/>
  <c r="W268" i="1"/>
  <c r="V268" i="1"/>
  <c r="AE268" i="1" s="1"/>
  <c r="AE267" i="1"/>
  <c r="AD267" i="1"/>
  <c r="AC267" i="1"/>
  <c r="AB267" i="1"/>
  <c r="Z267" i="1"/>
  <c r="AA267" i="1" s="1"/>
  <c r="Y267" i="1"/>
  <c r="X267" i="1"/>
  <c r="W267" i="1"/>
  <c r="V267" i="1"/>
  <c r="AD266" i="1"/>
  <c r="AC266" i="1"/>
  <c r="AB266" i="1"/>
  <c r="Y266" i="1"/>
  <c r="X266" i="1"/>
  <c r="W266" i="1"/>
  <c r="V266" i="1"/>
  <c r="AE266" i="1" s="1"/>
  <c r="AE265" i="1"/>
  <c r="AD265" i="1"/>
  <c r="AC265" i="1"/>
  <c r="AB265" i="1"/>
  <c r="Z265" i="1"/>
  <c r="Y265" i="1"/>
  <c r="AA265" i="1" s="1"/>
  <c r="X265" i="1"/>
  <c r="W265" i="1"/>
  <c r="V265" i="1"/>
  <c r="AD264" i="1"/>
  <c r="AC264" i="1"/>
  <c r="AB264" i="1"/>
  <c r="Y264" i="1"/>
  <c r="X264" i="1"/>
  <c r="W264" i="1"/>
  <c r="V264" i="1"/>
  <c r="AE263" i="1"/>
  <c r="AD263" i="1"/>
  <c r="AC263" i="1"/>
  <c r="AB263" i="1"/>
  <c r="AA263" i="1"/>
  <c r="Z263" i="1"/>
  <c r="Y263" i="1"/>
  <c r="X263" i="1"/>
  <c r="W263" i="1"/>
  <c r="V263" i="1"/>
  <c r="AE262" i="1"/>
  <c r="AD262" i="1"/>
  <c r="AC262" i="1"/>
  <c r="AB262" i="1"/>
  <c r="Y262" i="1"/>
  <c r="Z262" i="1" s="1"/>
  <c r="AA262" i="1" s="1"/>
  <c r="X262" i="1"/>
  <c r="W262" i="1"/>
  <c r="V262" i="1"/>
  <c r="AD261" i="1"/>
  <c r="AC261" i="1"/>
  <c r="AB261" i="1"/>
  <c r="Y261" i="1"/>
  <c r="X261" i="1"/>
  <c r="W261" i="1"/>
  <c r="V261" i="1"/>
  <c r="AE261" i="1" s="1"/>
  <c r="AE260" i="1"/>
  <c r="AD260" i="1"/>
  <c r="AC260" i="1"/>
  <c r="AB260" i="1"/>
  <c r="Z260" i="1"/>
  <c r="Y260" i="1"/>
  <c r="AA260" i="1" s="1"/>
  <c r="X260" i="1"/>
  <c r="W260" i="1"/>
  <c r="V260" i="1"/>
  <c r="AD259" i="1"/>
  <c r="AC259" i="1"/>
  <c r="AB259" i="1"/>
  <c r="Y259" i="1"/>
  <c r="X259" i="1"/>
  <c r="W259" i="1"/>
  <c r="V259" i="1"/>
  <c r="AE258" i="1"/>
  <c r="AD258" i="1"/>
  <c r="AC258" i="1"/>
  <c r="AB258" i="1"/>
  <c r="Y258" i="1"/>
  <c r="X258" i="1"/>
  <c r="W258" i="1"/>
  <c r="V258" i="1"/>
  <c r="AD257" i="1"/>
  <c r="AC257" i="1"/>
  <c r="AB257" i="1"/>
  <c r="Y257" i="1"/>
  <c r="Z257" i="1" s="1"/>
  <c r="X257" i="1"/>
  <c r="W257" i="1"/>
  <c r="AE257" i="1" s="1"/>
  <c r="V257" i="1"/>
  <c r="AD256" i="1"/>
  <c r="AC256" i="1"/>
  <c r="AB256" i="1"/>
  <c r="Y256" i="1"/>
  <c r="X256" i="1"/>
  <c r="W256" i="1"/>
  <c r="V256" i="1"/>
  <c r="AE256" i="1" s="1"/>
  <c r="AE255" i="1"/>
  <c r="AD255" i="1"/>
  <c r="AC255" i="1"/>
  <c r="AB255" i="1"/>
  <c r="AA255" i="1"/>
  <c r="Z255" i="1"/>
  <c r="Y255" i="1"/>
  <c r="X255" i="1"/>
  <c r="W255" i="1"/>
  <c r="V255" i="1"/>
  <c r="AD254" i="1"/>
  <c r="AC254" i="1"/>
  <c r="AB254" i="1"/>
  <c r="Y254" i="1"/>
  <c r="X254" i="1"/>
  <c r="W254" i="1"/>
  <c r="V254" i="1"/>
  <c r="AE254" i="1" s="1"/>
  <c r="AE253" i="1"/>
  <c r="AD253" i="1"/>
  <c r="AC253" i="1"/>
  <c r="AB253" i="1"/>
  <c r="Z253" i="1"/>
  <c r="AA253" i="1" s="1"/>
  <c r="Y253" i="1"/>
  <c r="X253" i="1"/>
  <c r="W253" i="1"/>
  <c r="V253" i="1"/>
  <c r="AD252" i="1"/>
  <c r="AC252" i="1"/>
  <c r="AB252" i="1"/>
  <c r="Y252" i="1"/>
  <c r="X252" i="1"/>
  <c r="W252" i="1"/>
  <c r="V252" i="1"/>
  <c r="AE252" i="1" s="1"/>
  <c r="AD251" i="1"/>
  <c r="AC251" i="1"/>
  <c r="AB251" i="1"/>
  <c r="Z251" i="1"/>
  <c r="AA251" i="1" s="1"/>
  <c r="Y251" i="1"/>
  <c r="X251" i="1"/>
  <c r="W251" i="1"/>
  <c r="V251" i="1"/>
  <c r="AE251" i="1" s="1"/>
  <c r="AD250" i="1"/>
  <c r="AC250" i="1"/>
  <c r="AB250" i="1"/>
  <c r="Y250" i="1"/>
  <c r="X250" i="1"/>
  <c r="W250" i="1"/>
  <c r="AE250" i="1" s="1"/>
  <c r="V250" i="1"/>
  <c r="AD249" i="1"/>
  <c r="AC249" i="1"/>
  <c r="AB249" i="1"/>
  <c r="Y249" i="1"/>
  <c r="X249" i="1"/>
  <c r="W249" i="1"/>
  <c r="V249" i="1"/>
  <c r="AE249" i="1" s="1"/>
  <c r="AD248" i="1"/>
  <c r="AC248" i="1"/>
  <c r="AB248" i="1"/>
  <c r="Z248" i="1"/>
  <c r="AA248" i="1" s="1"/>
  <c r="Y248" i="1"/>
  <c r="X248" i="1"/>
  <c r="W248" i="1"/>
  <c r="V248" i="1"/>
  <c r="AD247" i="1"/>
  <c r="AC247" i="1"/>
  <c r="AB247" i="1"/>
  <c r="Z247" i="1"/>
  <c r="AA247" i="1" s="1"/>
  <c r="Y247" i="1"/>
  <c r="X247" i="1"/>
  <c r="W247" i="1"/>
  <c r="V247" i="1"/>
  <c r="AE247" i="1" s="1"/>
  <c r="AD246" i="1"/>
  <c r="AC246" i="1"/>
  <c r="AB246" i="1"/>
  <c r="Z246" i="1"/>
  <c r="Y246" i="1"/>
  <c r="AA246" i="1" s="1"/>
  <c r="X246" i="1"/>
  <c r="W246" i="1"/>
  <c r="V246" i="1"/>
  <c r="AE246" i="1" s="1"/>
  <c r="AD245" i="1"/>
  <c r="AC245" i="1"/>
  <c r="AB245" i="1"/>
  <c r="Z245" i="1"/>
  <c r="AA245" i="1" s="1"/>
  <c r="Y245" i="1"/>
  <c r="X245" i="1"/>
  <c r="W245" i="1"/>
  <c r="V245" i="1"/>
  <c r="AE245" i="1" s="1"/>
  <c r="AD244" i="1"/>
  <c r="AC244" i="1"/>
  <c r="AB244" i="1"/>
  <c r="Z244" i="1"/>
  <c r="Y244" i="1"/>
  <c r="AA244" i="1" s="1"/>
  <c r="X244" i="1"/>
  <c r="W244" i="1"/>
  <c r="V244" i="1"/>
  <c r="AE244" i="1" s="1"/>
  <c r="AE243" i="1"/>
  <c r="AD243" i="1"/>
  <c r="AC243" i="1"/>
  <c r="AB243" i="1"/>
  <c r="Y243" i="1"/>
  <c r="X243" i="1"/>
  <c r="W243" i="1"/>
  <c r="V243" i="1"/>
  <c r="AD242" i="1"/>
  <c r="AC242" i="1"/>
  <c r="AB242" i="1"/>
  <c r="Y242" i="1"/>
  <c r="X242" i="1"/>
  <c r="W242" i="1"/>
  <c r="AE242" i="1" s="1"/>
  <c r="V242" i="1"/>
  <c r="AE241" i="1"/>
  <c r="AD241" i="1"/>
  <c r="AC241" i="1"/>
  <c r="AB241" i="1"/>
  <c r="Z241" i="1"/>
  <c r="Y241" i="1"/>
  <c r="AA241" i="1" s="1"/>
  <c r="X241" i="1"/>
  <c r="W241" i="1"/>
  <c r="V241" i="1"/>
  <c r="AD240" i="1"/>
  <c r="AC240" i="1"/>
  <c r="AB240" i="1"/>
  <c r="Z240" i="1"/>
  <c r="AA240" i="1" s="1"/>
  <c r="Y240" i="1"/>
  <c r="X240" i="1"/>
  <c r="W240" i="1"/>
  <c r="V240" i="1"/>
  <c r="AE240" i="1" s="1"/>
  <c r="AE239" i="1"/>
  <c r="AD239" i="1"/>
  <c r="AC239" i="1"/>
  <c r="AB239" i="1"/>
  <c r="AA239" i="1"/>
  <c r="Z239" i="1"/>
  <c r="Y239" i="1"/>
  <c r="X239" i="1"/>
  <c r="W239" i="1"/>
  <c r="V239" i="1"/>
  <c r="AE238" i="1"/>
  <c r="AD238" i="1"/>
  <c r="AC238" i="1"/>
  <c r="AB238" i="1"/>
  <c r="Z238" i="1"/>
  <c r="Y238" i="1"/>
  <c r="X238" i="1"/>
  <c r="W238" i="1"/>
  <c r="V238" i="1"/>
  <c r="AD237" i="1"/>
  <c r="AC237" i="1"/>
  <c r="AB237" i="1"/>
  <c r="Y237" i="1"/>
  <c r="X237" i="1"/>
  <c r="W237" i="1"/>
  <c r="V237" i="1"/>
  <c r="AE237" i="1" s="1"/>
  <c r="AD236" i="1"/>
  <c r="AC236" i="1"/>
  <c r="AB236" i="1"/>
  <c r="Y236" i="1"/>
  <c r="Z236" i="1" s="1"/>
  <c r="X236" i="1"/>
  <c r="W236" i="1"/>
  <c r="V236" i="1"/>
  <c r="AE236" i="1" s="1"/>
  <c r="AD235" i="1"/>
  <c r="AC235" i="1"/>
  <c r="AB235" i="1"/>
  <c r="Z235" i="1"/>
  <c r="AA235" i="1" s="1"/>
  <c r="Y235" i="1"/>
  <c r="X235" i="1"/>
  <c r="W235" i="1"/>
  <c r="V235" i="1"/>
  <c r="AE235" i="1" s="1"/>
  <c r="AE234" i="1"/>
  <c r="AD234" i="1"/>
  <c r="AC234" i="1"/>
  <c r="AB234" i="1"/>
  <c r="Y234" i="1"/>
  <c r="X234" i="1"/>
  <c r="W234" i="1"/>
  <c r="V234" i="1"/>
  <c r="AD233" i="1"/>
  <c r="AC233" i="1"/>
  <c r="AB233" i="1"/>
  <c r="Y233" i="1"/>
  <c r="Z233" i="1" s="1"/>
  <c r="X233" i="1"/>
  <c r="W233" i="1"/>
  <c r="V233" i="1"/>
  <c r="AE233" i="1" s="1"/>
  <c r="AD232" i="1"/>
  <c r="AC232" i="1"/>
  <c r="AB232" i="1"/>
  <c r="Z232" i="1"/>
  <c r="Y232" i="1"/>
  <c r="AA232" i="1" s="1"/>
  <c r="X232" i="1"/>
  <c r="W232" i="1"/>
  <c r="V232" i="1"/>
  <c r="AE232" i="1" s="1"/>
  <c r="AD231" i="1"/>
  <c r="AC231" i="1"/>
  <c r="AB231" i="1"/>
  <c r="AA231" i="1"/>
  <c r="Z231" i="1"/>
  <c r="Y231" i="1"/>
  <c r="X231" i="1"/>
  <c r="W231" i="1"/>
  <c r="V231" i="1"/>
  <c r="AD230" i="1"/>
  <c r="AC230" i="1"/>
  <c r="AB230" i="1"/>
  <c r="Z230" i="1"/>
  <c r="AA230" i="1" s="1"/>
  <c r="Y230" i="1"/>
  <c r="X230" i="1"/>
  <c r="W230" i="1"/>
  <c r="V230" i="1"/>
  <c r="AE230" i="1" s="1"/>
  <c r="AE229" i="1"/>
  <c r="AD229" i="1"/>
  <c r="AC229" i="1"/>
  <c r="AB229" i="1"/>
  <c r="Z229" i="1"/>
  <c r="Y229" i="1"/>
  <c r="AA229" i="1" s="1"/>
  <c r="X229" i="1"/>
  <c r="W229" i="1"/>
  <c r="V229" i="1"/>
  <c r="AD228" i="1"/>
  <c r="AC228" i="1"/>
  <c r="AB228" i="1"/>
  <c r="Y228" i="1"/>
  <c r="X228" i="1"/>
  <c r="W228" i="1"/>
  <c r="V228" i="1"/>
  <c r="AE228" i="1" s="1"/>
  <c r="AE227" i="1"/>
  <c r="AD227" i="1"/>
  <c r="AC227" i="1"/>
  <c r="AB227" i="1"/>
  <c r="AA227" i="1"/>
  <c r="Z227" i="1"/>
  <c r="Y227" i="1"/>
  <c r="X227" i="1"/>
  <c r="W227" i="1"/>
  <c r="V227" i="1"/>
  <c r="AE226" i="1"/>
  <c r="AD226" i="1"/>
  <c r="AC226" i="1"/>
  <c r="AB226" i="1"/>
  <c r="Z226" i="1"/>
  <c r="Y226" i="1"/>
  <c r="X226" i="1"/>
  <c r="W226" i="1"/>
  <c r="V226" i="1"/>
  <c r="AD225" i="1"/>
  <c r="AC225" i="1"/>
  <c r="AB225" i="1"/>
  <c r="Y225" i="1"/>
  <c r="Z225" i="1" s="1"/>
  <c r="X225" i="1"/>
  <c r="W225" i="1"/>
  <c r="V225" i="1"/>
  <c r="AE225" i="1" s="1"/>
  <c r="AD224" i="1"/>
  <c r="AC224" i="1"/>
  <c r="AB224" i="1"/>
  <c r="Z224" i="1"/>
  <c r="AA224" i="1" s="1"/>
  <c r="Y224" i="1"/>
  <c r="X224" i="1"/>
  <c r="W224" i="1"/>
  <c r="V224" i="1"/>
  <c r="AE224" i="1" s="1"/>
  <c r="AD223" i="1"/>
  <c r="AC223" i="1"/>
  <c r="AB223" i="1"/>
  <c r="Z223" i="1"/>
  <c r="AA223" i="1" s="1"/>
  <c r="Y223" i="1"/>
  <c r="X223" i="1"/>
  <c r="W223" i="1"/>
  <c r="V223" i="1"/>
  <c r="AE223" i="1" s="1"/>
  <c r="AE222" i="1"/>
  <c r="AD222" i="1"/>
  <c r="AC222" i="1"/>
  <c r="AB222" i="1"/>
  <c r="AA222" i="1"/>
  <c r="Z222" i="1"/>
  <c r="Y222" i="1"/>
  <c r="X222" i="1"/>
  <c r="W222" i="1"/>
  <c r="V222" i="1"/>
  <c r="AD221" i="1"/>
  <c r="AC221" i="1"/>
  <c r="AB221" i="1"/>
  <c r="Y221" i="1"/>
  <c r="X221" i="1"/>
  <c r="W221" i="1"/>
  <c r="V221" i="1"/>
  <c r="AE221" i="1" s="1"/>
  <c r="AD220" i="1"/>
  <c r="AC220" i="1"/>
  <c r="AB220" i="1"/>
  <c r="Y220" i="1"/>
  <c r="X220" i="1"/>
  <c r="W220" i="1"/>
  <c r="V220" i="1"/>
  <c r="AE220" i="1" s="1"/>
  <c r="AE219" i="1"/>
  <c r="AD219" i="1"/>
  <c r="AC219" i="1"/>
  <c r="AB219" i="1"/>
  <c r="Z219" i="1"/>
  <c r="AA219" i="1" s="1"/>
  <c r="Y219" i="1"/>
  <c r="X219" i="1"/>
  <c r="W219" i="1"/>
  <c r="V219" i="1"/>
  <c r="AD218" i="1"/>
  <c r="AC218" i="1"/>
  <c r="AB218" i="1"/>
  <c r="Y218" i="1"/>
  <c r="X218" i="1"/>
  <c r="W218" i="1"/>
  <c r="V218" i="1"/>
  <c r="AE218" i="1" s="1"/>
  <c r="AE217" i="1"/>
  <c r="AD217" i="1"/>
  <c r="AC217" i="1"/>
  <c r="AB217" i="1"/>
  <c r="Y217" i="1"/>
  <c r="Z217" i="1" s="1"/>
  <c r="X217" i="1"/>
  <c r="W217" i="1"/>
  <c r="V217" i="1"/>
  <c r="AD216" i="1"/>
  <c r="AC216" i="1"/>
  <c r="AB216" i="1"/>
  <c r="Y216" i="1"/>
  <c r="Z216" i="1" s="1"/>
  <c r="X216" i="1"/>
  <c r="W216" i="1"/>
  <c r="V216" i="1"/>
  <c r="AE216" i="1" s="1"/>
  <c r="AE215" i="1"/>
  <c r="AD215" i="1"/>
  <c r="AC215" i="1"/>
  <c r="AB215" i="1"/>
  <c r="Z215" i="1"/>
  <c r="AA215" i="1" s="1"/>
  <c r="Y215" i="1"/>
  <c r="X215" i="1"/>
  <c r="W215" i="1"/>
  <c r="V215" i="1"/>
  <c r="AD214" i="1"/>
  <c r="AC214" i="1"/>
  <c r="AB214" i="1"/>
  <c r="Y214" i="1"/>
  <c r="X214" i="1"/>
  <c r="W214" i="1"/>
  <c r="V214" i="1"/>
  <c r="AE214" i="1" s="1"/>
  <c r="AD213" i="1"/>
  <c r="AC213" i="1"/>
  <c r="AB213" i="1"/>
  <c r="Y213" i="1"/>
  <c r="X213" i="1"/>
  <c r="W213" i="1"/>
  <c r="V213" i="1"/>
  <c r="AE213" i="1" s="1"/>
  <c r="AE212" i="1"/>
  <c r="AD212" i="1"/>
  <c r="AC212" i="1"/>
  <c r="AB212" i="1"/>
  <c r="Z212" i="1"/>
  <c r="AA212" i="1" s="1"/>
  <c r="Y212" i="1"/>
  <c r="X212" i="1"/>
  <c r="W212" i="1"/>
  <c r="V212" i="1"/>
  <c r="AD211" i="1"/>
  <c r="AC211" i="1"/>
  <c r="AB211" i="1"/>
  <c r="Y211" i="1"/>
  <c r="X211" i="1"/>
  <c r="W211" i="1"/>
  <c r="V211" i="1"/>
  <c r="AE211" i="1" s="1"/>
  <c r="AD210" i="1"/>
  <c r="AC210" i="1"/>
  <c r="AB210" i="1"/>
  <c r="Y210" i="1"/>
  <c r="X210" i="1"/>
  <c r="W210" i="1"/>
  <c r="V210" i="1"/>
  <c r="AD209" i="1"/>
  <c r="AC209" i="1"/>
  <c r="AB209" i="1"/>
  <c r="Y209" i="1"/>
  <c r="Z209" i="1" s="1"/>
  <c r="X209" i="1"/>
  <c r="W209" i="1"/>
  <c r="AE209" i="1" s="1"/>
  <c r="V209" i="1"/>
  <c r="AD208" i="1"/>
  <c r="AC208" i="1"/>
  <c r="AB208" i="1"/>
  <c r="Z208" i="1"/>
  <c r="AA208" i="1" s="1"/>
  <c r="Y208" i="1"/>
  <c r="X208" i="1"/>
  <c r="W208" i="1"/>
  <c r="V208" i="1"/>
  <c r="AE208" i="1" s="1"/>
  <c r="AD207" i="1"/>
  <c r="AC207" i="1"/>
  <c r="AB207" i="1"/>
  <c r="Z207" i="1"/>
  <c r="AA207" i="1" s="1"/>
  <c r="Y207" i="1"/>
  <c r="X207" i="1"/>
  <c r="W207" i="1"/>
  <c r="V207" i="1"/>
  <c r="AE207" i="1" s="1"/>
  <c r="AD206" i="1"/>
  <c r="AC206" i="1"/>
  <c r="AB206" i="1"/>
  <c r="Y206" i="1"/>
  <c r="X206" i="1"/>
  <c r="W206" i="1"/>
  <c r="V206" i="1"/>
  <c r="AE206" i="1" s="1"/>
  <c r="AD205" i="1"/>
  <c r="AC205" i="1"/>
  <c r="AB205" i="1"/>
  <c r="Z205" i="1"/>
  <c r="AA205" i="1" s="1"/>
  <c r="Y205" i="1"/>
  <c r="X205" i="1"/>
  <c r="W205" i="1"/>
  <c r="V205" i="1"/>
  <c r="AE205" i="1" s="1"/>
  <c r="AD204" i="1"/>
  <c r="AC204" i="1"/>
  <c r="AB204" i="1"/>
  <c r="Z204" i="1"/>
  <c r="AA204" i="1" s="1"/>
  <c r="Y204" i="1"/>
  <c r="X204" i="1"/>
  <c r="W204" i="1"/>
  <c r="V204" i="1"/>
  <c r="AE204" i="1" s="1"/>
  <c r="AE203" i="1"/>
  <c r="AD203" i="1"/>
  <c r="AC203" i="1"/>
  <c r="AB203" i="1"/>
  <c r="Z203" i="1"/>
  <c r="AA203" i="1" s="1"/>
  <c r="Y203" i="1"/>
  <c r="X203" i="1"/>
  <c r="W203" i="1"/>
  <c r="V203" i="1"/>
  <c r="AD202" i="1"/>
  <c r="AC202" i="1"/>
  <c r="AB202" i="1"/>
  <c r="Y202" i="1"/>
  <c r="X202" i="1"/>
  <c r="W202" i="1"/>
  <c r="V202" i="1"/>
  <c r="AE202" i="1" s="1"/>
  <c r="AE201" i="1"/>
  <c r="AD201" i="1"/>
  <c r="AC201" i="1"/>
  <c r="AB201" i="1"/>
  <c r="Z201" i="1"/>
  <c r="Y201" i="1"/>
  <c r="AA201" i="1" s="1"/>
  <c r="X201" i="1"/>
  <c r="W201" i="1"/>
  <c r="V201" i="1"/>
  <c r="AD200" i="1"/>
  <c r="AC200" i="1"/>
  <c r="AB200" i="1"/>
  <c r="Y200" i="1"/>
  <c r="Z200" i="1" s="1"/>
  <c r="AA200" i="1" s="1"/>
  <c r="X200" i="1"/>
  <c r="W200" i="1"/>
  <c r="V200" i="1"/>
  <c r="AD199" i="1"/>
  <c r="AC199" i="1"/>
  <c r="AB199" i="1"/>
  <c r="AA199" i="1"/>
  <c r="Z199" i="1"/>
  <c r="Y199" i="1"/>
  <c r="X199" i="1"/>
  <c r="W199" i="1"/>
  <c r="V199" i="1"/>
  <c r="AE199" i="1" s="1"/>
  <c r="AE198" i="1"/>
  <c r="AD198" i="1"/>
  <c r="AC198" i="1"/>
  <c r="AB198" i="1"/>
  <c r="Y198" i="1"/>
  <c r="Z198" i="1" s="1"/>
  <c r="AA198" i="1" s="1"/>
  <c r="X198" i="1"/>
  <c r="W198" i="1"/>
  <c r="V198" i="1"/>
  <c r="AD197" i="1"/>
  <c r="AC197" i="1"/>
  <c r="AB197" i="1"/>
  <c r="Y197" i="1"/>
  <c r="X197" i="1"/>
  <c r="W197" i="1"/>
  <c r="V197" i="1"/>
  <c r="AE197" i="1" s="1"/>
  <c r="AD196" i="1"/>
  <c r="AC196" i="1"/>
  <c r="AB196" i="1"/>
  <c r="Y196" i="1"/>
  <c r="X196" i="1"/>
  <c r="W196" i="1"/>
  <c r="V196" i="1"/>
  <c r="AE196" i="1" s="1"/>
  <c r="AD195" i="1"/>
  <c r="AC195" i="1"/>
  <c r="AB195" i="1"/>
  <c r="Y195" i="1"/>
  <c r="Z195" i="1" s="1"/>
  <c r="AA195" i="1" s="1"/>
  <c r="X195" i="1"/>
  <c r="W195" i="1"/>
  <c r="V195" i="1"/>
  <c r="AD194" i="1"/>
  <c r="AC194" i="1"/>
  <c r="AB194" i="1"/>
  <c r="Y194" i="1"/>
  <c r="X194" i="1"/>
  <c r="W194" i="1"/>
  <c r="V194" i="1"/>
  <c r="AE194" i="1" s="1"/>
  <c r="AE193" i="1"/>
  <c r="AD193" i="1"/>
  <c r="AC193" i="1"/>
  <c r="AB193" i="1"/>
  <c r="Y193" i="1"/>
  <c r="Z193" i="1" s="1"/>
  <c r="X193" i="1"/>
  <c r="W193" i="1"/>
  <c r="V193" i="1"/>
  <c r="AD192" i="1"/>
  <c r="AC192" i="1"/>
  <c r="AB192" i="1"/>
  <c r="Y192" i="1"/>
  <c r="X192" i="1"/>
  <c r="W192" i="1"/>
  <c r="V192" i="1"/>
  <c r="AE192" i="1" s="1"/>
  <c r="AE191" i="1"/>
  <c r="AD191" i="1"/>
  <c r="AC191" i="1"/>
  <c r="AB191" i="1"/>
  <c r="AA191" i="1"/>
  <c r="Z191" i="1"/>
  <c r="Y191" i="1"/>
  <c r="X191" i="1"/>
  <c r="W191" i="1"/>
  <c r="V191" i="1"/>
  <c r="AD190" i="1"/>
  <c r="AC190" i="1"/>
  <c r="AB190" i="1"/>
  <c r="Y190" i="1"/>
  <c r="Z190" i="1" s="1"/>
  <c r="X190" i="1"/>
  <c r="W190" i="1"/>
  <c r="V190" i="1"/>
  <c r="AE190" i="1" s="1"/>
  <c r="AE189" i="1"/>
  <c r="AD189" i="1"/>
  <c r="AC189" i="1"/>
  <c r="AB189" i="1"/>
  <c r="Z189" i="1"/>
  <c r="AA189" i="1" s="1"/>
  <c r="Y189" i="1"/>
  <c r="X189" i="1"/>
  <c r="W189" i="1"/>
  <c r="V189" i="1"/>
  <c r="AE188" i="1"/>
  <c r="AD188" i="1"/>
  <c r="AC188" i="1"/>
  <c r="AB188" i="1"/>
  <c r="Y188" i="1"/>
  <c r="Z188" i="1" s="1"/>
  <c r="AA188" i="1" s="1"/>
  <c r="X188" i="1"/>
  <c r="W188" i="1"/>
  <c r="V188" i="1"/>
  <c r="AD187" i="1"/>
  <c r="AC187" i="1"/>
  <c r="AB187" i="1"/>
  <c r="Z187" i="1"/>
  <c r="AA187" i="1" s="1"/>
  <c r="Y187" i="1"/>
  <c r="X187" i="1"/>
  <c r="W187" i="1"/>
  <c r="V187" i="1"/>
  <c r="AE187" i="1" s="1"/>
  <c r="AE186" i="1"/>
  <c r="AD186" i="1"/>
  <c r="AC186" i="1"/>
  <c r="AB186" i="1"/>
  <c r="Y186" i="1"/>
  <c r="X186" i="1"/>
  <c r="W186" i="1"/>
  <c r="V186" i="1"/>
  <c r="AD185" i="1"/>
  <c r="AC185" i="1"/>
  <c r="AB185" i="1"/>
  <c r="Y185" i="1"/>
  <c r="X185" i="1"/>
  <c r="W185" i="1"/>
  <c r="V185" i="1"/>
  <c r="AE185" i="1" s="1"/>
  <c r="AD184" i="1"/>
  <c r="AC184" i="1"/>
  <c r="AB184" i="1"/>
  <c r="Z184" i="1"/>
  <c r="AA184" i="1" s="1"/>
  <c r="Y184" i="1"/>
  <c r="X184" i="1"/>
  <c r="W184" i="1"/>
  <c r="V184" i="1"/>
  <c r="AE184" i="1" s="1"/>
  <c r="AD183" i="1"/>
  <c r="AC183" i="1"/>
  <c r="AB183" i="1"/>
  <c r="Z183" i="1"/>
  <c r="AA183" i="1" s="1"/>
  <c r="Y183" i="1"/>
  <c r="X183" i="1"/>
  <c r="W183" i="1"/>
  <c r="V183" i="1"/>
  <c r="AE183" i="1" s="1"/>
  <c r="AD182" i="1"/>
  <c r="AC182" i="1"/>
  <c r="AB182" i="1"/>
  <c r="Y182" i="1"/>
  <c r="X182" i="1"/>
  <c r="W182" i="1"/>
  <c r="V182" i="1"/>
  <c r="AE182" i="1" s="1"/>
  <c r="AE181" i="1"/>
  <c r="AD181" i="1"/>
  <c r="AC181" i="1"/>
  <c r="AB181" i="1"/>
  <c r="Z181" i="1"/>
  <c r="AA181" i="1" s="1"/>
  <c r="Y181" i="1"/>
  <c r="X181" i="1"/>
  <c r="W181" i="1"/>
  <c r="V181" i="1"/>
  <c r="AD180" i="1"/>
  <c r="AC180" i="1"/>
  <c r="AB180" i="1"/>
  <c r="Y180" i="1"/>
  <c r="Z180" i="1" s="1"/>
  <c r="X180" i="1"/>
  <c r="W180" i="1"/>
  <c r="V180" i="1"/>
  <c r="AE180" i="1" s="1"/>
  <c r="AE179" i="1"/>
  <c r="AD179" i="1"/>
  <c r="AC179" i="1"/>
  <c r="AB179" i="1"/>
  <c r="Y179" i="1"/>
  <c r="X179" i="1"/>
  <c r="W179" i="1"/>
  <c r="V179" i="1"/>
  <c r="AD178" i="1"/>
  <c r="AC178" i="1"/>
  <c r="AB178" i="1"/>
  <c r="Y178" i="1"/>
  <c r="Z178" i="1" s="1"/>
  <c r="X178" i="1"/>
  <c r="W178" i="1"/>
  <c r="AE178" i="1" s="1"/>
  <c r="V178" i="1"/>
  <c r="AD177" i="1"/>
  <c r="AC177" i="1"/>
  <c r="AB177" i="1"/>
  <c r="Y177" i="1"/>
  <c r="X177" i="1"/>
  <c r="W177" i="1"/>
  <c r="V177" i="1"/>
  <c r="AE177" i="1" s="1"/>
  <c r="AD176" i="1"/>
  <c r="AC176" i="1"/>
  <c r="AB176" i="1"/>
  <c r="AA176" i="1"/>
  <c r="Z176" i="1"/>
  <c r="Y176" i="1"/>
  <c r="X176" i="1"/>
  <c r="W176" i="1"/>
  <c r="V176" i="1"/>
  <c r="AE176" i="1" s="1"/>
  <c r="AD175" i="1"/>
  <c r="AC175" i="1"/>
  <c r="AB175" i="1"/>
  <c r="AA175" i="1"/>
  <c r="Z175" i="1"/>
  <c r="Y175" i="1"/>
  <c r="X175" i="1"/>
  <c r="W175" i="1"/>
  <c r="V175" i="1"/>
  <c r="AE175" i="1" s="1"/>
  <c r="AE174" i="1"/>
  <c r="AD174" i="1"/>
  <c r="AC174" i="1"/>
  <c r="AB174" i="1"/>
  <c r="Z174" i="1"/>
  <c r="Y174" i="1"/>
  <c r="X174" i="1"/>
  <c r="W174" i="1"/>
  <c r="V174" i="1"/>
  <c r="AD173" i="1"/>
  <c r="AC173" i="1"/>
  <c r="AB173" i="1"/>
  <c r="Y173" i="1"/>
  <c r="Z173" i="1" s="1"/>
  <c r="X173" i="1"/>
  <c r="W173" i="1"/>
  <c r="V173" i="1"/>
  <c r="AE173" i="1" s="1"/>
  <c r="AD172" i="1"/>
  <c r="AC172" i="1"/>
  <c r="AB172" i="1"/>
  <c r="AA172" i="1"/>
  <c r="Z172" i="1"/>
  <c r="Y172" i="1"/>
  <c r="X172" i="1"/>
  <c r="W172" i="1"/>
  <c r="V172" i="1"/>
  <c r="AE172" i="1" s="1"/>
  <c r="AE171" i="1"/>
  <c r="AD171" i="1"/>
  <c r="AC171" i="1"/>
  <c r="AB171" i="1"/>
  <c r="Z171" i="1"/>
  <c r="AA171" i="1" s="1"/>
  <c r="Y171" i="1"/>
  <c r="X171" i="1"/>
  <c r="W171" i="1"/>
  <c r="V171" i="1"/>
  <c r="AD170" i="1"/>
  <c r="AC170" i="1"/>
  <c r="AB170" i="1"/>
  <c r="Z170" i="1"/>
  <c r="Y170" i="1"/>
  <c r="X170" i="1"/>
  <c r="W170" i="1"/>
  <c r="V170" i="1"/>
  <c r="AE170" i="1" s="1"/>
  <c r="AE169" i="1"/>
  <c r="AD169" i="1"/>
  <c r="AC169" i="1"/>
  <c r="AB169" i="1"/>
  <c r="Y169" i="1"/>
  <c r="Z169" i="1" s="1"/>
  <c r="X169" i="1"/>
  <c r="W169" i="1"/>
  <c r="V169" i="1"/>
  <c r="AD168" i="1"/>
  <c r="AC168" i="1"/>
  <c r="AB168" i="1"/>
  <c r="Y168" i="1"/>
  <c r="Z168" i="1" s="1"/>
  <c r="X168" i="1"/>
  <c r="W168" i="1"/>
  <c r="V168" i="1"/>
  <c r="AE168" i="1" s="1"/>
  <c r="AD167" i="1"/>
  <c r="AC167" i="1"/>
  <c r="AB167" i="1"/>
  <c r="AA167" i="1"/>
  <c r="Z167" i="1"/>
  <c r="Y167" i="1"/>
  <c r="X167" i="1"/>
  <c r="W167" i="1"/>
  <c r="V167" i="1"/>
  <c r="AE167" i="1" s="1"/>
  <c r="AD166" i="1"/>
  <c r="AC166" i="1"/>
  <c r="AB166" i="1"/>
  <c r="Z166" i="1"/>
  <c r="AA166" i="1" s="1"/>
  <c r="Y166" i="1"/>
  <c r="X166" i="1"/>
  <c r="W166" i="1"/>
  <c r="V166" i="1"/>
  <c r="AE166" i="1" s="1"/>
  <c r="AD165" i="1"/>
  <c r="AC165" i="1"/>
  <c r="AB165" i="1"/>
  <c r="Y165" i="1"/>
  <c r="X165" i="1"/>
  <c r="W165" i="1"/>
  <c r="V165" i="1"/>
  <c r="AE165" i="1" s="1"/>
  <c r="AD164" i="1"/>
  <c r="AC164" i="1"/>
  <c r="AB164" i="1"/>
  <c r="Y164" i="1"/>
  <c r="Z164" i="1" s="1"/>
  <c r="AA164" i="1" s="1"/>
  <c r="X164" i="1"/>
  <c r="W164" i="1"/>
  <c r="V164" i="1"/>
  <c r="AE164" i="1" s="1"/>
  <c r="AD163" i="1"/>
  <c r="AC163" i="1"/>
  <c r="AB163" i="1"/>
  <c r="AA163" i="1"/>
  <c r="Z163" i="1"/>
  <c r="Y163" i="1"/>
  <c r="X163" i="1"/>
  <c r="W163" i="1"/>
  <c r="V163" i="1"/>
  <c r="AE163" i="1" s="1"/>
  <c r="AE162" i="1"/>
  <c r="AD162" i="1"/>
  <c r="AC162" i="1"/>
  <c r="AB162" i="1"/>
  <c r="Z162" i="1"/>
  <c r="Y162" i="1"/>
  <c r="X162" i="1"/>
  <c r="W162" i="1"/>
  <c r="V162" i="1"/>
  <c r="AD161" i="1"/>
  <c r="AC161" i="1"/>
  <c r="AB161" i="1"/>
  <c r="Y161" i="1"/>
  <c r="Z161" i="1" s="1"/>
  <c r="X161" i="1"/>
  <c r="W161" i="1"/>
  <c r="V161" i="1"/>
  <c r="AE161" i="1" s="1"/>
  <c r="AD160" i="1"/>
  <c r="AC160" i="1"/>
  <c r="AB160" i="1"/>
  <c r="Z160" i="1"/>
  <c r="AA160" i="1" s="1"/>
  <c r="Y160" i="1"/>
  <c r="X160" i="1"/>
  <c r="W160" i="1"/>
  <c r="V160" i="1"/>
  <c r="AE160" i="1" s="1"/>
  <c r="AD159" i="1"/>
  <c r="AC159" i="1"/>
  <c r="AB159" i="1"/>
  <c r="Z159" i="1"/>
  <c r="AA159" i="1" s="1"/>
  <c r="Y159" i="1"/>
  <c r="X159" i="1"/>
  <c r="W159" i="1"/>
  <c r="V159" i="1"/>
  <c r="AD158" i="1"/>
  <c r="AC158" i="1"/>
  <c r="AB158" i="1"/>
  <c r="Z158" i="1"/>
  <c r="AA158" i="1" s="1"/>
  <c r="Y158" i="1"/>
  <c r="X158" i="1"/>
  <c r="W158" i="1"/>
  <c r="V158" i="1"/>
  <c r="AE158" i="1" s="1"/>
  <c r="AE157" i="1"/>
  <c r="AD157" i="1"/>
  <c r="AC157" i="1"/>
  <c r="AB157" i="1"/>
  <c r="Y157" i="1"/>
  <c r="Z157" i="1" s="1"/>
  <c r="X157" i="1"/>
  <c r="W157" i="1"/>
  <c r="V157" i="1"/>
  <c r="AD156" i="1"/>
  <c r="AC156" i="1"/>
  <c r="AB156" i="1"/>
  <c r="Y156" i="1"/>
  <c r="Z156" i="1" s="1"/>
  <c r="X156" i="1"/>
  <c r="W156" i="1"/>
  <c r="V156" i="1"/>
  <c r="AE156" i="1" s="1"/>
  <c r="AE155" i="1"/>
  <c r="AD155" i="1"/>
  <c r="AC155" i="1"/>
  <c r="AB155" i="1"/>
  <c r="Z155" i="1"/>
  <c r="AA155" i="1" s="1"/>
  <c r="Y155" i="1"/>
  <c r="X155" i="1"/>
  <c r="W155" i="1"/>
  <c r="V155" i="1"/>
  <c r="AD154" i="1"/>
  <c r="AC154" i="1"/>
  <c r="AB154" i="1"/>
  <c r="Y154" i="1"/>
  <c r="Z154" i="1" s="1"/>
  <c r="X154" i="1"/>
  <c r="W154" i="1"/>
  <c r="V154" i="1"/>
  <c r="AE154" i="1" s="1"/>
  <c r="AE153" i="1"/>
  <c r="AD153" i="1"/>
  <c r="AC153" i="1"/>
  <c r="AB153" i="1"/>
  <c r="AA153" i="1"/>
  <c r="Y153" i="1"/>
  <c r="Z153" i="1" s="1"/>
  <c r="X153" i="1"/>
  <c r="W153" i="1"/>
  <c r="V153" i="1"/>
  <c r="AD152" i="1"/>
  <c r="AC152" i="1"/>
  <c r="AB152" i="1"/>
  <c r="Z152" i="1"/>
  <c r="AA152" i="1" s="1"/>
  <c r="Y152" i="1"/>
  <c r="X152" i="1"/>
  <c r="W152" i="1"/>
  <c r="V152" i="1"/>
  <c r="AE152" i="1" s="1"/>
  <c r="AD151" i="1"/>
  <c r="AC151" i="1"/>
  <c r="AB151" i="1"/>
  <c r="Z151" i="1"/>
  <c r="AA151" i="1" s="1"/>
  <c r="Y151" i="1"/>
  <c r="X151" i="1"/>
  <c r="W151" i="1"/>
  <c r="V151" i="1"/>
  <c r="AE151" i="1" s="1"/>
  <c r="AE150" i="1"/>
  <c r="AD150" i="1"/>
  <c r="AC150" i="1"/>
  <c r="AB150" i="1"/>
  <c r="Y150" i="1"/>
  <c r="Z150" i="1" s="1"/>
  <c r="X150" i="1"/>
  <c r="W150" i="1"/>
  <c r="V150" i="1"/>
  <c r="AD149" i="1"/>
  <c r="AC149" i="1"/>
  <c r="AB149" i="1"/>
  <c r="Y149" i="1"/>
  <c r="Z149" i="1" s="1"/>
  <c r="X149" i="1"/>
  <c r="W149" i="1"/>
  <c r="V149" i="1"/>
  <c r="AE149" i="1" s="1"/>
  <c r="AE148" i="1"/>
  <c r="AD148" i="1"/>
  <c r="AC148" i="1"/>
  <c r="AB148" i="1"/>
  <c r="Z148" i="1"/>
  <c r="AA148" i="1" s="1"/>
  <c r="Y148" i="1"/>
  <c r="X148" i="1"/>
  <c r="W148" i="1"/>
  <c r="V148" i="1"/>
  <c r="AD147" i="1"/>
  <c r="AC147" i="1"/>
  <c r="AB147" i="1"/>
  <c r="Y147" i="1"/>
  <c r="X147" i="1"/>
  <c r="W147" i="1"/>
  <c r="V147" i="1"/>
  <c r="AE147" i="1" s="1"/>
  <c r="AD146" i="1"/>
  <c r="AC146" i="1"/>
  <c r="AB146" i="1"/>
  <c r="Z146" i="1"/>
  <c r="Y146" i="1"/>
  <c r="X146" i="1"/>
  <c r="W146" i="1"/>
  <c r="V146" i="1"/>
  <c r="AE145" i="1"/>
  <c r="AD145" i="1"/>
  <c r="AC145" i="1"/>
  <c r="AB145" i="1"/>
  <c r="Y145" i="1"/>
  <c r="Z145" i="1" s="1"/>
  <c r="AA145" i="1" s="1"/>
  <c r="X145" i="1"/>
  <c r="W145" i="1"/>
  <c r="V145" i="1"/>
  <c r="AD144" i="1"/>
  <c r="AC144" i="1"/>
  <c r="AB144" i="1"/>
  <c r="AA144" i="1"/>
  <c r="Z144" i="1"/>
  <c r="Y144" i="1"/>
  <c r="X144" i="1"/>
  <c r="W144" i="1"/>
  <c r="V144" i="1"/>
  <c r="AE144" i="1" s="1"/>
  <c r="AE143" i="1"/>
  <c r="AD143" i="1"/>
  <c r="AC143" i="1"/>
  <c r="AB143" i="1"/>
  <c r="Z143" i="1"/>
  <c r="AA143" i="1" s="1"/>
  <c r="Y143" i="1"/>
  <c r="X143" i="1"/>
  <c r="W143" i="1"/>
  <c r="V143" i="1"/>
  <c r="AD142" i="1"/>
  <c r="AC142" i="1"/>
  <c r="AB142" i="1"/>
  <c r="Y142" i="1"/>
  <c r="Z142" i="1" s="1"/>
  <c r="X142" i="1"/>
  <c r="W142" i="1"/>
  <c r="V142" i="1"/>
  <c r="AE142" i="1" s="1"/>
  <c r="AD141" i="1"/>
  <c r="AC141" i="1"/>
  <c r="AB141" i="1"/>
  <c r="Z141" i="1"/>
  <c r="AA141" i="1" s="1"/>
  <c r="Y141" i="1"/>
  <c r="X141" i="1"/>
  <c r="W141" i="1"/>
  <c r="V141" i="1"/>
  <c r="AE141" i="1" s="1"/>
  <c r="AD140" i="1"/>
  <c r="AC140" i="1"/>
  <c r="AB140" i="1"/>
  <c r="Z140" i="1"/>
  <c r="AA140" i="1" s="1"/>
  <c r="Y140" i="1"/>
  <c r="X140" i="1"/>
  <c r="W140" i="1"/>
  <c r="V140" i="1"/>
  <c r="AE140" i="1" s="1"/>
  <c r="AD139" i="1"/>
  <c r="AC139" i="1"/>
  <c r="AB139" i="1"/>
  <c r="Z139" i="1"/>
  <c r="AA139" i="1" s="1"/>
  <c r="Y139" i="1"/>
  <c r="X139" i="1"/>
  <c r="W139" i="1"/>
  <c r="V139" i="1"/>
  <c r="AE139" i="1" s="1"/>
  <c r="AE138" i="1"/>
  <c r="AD138" i="1"/>
  <c r="AC138" i="1"/>
  <c r="AB138" i="1"/>
  <c r="Y138" i="1"/>
  <c r="X138" i="1"/>
  <c r="W138" i="1"/>
  <c r="V138" i="1"/>
  <c r="AD137" i="1"/>
  <c r="AC137" i="1"/>
  <c r="AB137" i="1"/>
  <c r="Y137" i="1"/>
  <c r="Z137" i="1" s="1"/>
  <c r="X137" i="1"/>
  <c r="W137" i="1"/>
  <c r="V137" i="1"/>
  <c r="AE137" i="1" s="1"/>
  <c r="AD136" i="1"/>
  <c r="AC136" i="1"/>
  <c r="AB136" i="1"/>
  <c r="Y136" i="1"/>
  <c r="Z136" i="1" s="1"/>
  <c r="AA136" i="1" s="1"/>
  <c r="X136" i="1"/>
  <c r="W136" i="1"/>
  <c r="V136" i="1"/>
  <c r="AE136" i="1" s="1"/>
  <c r="AD135" i="1"/>
  <c r="AC135" i="1"/>
  <c r="AB135" i="1"/>
  <c r="Z135" i="1"/>
  <c r="AA135" i="1" s="1"/>
  <c r="Y135" i="1"/>
  <c r="X135" i="1"/>
  <c r="W135" i="1"/>
  <c r="V135" i="1"/>
  <c r="AE135" i="1" s="1"/>
  <c r="AD134" i="1"/>
  <c r="AC134" i="1"/>
  <c r="AB134" i="1"/>
  <c r="Z134" i="1"/>
  <c r="Y134" i="1"/>
  <c r="AA134" i="1" s="1"/>
  <c r="X134" i="1"/>
  <c r="W134" i="1"/>
  <c r="V134" i="1"/>
  <c r="AE134" i="1" s="1"/>
  <c r="AE133" i="1"/>
  <c r="AD133" i="1"/>
  <c r="AC133" i="1"/>
  <c r="AB133" i="1"/>
  <c r="Z133" i="1"/>
  <c r="Y133" i="1"/>
  <c r="X133" i="1"/>
  <c r="W133" i="1"/>
  <c r="V133" i="1"/>
  <c r="AD132" i="1"/>
  <c r="AC132" i="1"/>
  <c r="AB132" i="1"/>
  <c r="Y132" i="1"/>
  <c r="Z132" i="1" s="1"/>
  <c r="X132" i="1"/>
  <c r="W132" i="1"/>
  <c r="V132" i="1"/>
  <c r="AE132" i="1" s="1"/>
  <c r="AD131" i="1"/>
  <c r="AC131" i="1"/>
  <c r="AB131" i="1"/>
  <c r="Y131" i="1"/>
  <c r="Z131" i="1" s="1"/>
  <c r="AA131" i="1" s="1"/>
  <c r="X131" i="1"/>
  <c r="W131" i="1"/>
  <c r="V131" i="1"/>
  <c r="AE131" i="1" s="1"/>
  <c r="AD130" i="1"/>
  <c r="AC130" i="1"/>
  <c r="AB130" i="1"/>
  <c r="Y130" i="1"/>
  <c r="X130" i="1"/>
  <c r="W130" i="1"/>
  <c r="V130" i="1"/>
  <c r="AE130" i="1" s="1"/>
  <c r="AD129" i="1"/>
  <c r="AC129" i="1"/>
  <c r="AB129" i="1"/>
  <c r="Y129" i="1"/>
  <c r="X129" i="1"/>
  <c r="W129" i="1"/>
  <c r="V129" i="1"/>
  <c r="AE129" i="1" s="1"/>
  <c r="AD128" i="1"/>
  <c r="AC128" i="1"/>
  <c r="AB128" i="1"/>
  <c r="Z128" i="1"/>
  <c r="Y128" i="1"/>
  <c r="X128" i="1"/>
  <c r="W128" i="1"/>
  <c r="V128" i="1"/>
  <c r="AE128" i="1" s="1"/>
  <c r="AD127" i="1"/>
  <c r="AC127" i="1"/>
  <c r="AB127" i="1"/>
  <c r="AA127" i="1"/>
  <c r="Z127" i="1"/>
  <c r="Y127" i="1"/>
  <c r="X127" i="1"/>
  <c r="W127" i="1"/>
  <c r="V127" i="1"/>
  <c r="AE127" i="1" s="1"/>
  <c r="AD126" i="1"/>
  <c r="AC126" i="1"/>
  <c r="AB126" i="1"/>
  <c r="Y126" i="1"/>
  <c r="Z126" i="1" s="1"/>
  <c r="X126" i="1"/>
  <c r="W126" i="1"/>
  <c r="V126" i="1"/>
  <c r="AD125" i="1"/>
  <c r="AC125" i="1"/>
  <c r="AB125" i="1"/>
  <c r="Z125" i="1"/>
  <c r="AA125" i="1" s="1"/>
  <c r="Y125" i="1"/>
  <c r="X125" i="1"/>
  <c r="W125" i="1"/>
  <c r="V125" i="1"/>
  <c r="AE125" i="1" s="1"/>
  <c r="AE124" i="1"/>
  <c r="AD124" i="1"/>
  <c r="AC124" i="1"/>
  <c r="AB124" i="1"/>
  <c r="AA124" i="1"/>
  <c r="Z124" i="1"/>
  <c r="Y124" i="1"/>
  <c r="X124" i="1"/>
  <c r="W124" i="1"/>
  <c r="V124" i="1"/>
  <c r="AE123" i="1"/>
  <c r="AD123" i="1"/>
  <c r="AC123" i="1"/>
  <c r="AB123" i="1"/>
  <c r="Y123" i="1"/>
  <c r="Z123" i="1" s="1"/>
  <c r="AA123" i="1" s="1"/>
  <c r="X123" i="1"/>
  <c r="W123" i="1"/>
  <c r="V123" i="1"/>
  <c r="AD122" i="1"/>
  <c r="AC122" i="1"/>
  <c r="AB122" i="1"/>
  <c r="Z122" i="1"/>
  <c r="Y122" i="1"/>
  <c r="X122" i="1"/>
  <c r="W122" i="1"/>
  <c r="AE122" i="1" s="1"/>
  <c r="V122" i="1"/>
  <c r="AE121" i="1"/>
  <c r="AD121" i="1"/>
  <c r="AC121" i="1"/>
  <c r="AB121" i="1"/>
  <c r="Z121" i="1"/>
  <c r="Y121" i="1"/>
  <c r="AA121" i="1" s="1"/>
  <c r="X121" i="1"/>
  <c r="W121" i="1"/>
  <c r="V121" i="1"/>
  <c r="AD120" i="1"/>
  <c r="AC120" i="1"/>
  <c r="AB120" i="1"/>
  <c r="Z120" i="1"/>
  <c r="AA120" i="1" s="1"/>
  <c r="Y120" i="1"/>
  <c r="X120" i="1"/>
  <c r="W120" i="1"/>
  <c r="V120" i="1"/>
  <c r="AE119" i="1"/>
  <c r="AD119" i="1"/>
  <c r="AC119" i="1"/>
  <c r="AB119" i="1"/>
  <c r="AA119" i="1"/>
  <c r="Z119" i="1"/>
  <c r="Y119" i="1"/>
  <c r="X119" i="1"/>
  <c r="W119" i="1"/>
  <c r="V119" i="1"/>
  <c r="AE118" i="1"/>
  <c r="AD118" i="1"/>
  <c r="AC118" i="1"/>
  <c r="AB118" i="1"/>
  <c r="Y118" i="1"/>
  <c r="Z118" i="1" s="1"/>
  <c r="AA118" i="1" s="1"/>
  <c r="X118" i="1"/>
  <c r="W118" i="1"/>
  <c r="V118" i="1"/>
  <c r="AD117" i="1"/>
  <c r="AC117" i="1"/>
  <c r="AB117" i="1"/>
  <c r="Y117" i="1"/>
  <c r="X117" i="1"/>
  <c r="W117" i="1"/>
  <c r="V117" i="1"/>
  <c r="AE117" i="1" s="1"/>
  <c r="AE116" i="1"/>
  <c r="AD116" i="1"/>
  <c r="AC116" i="1"/>
  <c r="AB116" i="1"/>
  <c r="Y116" i="1"/>
  <c r="Z116" i="1" s="1"/>
  <c r="AA116" i="1" s="1"/>
  <c r="X116" i="1"/>
  <c r="W116" i="1"/>
  <c r="V116" i="1"/>
  <c r="AD115" i="1"/>
  <c r="AC115" i="1"/>
  <c r="AB115" i="1"/>
  <c r="Y115" i="1"/>
  <c r="X115" i="1"/>
  <c r="W115" i="1"/>
  <c r="V115" i="1"/>
  <c r="AE115" i="1" s="1"/>
  <c r="AE114" i="1"/>
  <c r="AD114" i="1"/>
  <c r="AC114" i="1"/>
  <c r="AB114" i="1"/>
  <c r="Z114" i="1"/>
  <c r="Y114" i="1"/>
  <c r="X114" i="1"/>
  <c r="W114" i="1"/>
  <c r="V114" i="1"/>
  <c r="AE113" i="1"/>
  <c r="AD113" i="1"/>
  <c r="AC113" i="1"/>
  <c r="AB113" i="1"/>
  <c r="Y113" i="1"/>
  <c r="Z113" i="1" s="1"/>
  <c r="AA113" i="1" s="1"/>
  <c r="X113" i="1"/>
  <c r="W113" i="1"/>
  <c r="V113" i="1"/>
  <c r="AD112" i="1"/>
  <c r="AC112" i="1"/>
  <c r="AB112" i="1"/>
  <c r="Y112" i="1"/>
  <c r="Z112" i="1" s="1"/>
  <c r="AA112" i="1" s="1"/>
  <c r="X112" i="1"/>
  <c r="W112" i="1"/>
  <c r="V112" i="1"/>
  <c r="AE112" i="1" s="1"/>
  <c r="AE111" i="1"/>
  <c r="AD111" i="1"/>
  <c r="AC111" i="1"/>
  <c r="AB111" i="1"/>
  <c r="Z111" i="1"/>
  <c r="Y111" i="1"/>
  <c r="AA111" i="1" s="1"/>
  <c r="X111" i="1"/>
  <c r="W111" i="1"/>
  <c r="V111" i="1"/>
  <c r="AD110" i="1"/>
  <c r="AC110" i="1"/>
  <c r="AB110" i="1"/>
  <c r="Y110" i="1"/>
  <c r="X110" i="1"/>
  <c r="W110" i="1"/>
  <c r="V110" i="1"/>
  <c r="AE110" i="1" s="1"/>
  <c r="AE109" i="1"/>
  <c r="AD109" i="1"/>
  <c r="AC109" i="1"/>
  <c r="AB109" i="1"/>
  <c r="AA109" i="1"/>
  <c r="Z109" i="1"/>
  <c r="Y109" i="1"/>
  <c r="X109" i="1"/>
  <c r="W109" i="1"/>
  <c r="V109" i="1"/>
  <c r="AD108" i="1"/>
  <c r="AC108" i="1"/>
  <c r="AB108" i="1"/>
  <c r="Z108" i="1"/>
  <c r="AA108" i="1" s="1"/>
  <c r="Y108" i="1"/>
  <c r="X108" i="1"/>
  <c r="W108" i="1"/>
  <c r="V108" i="1"/>
  <c r="AE108" i="1" s="1"/>
  <c r="AD107" i="1"/>
  <c r="AC107" i="1"/>
  <c r="AB107" i="1"/>
  <c r="AA107" i="1"/>
  <c r="Z107" i="1"/>
  <c r="Y107" i="1"/>
  <c r="X107" i="1"/>
  <c r="W107" i="1"/>
  <c r="V107" i="1"/>
  <c r="AE107" i="1" s="1"/>
  <c r="AE106" i="1"/>
  <c r="AD106" i="1"/>
  <c r="AC106" i="1"/>
  <c r="AB106" i="1"/>
  <c r="Z106" i="1"/>
  <c r="Y106" i="1"/>
  <c r="AA106" i="1" s="1"/>
  <c r="X106" i="1"/>
  <c r="W106" i="1"/>
  <c r="V106" i="1"/>
  <c r="AD105" i="1"/>
  <c r="AC105" i="1"/>
  <c r="AB105" i="1"/>
  <c r="Y105" i="1"/>
  <c r="Z105" i="1" s="1"/>
  <c r="X105" i="1"/>
  <c r="W105" i="1"/>
  <c r="V105" i="1"/>
  <c r="AE105" i="1" s="1"/>
  <c r="AD104" i="1"/>
  <c r="AC104" i="1"/>
  <c r="AB104" i="1"/>
  <c r="Y104" i="1"/>
  <c r="X104" i="1"/>
  <c r="W104" i="1"/>
  <c r="V104" i="1"/>
  <c r="AE104" i="1" s="1"/>
  <c r="AE103" i="1"/>
  <c r="AD103" i="1"/>
  <c r="AC103" i="1"/>
  <c r="AB103" i="1"/>
  <c r="Z103" i="1"/>
  <c r="AA103" i="1" s="1"/>
  <c r="Y103" i="1"/>
  <c r="X103" i="1"/>
  <c r="W103" i="1"/>
  <c r="V103" i="1"/>
  <c r="AD102" i="1"/>
  <c r="AC102" i="1"/>
  <c r="AB102" i="1"/>
  <c r="Y102" i="1"/>
  <c r="Z102" i="1" s="1"/>
  <c r="X102" i="1"/>
  <c r="W102" i="1"/>
  <c r="V102" i="1"/>
  <c r="AE102" i="1" s="1"/>
  <c r="AE101" i="1"/>
  <c r="AD101" i="1"/>
  <c r="AC101" i="1"/>
  <c r="AB101" i="1"/>
  <c r="Y101" i="1"/>
  <c r="Z101" i="1" s="1"/>
  <c r="AA101" i="1" s="1"/>
  <c r="X101" i="1"/>
  <c r="W101" i="1"/>
  <c r="V101" i="1"/>
  <c r="AD100" i="1"/>
  <c r="AC100" i="1"/>
  <c r="AB100" i="1"/>
  <c r="Y100" i="1"/>
  <c r="Z100" i="1" s="1"/>
  <c r="X100" i="1"/>
  <c r="W100" i="1"/>
  <c r="V100" i="1"/>
  <c r="AE100" i="1" s="1"/>
  <c r="AD99" i="1"/>
  <c r="AC99" i="1"/>
  <c r="AB99" i="1"/>
  <c r="AA99" i="1"/>
  <c r="Z99" i="1"/>
  <c r="Y99" i="1"/>
  <c r="X99" i="1"/>
  <c r="W99" i="1"/>
  <c r="V99" i="1"/>
  <c r="AE99" i="1" s="1"/>
  <c r="AE98" i="1"/>
  <c r="AD98" i="1"/>
  <c r="AC98" i="1"/>
  <c r="AB98" i="1"/>
  <c r="Z98" i="1"/>
  <c r="AA98" i="1" s="1"/>
  <c r="Y98" i="1"/>
  <c r="X98" i="1"/>
  <c r="W98" i="1"/>
  <c r="V98" i="1"/>
  <c r="AD97" i="1"/>
  <c r="AC97" i="1"/>
  <c r="AB97" i="1"/>
  <c r="Y97" i="1"/>
  <c r="Z97" i="1" s="1"/>
  <c r="X97" i="1"/>
  <c r="W97" i="1"/>
  <c r="V97" i="1"/>
  <c r="AE97" i="1" s="1"/>
  <c r="AE96" i="1"/>
  <c r="AD96" i="1"/>
  <c r="AC96" i="1"/>
  <c r="AB96" i="1"/>
  <c r="Z96" i="1"/>
  <c r="AA96" i="1" s="1"/>
  <c r="Y96" i="1"/>
  <c r="X96" i="1"/>
  <c r="W96" i="1"/>
  <c r="V96" i="1"/>
  <c r="AD95" i="1"/>
  <c r="AC95" i="1"/>
  <c r="AB95" i="1"/>
  <c r="Z95" i="1"/>
  <c r="AA95" i="1" s="1"/>
  <c r="Y95" i="1"/>
  <c r="X95" i="1"/>
  <c r="W95" i="1"/>
  <c r="V95" i="1"/>
  <c r="AE95" i="1" s="1"/>
  <c r="AD94" i="1"/>
  <c r="AC94" i="1"/>
  <c r="AB94" i="1"/>
  <c r="Z94" i="1"/>
  <c r="Y94" i="1"/>
  <c r="X94" i="1"/>
  <c r="W94" i="1"/>
  <c r="V94" i="1"/>
  <c r="AE94" i="1" s="1"/>
  <c r="AE93" i="1"/>
  <c r="AD93" i="1"/>
  <c r="AC93" i="1"/>
  <c r="AB93" i="1"/>
  <c r="Y93" i="1"/>
  <c r="Z93" i="1" s="1"/>
  <c r="AA93" i="1" s="1"/>
  <c r="X93" i="1"/>
  <c r="W93" i="1"/>
  <c r="V93" i="1"/>
  <c r="AD92" i="1"/>
  <c r="AC92" i="1"/>
  <c r="AB92" i="1"/>
  <c r="Y92" i="1"/>
  <c r="Z92" i="1" s="1"/>
  <c r="X92" i="1"/>
  <c r="W92" i="1"/>
  <c r="V92" i="1"/>
  <c r="AE92" i="1" s="1"/>
  <c r="AE91" i="1"/>
  <c r="AD91" i="1"/>
  <c r="AC91" i="1"/>
  <c r="AB91" i="1"/>
  <c r="Z91" i="1"/>
  <c r="AA91" i="1" s="1"/>
  <c r="Y91" i="1"/>
  <c r="X91" i="1"/>
  <c r="W91" i="1"/>
  <c r="V91" i="1"/>
  <c r="AD90" i="1"/>
  <c r="AC90" i="1"/>
  <c r="AB90" i="1"/>
  <c r="Z90" i="1"/>
  <c r="AA90" i="1" s="1"/>
  <c r="Y90" i="1"/>
  <c r="X90" i="1"/>
  <c r="W90" i="1"/>
  <c r="V90" i="1"/>
  <c r="AE90" i="1" s="1"/>
  <c r="AD89" i="1"/>
  <c r="AC89" i="1"/>
  <c r="AB89" i="1"/>
  <c r="AA89" i="1"/>
  <c r="Z89" i="1"/>
  <c r="Y89" i="1"/>
  <c r="X89" i="1"/>
  <c r="W89" i="1"/>
  <c r="V89" i="1"/>
  <c r="AE89" i="1" s="1"/>
  <c r="AE88" i="1"/>
  <c r="AD88" i="1"/>
  <c r="AC88" i="1"/>
  <c r="AB88" i="1"/>
  <c r="Z88" i="1"/>
  <c r="Y88" i="1"/>
  <c r="AA88" i="1" s="1"/>
  <c r="X88" i="1"/>
  <c r="W88" i="1"/>
  <c r="V88" i="1"/>
  <c r="AD87" i="1"/>
  <c r="AC87" i="1"/>
  <c r="AB87" i="1"/>
  <c r="Y87" i="1"/>
  <c r="Z87" i="1" s="1"/>
  <c r="X87" i="1"/>
  <c r="W87" i="1"/>
  <c r="V87" i="1"/>
  <c r="AE87" i="1" s="1"/>
  <c r="AD86" i="1"/>
  <c r="AC86" i="1"/>
  <c r="AB86" i="1"/>
  <c r="Y86" i="1"/>
  <c r="X86" i="1"/>
  <c r="W86" i="1"/>
  <c r="V86" i="1"/>
  <c r="AE86" i="1" s="1"/>
  <c r="AE85" i="1"/>
  <c r="AD85" i="1"/>
  <c r="AC85" i="1"/>
  <c r="AB85" i="1"/>
  <c r="Z85" i="1"/>
  <c r="AA85" i="1" s="1"/>
  <c r="Y85" i="1"/>
  <c r="X85" i="1"/>
  <c r="W85" i="1"/>
  <c r="V85" i="1"/>
  <c r="AD84" i="1"/>
  <c r="AC84" i="1"/>
  <c r="AB84" i="1"/>
  <c r="Y84" i="1"/>
  <c r="X84" i="1"/>
  <c r="W84" i="1"/>
  <c r="V84" i="1"/>
  <c r="AE84" i="1" s="1"/>
  <c r="AE83" i="1"/>
  <c r="AD83" i="1"/>
  <c r="AC83" i="1"/>
  <c r="AB83" i="1"/>
  <c r="Z83" i="1"/>
  <c r="AA83" i="1" s="1"/>
  <c r="Y83" i="1"/>
  <c r="X83" i="1"/>
  <c r="W83" i="1"/>
  <c r="V83" i="1"/>
  <c r="AD82" i="1"/>
  <c r="AC82" i="1"/>
  <c r="AB82" i="1"/>
  <c r="Z82" i="1"/>
  <c r="AA82" i="1" s="1"/>
  <c r="Y82" i="1"/>
  <c r="X82" i="1"/>
  <c r="W82" i="1"/>
  <c r="V82" i="1"/>
  <c r="AE82" i="1" s="1"/>
  <c r="AD81" i="1"/>
  <c r="AC81" i="1"/>
  <c r="AB81" i="1"/>
  <c r="AA81" i="1"/>
  <c r="Z81" i="1"/>
  <c r="Y81" i="1"/>
  <c r="X81" i="1"/>
  <c r="W81" i="1"/>
  <c r="V81" i="1"/>
  <c r="AE81" i="1" s="1"/>
  <c r="AE80" i="1"/>
  <c r="AD80" i="1"/>
  <c r="AC80" i="1"/>
  <c r="AB80" i="1"/>
  <c r="Z80" i="1"/>
  <c r="Y80" i="1"/>
  <c r="AA80" i="1" s="1"/>
  <c r="X80" i="1"/>
  <c r="W80" i="1"/>
  <c r="V80" i="1"/>
  <c r="AD79" i="1"/>
  <c r="AC79" i="1"/>
  <c r="AB79" i="1"/>
  <c r="Y79" i="1"/>
  <c r="X79" i="1"/>
  <c r="W79" i="1"/>
  <c r="V79" i="1"/>
  <c r="AE79" i="1" s="1"/>
  <c r="AD78" i="1"/>
  <c r="AC78" i="1"/>
  <c r="AB78" i="1"/>
  <c r="Y78" i="1"/>
  <c r="X78" i="1"/>
  <c r="W78" i="1"/>
  <c r="V78" i="1"/>
  <c r="AE78" i="1" s="1"/>
  <c r="AE77" i="1"/>
  <c r="AD77" i="1"/>
  <c r="AC77" i="1"/>
  <c r="AB77" i="1"/>
  <c r="Z77" i="1"/>
  <c r="AA77" i="1" s="1"/>
  <c r="Y77" i="1"/>
  <c r="X77" i="1"/>
  <c r="W77" i="1"/>
  <c r="V77" i="1"/>
  <c r="AD76" i="1"/>
  <c r="AC76" i="1"/>
  <c r="AB76" i="1"/>
  <c r="Y76" i="1"/>
  <c r="Z76" i="1" s="1"/>
  <c r="X76" i="1"/>
  <c r="W76" i="1"/>
  <c r="V76" i="1"/>
  <c r="AE76" i="1" s="1"/>
  <c r="AE75" i="1"/>
  <c r="AD75" i="1"/>
  <c r="AC75" i="1"/>
  <c r="AB75" i="1"/>
  <c r="Z75" i="1"/>
  <c r="AA75" i="1" s="1"/>
  <c r="Y75" i="1"/>
  <c r="X75" i="1"/>
  <c r="W75" i="1"/>
  <c r="V75" i="1"/>
  <c r="AD74" i="1"/>
  <c r="AC74" i="1"/>
  <c r="AB74" i="1"/>
  <c r="Z74" i="1"/>
  <c r="AA74" i="1" s="1"/>
  <c r="Y74" i="1"/>
  <c r="X74" i="1"/>
  <c r="W74" i="1"/>
  <c r="V74" i="1"/>
  <c r="AE74" i="1" s="1"/>
  <c r="AD73" i="1"/>
  <c r="AC73" i="1"/>
  <c r="AB73" i="1"/>
  <c r="Z73" i="1"/>
  <c r="AA73" i="1" s="1"/>
  <c r="Y73" i="1"/>
  <c r="X73" i="1"/>
  <c r="W73" i="1"/>
  <c r="V73" i="1"/>
  <c r="AE73" i="1" s="1"/>
  <c r="AE72" i="1"/>
  <c r="AD72" i="1"/>
  <c r="AC72" i="1"/>
  <c r="AB72" i="1"/>
  <c r="Z72" i="1"/>
  <c r="Y72" i="1"/>
  <c r="AA72" i="1" s="1"/>
  <c r="X72" i="1"/>
  <c r="W72" i="1"/>
  <c r="V72" i="1"/>
  <c r="AD71" i="1"/>
  <c r="AC71" i="1"/>
  <c r="AB71" i="1"/>
  <c r="Y71" i="1"/>
  <c r="Z71" i="1" s="1"/>
  <c r="X71" i="1"/>
  <c r="W71" i="1"/>
  <c r="V71" i="1"/>
  <c r="AE71" i="1" s="1"/>
  <c r="AD70" i="1"/>
  <c r="AC70" i="1"/>
  <c r="AB70" i="1"/>
  <c r="Y70" i="1"/>
  <c r="X70" i="1"/>
  <c r="W70" i="1"/>
  <c r="V70" i="1"/>
  <c r="AE70" i="1" s="1"/>
  <c r="AE69" i="1"/>
  <c r="AD69" i="1"/>
  <c r="AC69" i="1"/>
  <c r="AB69" i="1"/>
  <c r="Z69" i="1"/>
  <c r="AA69" i="1" s="1"/>
  <c r="Y69" i="1"/>
  <c r="X69" i="1"/>
  <c r="W69" i="1"/>
  <c r="V69" i="1"/>
  <c r="AD68" i="1"/>
  <c r="AC68" i="1"/>
  <c r="AB68" i="1"/>
  <c r="Y68" i="1"/>
  <c r="Z68" i="1" s="1"/>
  <c r="X68" i="1"/>
  <c r="W68" i="1"/>
  <c r="V68" i="1"/>
  <c r="AE68" i="1" s="1"/>
  <c r="AE67" i="1"/>
  <c r="AD67" i="1"/>
  <c r="AC67" i="1"/>
  <c r="AB67" i="1"/>
  <c r="Z67" i="1"/>
  <c r="AA67" i="1" s="1"/>
  <c r="Y67" i="1"/>
  <c r="X67" i="1"/>
  <c r="W67" i="1"/>
  <c r="V67" i="1"/>
  <c r="AD66" i="1"/>
  <c r="AC66" i="1"/>
  <c r="AB66" i="1"/>
  <c r="Z66" i="1"/>
  <c r="AA66" i="1" s="1"/>
  <c r="Y66" i="1"/>
  <c r="X66" i="1"/>
  <c r="W66" i="1"/>
  <c r="V66" i="1"/>
  <c r="AE66" i="1" s="1"/>
  <c r="AD65" i="1"/>
  <c r="AC65" i="1"/>
  <c r="AB65" i="1"/>
  <c r="Z65" i="1"/>
  <c r="AA65" i="1" s="1"/>
  <c r="Y65" i="1"/>
  <c r="X65" i="1"/>
  <c r="W65" i="1"/>
  <c r="V65" i="1"/>
  <c r="AE65" i="1" s="1"/>
  <c r="AE64" i="1"/>
  <c r="AD64" i="1"/>
  <c r="AC64" i="1"/>
  <c r="AB64" i="1"/>
  <c r="Z64" i="1"/>
  <c r="Y64" i="1"/>
  <c r="AA64" i="1" s="1"/>
  <c r="X64" i="1"/>
  <c r="W64" i="1"/>
  <c r="V64" i="1"/>
  <c r="AD63" i="1"/>
  <c r="AC63" i="1"/>
  <c r="AB63" i="1"/>
  <c r="Y63" i="1"/>
  <c r="X63" i="1"/>
  <c r="W63" i="1"/>
  <c r="V63" i="1"/>
  <c r="AE63" i="1" s="1"/>
  <c r="AD62" i="1"/>
  <c r="AC62" i="1"/>
  <c r="AB62" i="1"/>
  <c r="Z62" i="1"/>
  <c r="Y62" i="1"/>
  <c r="AA62" i="1" s="1"/>
  <c r="X62" i="1"/>
  <c r="W62" i="1"/>
  <c r="V62" i="1"/>
  <c r="AE62" i="1" s="1"/>
  <c r="AE61" i="1"/>
  <c r="AD61" i="1"/>
  <c r="AC61" i="1"/>
  <c r="AB61" i="1"/>
  <c r="Z61" i="1"/>
  <c r="AA61" i="1" s="1"/>
  <c r="Y61" i="1"/>
  <c r="X61" i="1"/>
  <c r="W61" i="1"/>
  <c r="V61" i="1"/>
  <c r="AD60" i="1"/>
  <c r="AC60" i="1"/>
  <c r="AB60" i="1"/>
  <c r="Y60" i="1"/>
  <c r="Z60" i="1" s="1"/>
  <c r="X60" i="1"/>
  <c r="W60" i="1"/>
  <c r="V60" i="1"/>
  <c r="AE60" i="1" s="1"/>
  <c r="AE59" i="1"/>
  <c r="AD59" i="1"/>
  <c r="AC59" i="1"/>
  <c r="AB59" i="1"/>
  <c r="Z59" i="1"/>
  <c r="AA59" i="1" s="1"/>
  <c r="Y59" i="1"/>
  <c r="X59" i="1"/>
  <c r="W59" i="1"/>
  <c r="V59" i="1"/>
  <c r="AD58" i="1"/>
  <c r="AC58" i="1"/>
  <c r="AB58" i="1"/>
  <c r="Z58" i="1"/>
  <c r="AA58" i="1" s="1"/>
  <c r="Y58" i="1"/>
  <c r="X58" i="1"/>
  <c r="W58" i="1"/>
  <c r="V58" i="1"/>
  <c r="AE58" i="1" s="1"/>
  <c r="AD57" i="1"/>
  <c r="AC57" i="1"/>
  <c r="AB57" i="1"/>
  <c r="Z57" i="1"/>
  <c r="AA57" i="1" s="1"/>
  <c r="Y57" i="1"/>
  <c r="X57" i="1"/>
  <c r="W57" i="1"/>
  <c r="V57" i="1"/>
  <c r="AE57" i="1" s="1"/>
  <c r="AE56" i="1"/>
  <c r="AD56" i="1"/>
  <c r="AC56" i="1"/>
  <c r="AB56" i="1"/>
  <c r="Z56" i="1"/>
  <c r="Y56" i="1"/>
  <c r="AA56" i="1" s="1"/>
  <c r="X56" i="1"/>
  <c r="W56" i="1"/>
  <c r="V56" i="1"/>
  <c r="AD55" i="1"/>
  <c r="AC55" i="1"/>
  <c r="AB55" i="1"/>
  <c r="Y55" i="1"/>
  <c r="X55" i="1"/>
  <c r="W55" i="1"/>
  <c r="V55" i="1"/>
  <c r="AE55" i="1" s="1"/>
  <c r="AD54" i="1"/>
  <c r="AC54" i="1"/>
  <c r="AB54" i="1"/>
  <c r="Z54" i="1"/>
  <c r="Y54" i="1"/>
  <c r="AA54" i="1" s="1"/>
  <c r="X54" i="1"/>
  <c r="W54" i="1"/>
  <c r="V54" i="1"/>
  <c r="AE54" i="1" s="1"/>
  <c r="AE53" i="1"/>
  <c r="AD53" i="1"/>
  <c r="AC53" i="1"/>
  <c r="AB53" i="1"/>
  <c r="Z53" i="1"/>
  <c r="AA53" i="1" s="1"/>
  <c r="Y53" i="1"/>
  <c r="X53" i="1"/>
  <c r="W53" i="1"/>
  <c r="V53" i="1"/>
  <c r="AD52" i="1"/>
  <c r="AC52" i="1"/>
  <c r="AB52" i="1"/>
  <c r="Y52" i="1"/>
  <c r="Z52" i="1" s="1"/>
  <c r="X52" i="1"/>
  <c r="W52" i="1"/>
  <c r="V52" i="1"/>
  <c r="AE52" i="1" s="1"/>
  <c r="AE51" i="1"/>
  <c r="AD51" i="1"/>
  <c r="AC51" i="1"/>
  <c r="AB51" i="1"/>
  <c r="Z51" i="1"/>
  <c r="AA51" i="1" s="1"/>
  <c r="Y51" i="1"/>
  <c r="X51" i="1"/>
  <c r="W51" i="1"/>
  <c r="V51" i="1"/>
  <c r="AD50" i="1"/>
  <c r="AC50" i="1"/>
  <c r="AB50" i="1"/>
  <c r="Z50" i="1"/>
  <c r="AA50" i="1" s="1"/>
  <c r="Y50" i="1"/>
  <c r="X50" i="1"/>
  <c r="W50" i="1"/>
  <c r="V50" i="1"/>
  <c r="AE50" i="1" s="1"/>
  <c r="AD49" i="1"/>
  <c r="AC49" i="1"/>
  <c r="AB49" i="1"/>
  <c r="Z49" i="1"/>
  <c r="AA49" i="1" s="1"/>
  <c r="Y49" i="1"/>
  <c r="X49" i="1"/>
  <c r="W49" i="1"/>
  <c r="V49" i="1"/>
  <c r="AE49" i="1" s="1"/>
  <c r="AE48" i="1"/>
  <c r="AD48" i="1"/>
  <c r="AC48" i="1"/>
  <c r="AB48" i="1"/>
  <c r="Z48" i="1"/>
  <c r="Y48" i="1"/>
  <c r="AA48" i="1" s="1"/>
  <c r="X48" i="1"/>
  <c r="W48" i="1"/>
  <c r="V48" i="1"/>
  <c r="AD47" i="1"/>
  <c r="AC47" i="1"/>
  <c r="AB47" i="1"/>
  <c r="Y47" i="1"/>
  <c r="Z47" i="1" s="1"/>
  <c r="X47" i="1"/>
  <c r="W47" i="1"/>
  <c r="V47" i="1"/>
  <c r="AE47" i="1" s="1"/>
  <c r="AD46" i="1"/>
  <c r="AC46" i="1"/>
  <c r="AB46" i="1"/>
  <c r="Z46" i="1"/>
  <c r="Y46" i="1"/>
  <c r="AA46" i="1" s="1"/>
  <c r="X46" i="1"/>
  <c r="W46" i="1"/>
  <c r="V46" i="1"/>
  <c r="AE46" i="1" s="1"/>
  <c r="AE45" i="1"/>
  <c r="AD45" i="1"/>
  <c r="AC45" i="1"/>
  <c r="AB45" i="1"/>
  <c r="Z45" i="1"/>
  <c r="AA45" i="1" s="1"/>
  <c r="Y45" i="1"/>
  <c r="X45" i="1"/>
  <c r="W45" i="1"/>
  <c r="V45" i="1"/>
  <c r="AD44" i="1"/>
  <c r="AC44" i="1"/>
  <c r="AB44" i="1"/>
  <c r="Y44" i="1"/>
  <c r="X44" i="1"/>
  <c r="W44" i="1"/>
  <c r="V44" i="1"/>
  <c r="AE44" i="1" s="1"/>
  <c r="AE43" i="1"/>
  <c r="AD43" i="1"/>
  <c r="AC43" i="1"/>
  <c r="AB43" i="1"/>
  <c r="Z43" i="1"/>
  <c r="AA43" i="1" s="1"/>
  <c r="Y43" i="1"/>
  <c r="X43" i="1"/>
  <c r="W43" i="1"/>
  <c r="V43" i="1"/>
  <c r="AD42" i="1"/>
  <c r="AC42" i="1"/>
  <c r="AB42" i="1"/>
  <c r="Z42" i="1"/>
  <c r="AA42" i="1" s="1"/>
  <c r="Y42" i="1"/>
  <c r="X42" i="1"/>
  <c r="W42" i="1"/>
  <c r="V42" i="1"/>
  <c r="AE42" i="1" s="1"/>
  <c r="AD41" i="1"/>
  <c r="AC41" i="1"/>
  <c r="AB41" i="1"/>
  <c r="Z41" i="1"/>
  <c r="AA41" i="1" s="1"/>
  <c r="Y41" i="1"/>
  <c r="X41" i="1"/>
  <c r="W41" i="1"/>
  <c r="V41" i="1"/>
  <c r="AE41" i="1" s="1"/>
  <c r="AE40" i="1"/>
  <c r="AD40" i="1"/>
  <c r="AC40" i="1"/>
  <c r="AB40" i="1"/>
  <c r="Z40" i="1"/>
  <c r="Y40" i="1"/>
  <c r="AA40" i="1" s="1"/>
  <c r="X40" i="1"/>
  <c r="W40" i="1"/>
  <c r="V40" i="1"/>
  <c r="AD39" i="1"/>
  <c r="AC39" i="1"/>
  <c r="AB39" i="1"/>
  <c r="Y39" i="1"/>
  <c r="Z39" i="1" s="1"/>
  <c r="X39" i="1"/>
  <c r="W39" i="1"/>
  <c r="V39" i="1"/>
  <c r="AE39" i="1" s="1"/>
  <c r="AD38" i="1"/>
  <c r="AC38" i="1"/>
  <c r="AB38" i="1"/>
  <c r="Z38" i="1"/>
  <c r="Y38" i="1"/>
  <c r="AA38" i="1" s="1"/>
  <c r="X38" i="1"/>
  <c r="W38" i="1"/>
  <c r="V38" i="1"/>
  <c r="AE38" i="1" s="1"/>
  <c r="AE37" i="1"/>
  <c r="AD37" i="1"/>
  <c r="AC37" i="1"/>
  <c r="AB37" i="1"/>
  <c r="Z37" i="1"/>
  <c r="AA37" i="1" s="1"/>
  <c r="Y37" i="1"/>
  <c r="X37" i="1"/>
  <c r="W37" i="1"/>
  <c r="V37" i="1"/>
  <c r="AD36" i="1"/>
  <c r="AC36" i="1"/>
  <c r="AB36" i="1"/>
  <c r="Y36" i="1"/>
  <c r="Z36" i="1" s="1"/>
  <c r="X36" i="1"/>
  <c r="W36" i="1"/>
  <c r="V36" i="1"/>
  <c r="AE36" i="1" s="1"/>
  <c r="AE35" i="1"/>
  <c r="AD35" i="1"/>
  <c r="AC35" i="1"/>
  <c r="AB35" i="1"/>
  <c r="Z35" i="1"/>
  <c r="AA35" i="1" s="1"/>
  <c r="Y35" i="1"/>
  <c r="X35" i="1"/>
  <c r="W35" i="1"/>
  <c r="V35" i="1"/>
  <c r="AD34" i="1"/>
  <c r="AC34" i="1"/>
  <c r="AB34" i="1"/>
  <c r="Z34" i="1"/>
  <c r="AA34" i="1" s="1"/>
  <c r="Y34" i="1"/>
  <c r="X34" i="1"/>
  <c r="W34" i="1"/>
  <c r="V34" i="1"/>
  <c r="AE34" i="1" s="1"/>
  <c r="AD33" i="1"/>
  <c r="AC33" i="1"/>
  <c r="AB33" i="1"/>
  <c r="Z33" i="1"/>
  <c r="AA33" i="1" s="1"/>
  <c r="Y33" i="1"/>
  <c r="X33" i="1"/>
  <c r="W33" i="1"/>
  <c r="V33" i="1"/>
  <c r="AE33" i="1" s="1"/>
  <c r="AE32" i="1"/>
  <c r="AD32" i="1"/>
  <c r="AC32" i="1"/>
  <c r="AB32" i="1"/>
  <c r="Z32" i="1"/>
  <c r="Y32" i="1"/>
  <c r="AA32" i="1" s="1"/>
  <c r="X32" i="1"/>
  <c r="W32" i="1"/>
  <c r="V32" i="1"/>
  <c r="AD31" i="1"/>
  <c r="AC31" i="1"/>
  <c r="AB31" i="1"/>
  <c r="Y31" i="1"/>
  <c r="Z31" i="1" s="1"/>
  <c r="X31" i="1"/>
  <c r="W31" i="1"/>
  <c r="V31" i="1"/>
  <c r="AE31" i="1" s="1"/>
  <c r="AD30" i="1"/>
  <c r="AC30" i="1"/>
  <c r="AB30" i="1"/>
  <c r="Z30" i="1"/>
  <c r="Y30" i="1"/>
  <c r="AA30" i="1" s="1"/>
  <c r="X30" i="1"/>
  <c r="W30" i="1"/>
  <c r="V30" i="1"/>
  <c r="AE30" i="1" s="1"/>
  <c r="AE29" i="1"/>
  <c r="AD29" i="1"/>
  <c r="AC29" i="1"/>
  <c r="AB29" i="1"/>
  <c r="Z29" i="1"/>
  <c r="AA29" i="1" s="1"/>
  <c r="Y29" i="1"/>
  <c r="X29" i="1"/>
  <c r="W29" i="1"/>
  <c r="V29" i="1"/>
  <c r="AD28" i="1"/>
  <c r="AC28" i="1"/>
  <c r="AB28" i="1"/>
  <c r="Y28" i="1"/>
  <c r="X28" i="1"/>
  <c r="W28" i="1"/>
  <c r="V28" i="1"/>
  <c r="AE28" i="1" s="1"/>
  <c r="AE27" i="1"/>
  <c r="AD27" i="1"/>
  <c r="AC27" i="1"/>
  <c r="AB27" i="1"/>
  <c r="Z27" i="1"/>
  <c r="AA27" i="1" s="1"/>
  <c r="Y27" i="1"/>
  <c r="X27" i="1"/>
  <c r="W27" i="1"/>
  <c r="V27" i="1"/>
  <c r="AD26" i="1"/>
  <c r="AC26" i="1"/>
  <c r="AB26" i="1"/>
  <c r="Z26" i="1"/>
  <c r="AA26" i="1" s="1"/>
  <c r="Y26" i="1"/>
  <c r="X26" i="1"/>
  <c r="W26" i="1"/>
  <c r="V26" i="1"/>
  <c r="AE26" i="1" s="1"/>
  <c r="AD25" i="1"/>
  <c r="AC25" i="1"/>
  <c r="AB25" i="1"/>
  <c r="Z25" i="1"/>
  <c r="AA25" i="1" s="1"/>
  <c r="Y25" i="1"/>
  <c r="X25" i="1"/>
  <c r="W25" i="1"/>
  <c r="V25" i="1"/>
  <c r="AE25" i="1" s="1"/>
  <c r="AE24" i="1"/>
  <c r="AD24" i="1"/>
  <c r="AC24" i="1"/>
  <c r="AB24" i="1"/>
  <c r="Z24" i="1"/>
  <c r="Y24" i="1"/>
  <c r="AA24" i="1" s="1"/>
  <c r="X24" i="1"/>
  <c r="W24" i="1"/>
  <c r="V24" i="1"/>
  <c r="AD23" i="1"/>
  <c r="AC23" i="1"/>
  <c r="AB23" i="1"/>
  <c r="Y23" i="1"/>
  <c r="Z23" i="1" s="1"/>
  <c r="X23" i="1"/>
  <c r="W23" i="1"/>
  <c r="V23" i="1"/>
  <c r="AE23" i="1" s="1"/>
  <c r="AD22" i="1"/>
  <c r="AC22" i="1"/>
  <c r="AB22" i="1"/>
  <c r="Z22" i="1"/>
  <c r="Y22" i="1"/>
  <c r="AA22" i="1" s="1"/>
  <c r="X22" i="1"/>
  <c r="W22" i="1"/>
  <c r="V22" i="1"/>
  <c r="AE22" i="1" s="1"/>
  <c r="AE21" i="1"/>
  <c r="AD21" i="1"/>
  <c r="AC21" i="1"/>
  <c r="AB21" i="1"/>
  <c r="Z21" i="1"/>
  <c r="AA21" i="1" s="1"/>
  <c r="Y21" i="1"/>
  <c r="X21" i="1"/>
  <c r="W21" i="1"/>
  <c r="V21" i="1"/>
  <c r="AD20" i="1"/>
  <c r="AC20" i="1"/>
  <c r="AB20" i="1"/>
  <c r="Y20" i="1"/>
  <c r="Z20" i="1" s="1"/>
  <c r="X20" i="1"/>
  <c r="W20" i="1"/>
  <c r="V20" i="1"/>
  <c r="AE20" i="1" s="1"/>
  <c r="AE19" i="1"/>
  <c r="AD19" i="1"/>
  <c r="AC19" i="1"/>
  <c r="AB19" i="1"/>
  <c r="Z19" i="1"/>
  <c r="AA19" i="1" s="1"/>
  <c r="Y19" i="1"/>
  <c r="X19" i="1"/>
  <c r="W19" i="1"/>
  <c r="V19" i="1"/>
  <c r="AD18" i="1"/>
  <c r="AC18" i="1"/>
  <c r="AB18" i="1"/>
  <c r="Z18" i="1"/>
  <c r="AA18" i="1" s="1"/>
  <c r="Y18" i="1"/>
  <c r="X18" i="1"/>
  <c r="W18" i="1"/>
  <c r="V18" i="1"/>
  <c r="AE18" i="1" s="1"/>
  <c r="AD17" i="1"/>
  <c r="AC17" i="1"/>
  <c r="AB17" i="1"/>
  <c r="Z17" i="1"/>
  <c r="AA17" i="1" s="1"/>
  <c r="Y17" i="1"/>
  <c r="X17" i="1"/>
  <c r="W17" i="1"/>
  <c r="V17" i="1"/>
  <c r="AE17" i="1" s="1"/>
  <c r="AE16" i="1"/>
  <c r="AD16" i="1"/>
  <c r="AC16" i="1"/>
  <c r="AB16" i="1"/>
  <c r="Z16" i="1"/>
  <c r="Y16" i="1"/>
  <c r="AA16" i="1" s="1"/>
  <c r="X16" i="1"/>
  <c r="W16" i="1"/>
  <c r="V16" i="1"/>
  <c r="AD15" i="1"/>
  <c r="AC15" i="1"/>
  <c r="AB15" i="1"/>
  <c r="Y15" i="1"/>
  <c r="X15" i="1"/>
  <c r="W15" i="1"/>
  <c r="V15" i="1"/>
  <c r="AE15" i="1" s="1"/>
  <c r="AD14" i="1"/>
  <c r="AC14" i="1"/>
  <c r="AB14" i="1"/>
  <c r="Z14" i="1"/>
  <c r="Y14" i="1"/>
  <c r="AA14" i="1" s="1"/>
  <c r="X14" i="1"/>
  <c r="W14" i="1"/>
  <c r="V14" i="1"/>
  <c r="AE14" i="1" s="1"/>
  <c r="AE13" i="1"/>
  <c r="AD13" i="1"/>
  <c r="AC13" i="1"/>
  <c r="AB13" i="1"/>
  <c r="Z13" i="1"/>
  <c r="AA13" i="1" s="1"/>
  <c r="Y13" i="1"/>
  <c r="X13" i="1"/>
  <c r="W13" i="1"/>
  <c r="V13" i="1"/>
  <c r="AD12" i="1"/>
  <c r="AC12" i="1"/>
  <c r="AB12" i="1"/>
  <c r="Y12" i="1"/>
  <c r="X12" i="1"/>
  <c r="W12" i="1"/>
  <c r="V12" i="1"/>
  <c r="AE12" i="1" s="1"/>
  <c r="AE11" i="1"/>
  <c r="AD11" i="1"/>
  <c r="AC11" i="1"/>
  <c r="AB11" i="1"/>
  <c r="Z11" i="1"/>
  <c r="AA11" i="1" s="1"/>
  <c r="Y11" i="1"/>
  <c r="X11" i="1"/>
  <c r="W11" i="1"/>
  <c r="V11" i="1"/>
  <c r="AD10" i="1"/>
  <c r="AC10" i="1"/>
  <c r="AB10" i="1"/>
  <c r="Z10" i="1"/>
  <c r="AA10" i="1" s="1"/>
  <c r="Y10" i="1"/>
  <c r="X10" i="1"/>
  <c r="W10" i="1"/>
  <c r="V10" i="1"/>
  <c r="AE10" i="1" s="1"/>
  <c r="AD9" i="1"/>
  <c r="AC9" i="1"/>
  <c r="AB9" i="1"/>
  <c r="Z9" i="1"/>
  <c r="AA9" i="1" s="1"/>
  <c r="Y9" i="1"/>
  <c r="X9" i="1"/>
  <c r="W9" i="1"/>
  <c r="V9" i="1"/>
  <c r="AE9" i="1" s="1"/>
  <c r="AE8" i="1"/>
  <c r="AD8" i="1"/>
  <c r="AC8" i="1"/>
  <c r="AB8" i="1"/>
  <c r="Z8" i="1"/>
  <c r="Y8" i="1"/>
  <c r="AA8" i="1" s="1"/>
  <c r="X8" i="1"/>
  <c r="W8" i="1"/>
  <c r="V8" i="1"/>
  <c r="AD7" i="1"/>
  <c r="AC7" i="1"/>
  <c r="AB7" i="1"/>
  <c r="Y7" i="1"/>
  <c r="X7" i="1"/>
  <c r="W7" i="1"/>
  <c r="V7" i="1"/>
  <c r="AE7" i="1" s="1"/>
  <c r="AD6" i="1"/>
  <c r="AC6" i="1"/>
  <c r="AB6" i="1"/>
  <c r="Z6" i="1"/>
  <c r="Y6" i="1"/>
  <c r="AA6" i="1" s="1"/>
  <c r="X6" i="1"/>
  <c r="W6" i="1"/>
  <c r="V6" i="1"/>
  <c r="AE6" i="1" s="1"/>
  <c r="AE5" i="1"/>
  <c r="AD5" i="1"/>
  <c r="AC5" i="1"/>
  <c r="AB5" i="1"/>
  <c r="Z5" i="1"/>
  <c r="AA5" i="1" s="1"/>
  <c r="Y5" i="1"/>
  <c r="X5" i="1"/>
  <c r="W5" i="1"/>
  <c r="V5" i="1"/>
  <c r="AD4" i="1"/>
  <c r="AC4" i="1"/>
  <c r="AB4" i="1"/>
  <c r="Y4" i="1"/>
  <c r="Z4" i="1" s="1"/>
  <c r="X4" i="1"/>
  <c r="W4" i="1"/>
  <c r="V4" i="1"/>
  <c r="AE4" i="1" s="1"/>
  <c r="AE3" i="1"/>
  <c r="AD3" i="1"/>
  <c r="AC3" i="1"/>
  <c r="AB3" i="1"/>
  <c r="Z3" i="1"/>
  <c r="AA3" i="1" s="1"/>
  <c r="Y3" i="1"/>
  <c r="X3" i="1"/>
  <c r="W3" i="1"/>
  <c r="V3" i="1"/>
  <c r="AD2" i="1"/>
  <c r="AC2" i="1"/>
  <c r="AB2" i="1"/>
  <c r="Z2" i="1"/>
  <c r="AA2" i="1" s="1"/>
  <c r="Y2" i="1"/>
  <c r="X2" i="1"/>
  <c r="W2" i="1"/>
  <c r="V2" i="1"/>
  <c r="AE2" i="1" s="1"/>
  <c r="AA228" i="1" l="1"/>
  <c r="AA78" i="1"/>
  <c r="AA283" i="1"/>
  <c r="AA182" i="1"/>
  <c r="AA237" i="1"/>
  <c r="AA196" i="1"/>
  <c r="AA84" i="1"/>
  <c r="AA259" i="1"/>
  <c r="AA55" i="1"/>
  <c r="AA301" i="1"/>
  <c r="AA12" i="1"/>
  <c r="AA292" i="1"/>
  <c r="AA429" i="1"/>
  <c r="AA28" i="1"/>
  <c r="AA117" i="1"/>
  <c r="AA214" i="1"/>
  <c r="AA254" i="1"/>
  <c r="Z55" i="1"/>
  <c r="AA233" i="1"/>
  <c r="AA161" i="1"/>
  <c r="AA364" i="1"/>
  <c r="AA126" i="1"/>
  <c r="AA169" i="1"/>
  <c r="AA193" i="1"/>
  <c r="AA236" i="1"/>
  <c r="AA305" i="1"/>
  <c r="AA398" i="1"/>
  <c r="Z398" i="1"/>
  <c r="AE502" i="1"/>
  <c r="Z576" i="1"/>
  <c r="AA576" i="1" s="1"/>
  <c r="AA342" i="1"/>
  <c r="AA150" i="1"/>
  <c r="AA157" i="1"/>
  <c r="AE120" i="1"/>
  <c r="AA128" i="1"/>
  <c r="AA226" i="1"/>
  <c r="AA238" i="1"/>
  <c r="Z243" i="1"/>
  <c r="AA243" i="1" s="1"/>
  <c r="AE259" i="1"/>
  <c r="AE264" i="1"/>
  <c r="AE297" i="1"/>
  <c r="Z307" i="1"/>
  <c r="AA307" i="1" s="1"/>
  <c r="AE353" i="1"/>
  <c r="AA371" i="1"/>
  <c r="Z371" i="1"/>
  <c r="AE406" i="1"/>
  <c r="Z453" i="1"/>
  <c r="AA453" i="1" s="1"/>
  <c r="AA466" i="1"/>
  <c r="Z485" i="1"/>
  <c r="AA485" i="1" s="1"/>
  <c r="AA498" i="1"/>
  <c r="Z574" i="1"/>
  <c r="AA574" i="1" s="1"/>
  <c r="Z7" i="1"/>
  <c r="AA7" i="1" s="1"/>
  <c r="Z79" i="1"/>
  <c r="AA79" i="1" s="1"/>
  <c r="AA31" i="1"/>
  <c r="AA87" i="1"/>
  <c r="AA105" i="1"/>
  <c r="Z228" i="1"/>
  <c r="Z264" i="1"/>
  <c r="AA264" i="1" s="1"/>
  <c r="AA323" i="1"/>
  <c r="AA328" i="1"/>
  <c r="Z474" i="1"/>
  <c r="AA474" i="1" s="1"/>
  <c r="Z12" i="1"/>
  <c r="Z28" i="1"/>
  <c r="Z44" i="1"/>
  <c r="AA44" i="1" s="1"/>
  <c r="Z84" i="1"/>
  <c r="AA142" i="1"/>
  <c r="AA192" i="1"/>
  <c r="AA4" i="1"/>
  <c r="AA20" i="1"/>
  <c r="AA36" i="1"/>
  <c r="AA52" i="1"/>
  <c r="AA60" i="1"/>
  <c r="AA68" i="1"/>
  <c r="AA76" i="1"/>
  <c r="AA92" i="1"/>
  <c r="AA97" i="1"/>
  <c r="Z117" i="1"/>
  <c r="AA122" i="1"/>
  <c r="AA132" i="1"/>
  <c r="AA137" i="1"/>
  <c r="AE146" i="1"/>
  <c r="AA149" i="1"/>
  <c r="AA168" i="1"/>
  <c r="AA180" i="1"/>
  <c r="Z192" i="1"/>
  <c r="Z211" i="1"/>
  <c r="AA211" i="1" s="1"/>
  <c r="AA216" i="1"/>
  <c r="AA242" i="1"/>
  <c r="AA261" i="1"/>
  <c r="Z266" i="1"/>
  <c r="AA266" i="1" s="1"/>
  <c r="Z278" i="1"/>
  <c r="AA278" i="1" s="1"/>
  <c r="AA285" i="1"/>
  <c r="Z292" i="1"/>
  <c r="AA306" i="1"/>
  <c r="Z318" i="1"/>
  <c r="AA318" i="1" s="1"/>
  <c r="AA344" i="1"/>
  <c r="AA357" i="1"/>
  <c r="AA384" i="1"/>
  <c r="Z384" i="1"/>
  <c r="Z429" i="1"/>
  <c r="AA461" i="1"/>
  <c r="AA478" i="1"/>
  <c r="AA493" i="1"/>
  <c r="AA510" i="1"/>
  <c r="Z577" i="1"/>
  <c r="AA577" i="1" s="1"/>
  <c r="Z283" i="1"/>
  <c r="Z63" i="1"/>
  <c r="AA63" i="1" s="1"/>
  <c r="Z197" i="1"/>
  <c r="AA197" i="1" s="1"/>
  <c r="AA257" i="1"/>
  <c r="AA457" i="1"/>
  <c r="AA23" i="1"/>
  <c r="AA39" i="1"/>
  <c r="AA71" i="1"/>
  <c r="AA173" i="1"/>
  <c r="Z185" i="1"/>
  <c r="AA185" i="1" s="1"/>
  <c r="AA190" i="1"/>
  <c r="AA269" i="1"/>
  <c r="AA94" i="1"/>
  <c r="AA170" i="1"/>
  <c r="Z194" i="1"/>
  <c r="AA194" i="1" s="1"/>
  <c r="Z218" i="1"/>
  <c r="AA218" i="1" s="1"/>
  <c r="Z237" i="1"/>
  <c r="Z242" i="1"/>
  <c r="Z254" i="1"/>
  <c r="Z261" i="1"/>
  <c r="Z306" i="1"/>
  <c r="AA339" i="1"/>
  <c r="Z348" i="1"/>
  <c r="AA348" i="1" s="1"/>
  <c r="Z397" i="1"/>
  <c r="AA397" i="1" s="1"/>
  <c r="Z446" i="1"/>
  <c r="AA446" i="1" s="1"/>
  <c r="Z478" i="1"/>
  <c r="Z510" i="1"/>
  <c r="AA529" i="1"/>
  <c r="Z575" i="1"/>
  <c r="AA575" i="1" s="1"/>
  <c r="AA47" i="1"/>
  <c r="AA100" i="1"/>
  <c r="AA330" i="1"/>
  <c r="Z330" i="1"/>
  <c r="Z366" i="1"/>
  <c r="AA366" i="1" s="1"/>
  <c r="Z506" i="1"/>
  <c r="AA506" i="1" s="1"/>
  <c r="AA382" i="1"/>
  <c r="Z206" i="1"/>
  <c r="AA206" i="1" s="1"/>
  <c r="AA220" i="1"/>
  <c r="AA225" i="1"/>
  <c r="Z249" i="1"/>
  <c r="AA249" i="1" s="1"/>
  <c r="Z301" i="1"/>
  <c r="Z313" i="1"/>
  <c r="AA313" i="1" s="1"/>
  <c r="AA361" i="1"/>
  <c r="AA414" i="1"/>
  <c r="AE441" i="1"/>
  <c r="AE458" i="1"/>
  <c r="AE473" i="1"/>
  <c r="AE490" i="1"/>
  <c r="AE505" i="1"/>
  <c r="AA583" i="1"/>
  <c r="Z583" i="1"/>
  <c r="AA434" i="1"/>
  <c r="Z214" i="1"/>
  <c r="Z288" i="1"/>
  <c r="AA288" i="1" s="1"/>
  <c r="Z110" i="1"/>
  <c r="AA110" i="1" s="1"/>
  <c r="Z252" i="1"/>
  <c r="AA252" i="1" s="1"/>
  <c r="Z259" i="1"/>
  <c r="Z404" i="1"/>
  <c r="AA404" i="1" s="1"/>
  <c r="AA425" i="1"/>
  <c r="AA102" i="1"/>
  <c r="AA209" i="1"/>
  <c r="AA325" i="1"/>
  <c r="AA393" i="1"/>
  <c r="Z410" i="1"/>
  <c r="AA410" i="1" s="1"/>
  <c r="Z70" i="1"/>
  <c r="AA70" i="1" s="1"/>
  <c r="Z78" i="1"/>
  <c r="Z86" i="1"/>
  <c r="AA86" i="1" s="1"/>
  <c r="Z104" i="1"/>
  <c r="AA104" i="1" s="1"/>
  <c r="AA114" i="1"/>
  <c r="Z129" i="1"/>
  <c r="AA129" i="1" s="1"/>
  <c r="AA146" i="1"/>
  <c r="Z165" i="1"/>
  <c r="AA165" i="1" s="1"/>
  <c r="Z177" i="1"/>
  <c r="AA177" i="1" s="1"/>
  <c r="Z182" i="1"/>
  <c r="Z196" i="1"/>
  <c r="Z213" i="1"/>
  <c r="AA213" i="1" s="1"/>
  <c r="Z220" i="1"/>
  <c r="AA256" i="1"/>
  <c r="AA282" i="1"/>
  <c r="Z320" i="1"/>
  <c r="AA320" i="1" s="1"/>
  <c r="Z361" i="1"/>
  <c r="AA416" i="1"/>
  <c r="AA250" i="1"/>
  <c r="AA274" i="1"/>
  <c r="Z421" i="1"/>
  <c r="AA421" i="1" s="1"/>
  <c r="AA178" i="1"/>
  <c r="Z434" i="1"/>
  <c r="AA436" i="1"/>
  <c r="Z436" i="1"/>
  <c r="AA297" i="1"/>
  <c r="Z346" i="1"/>
  <c r="AA346" i="1" s="1"/>
  <c r="AE126" i="1"/>
  <c r="AE210" i="1"/>
  <c r="Z256" i="1"/>
  <c r="Z282" i="1"/>
  <c r="AA289" i="1"/>
  <c r="Z289" i="1"/>
  <c r="AE305" i="1"/>
  <c r="AE345" i="1"/>
  <c r="AA354" i="1"/>
  <c r="AE394" i="1"/>
  <c r="AE411" i="1"/>
  <c r="Z437" i="1"/>
  <c r="AA437" i="1"/>
  <c r="Z469" i="1"/>
  <c r="AA469" i="1" s="1"/>
  <c r="Z501" i="1"/>
  <c r="AA501" i="1"/>
  <c r="AA900" i="1"/>
  <c r="Z147" i="1"/>
  <c r="AA147" i="1" s="1"/>
  <c r="Z250" i="1"/>
  <c r="AA517" i="1"/>
  <c r="Z290" i="1"/>
  <c r="AA290" i="1" s="1"/>
  <c r="Z468" i="1"/>
  <c r="AA468" i="1" s="1"/>
  <c r="Z517" i="1"/>
  <c r="Z534" i="1"/>
  <c r="AA534" i="1" s="1"/>
  <c r="AA156" i="1"/>
  <c r="AA179" i="1"/>
  <c r="Z258" i="1"/>
  <c r="AA258" i="1" s="1"/>
  <c r="AA284" i="1"/>
  <c r="AA329" i="1"/>
  <c r="Z405" i="1"/>
  <c r="AA405" i="1"/>
  <c r="AA458" i="1"/>
  <c r="Z458" i="1"/>
  <c r="Z490" i="1"/>
  <c r="AA490" i="1" s="1"/>
  <c r="AA202" i="1"/>
  <c r="Z202" i="1"/>
  <c r="Z221" i="1"/>
  <c r="AA221" i="1" s="1"/>
  <c r="Z380" i="1"/>
  <c r="AA380" i="1"/>
  <c r="AA389" i="1"/>
  <c r="Z389" i="1"/>
  <c r="AA402" i="1"/>
  <c r="Z15" i="1"/>
  <c r="AA15" i="1" s="1"/>
  <c r="AA162" i="1"/>
  <c r="AA174" i="1"/>
  <c r="Z179" i="1"/>
  <c r="AE195" i="1"/>
  <c r="AE200" i="1"/>
  <c r="AE231" i="1"/>
  <c r="Z234" i="1"/>
  <c r="AA234" i="1" s="1"/>
  <c r="AE248" i="1"/>
  <c r="Z284" i="1"/>
  <c r="AA298" i="1"/>
  <c r="AE312" i="1"/>
  <c r="Z329" i="1"/>
  <c r="AA352" i="1"/>
  <c r="AA365" i="1"/>
  <c r="Z426" i="1"/>
  <c r="AA426" i="1" s="1"/>
  <c r="AA316" i="1"/>
  <c r="AA210" i="1"/>
  <c r="AA522" i="1"/>
  <c r="Z281" i="1"/>
  <c r="AA281" i="1" s="1"/>
  <c r="AA302" i="1"/>
  <c r="AA154" i="1"/>
  <c r="Z115" i="1"/>
  <c r="AA115" i="1" s="1"/>
  <c r="Z130" i="1"/>
  <c r="AA130" i="1" s="1"/>
  <c r="AA489" i="1"/>
  <c r="Z500" i="1"/>
  <c r="AA500" i="1" s="1"/>
  <c r="AA442" i="1"/>
  <c r="Z442" i="1"/>
  <c r="Z394" i="1"/>
  <c r="AA394" i="1" s="1"/>
  <c r="Z462" i="1"/>
  <c r="AA462" i="1" s="1"/>
  <c r="AA494" i="1"/>
  <c r="Z494" i="1"/>
  <c r="AA133" i="1"/>
  <c r="Z138" i="1"/>
  <c r="AA138" i="1" s="1"/>
  <c r="AE159" i="1"/>
  <c r="Z186" i="1"/>
  <c r="AA186" i="1" s="1"/>
  <c r="Z210" i="1"/>
  <c r="AA217" i="1"/>
  <c r="AE274" i="1"/>
  <c r="AE295" i="1"/>
  <c r="AA338" i="1"/>
  <c r="Z430" i="1"/>
  <c r="AA430" i="1" s="1"/>
  <c r="AA520" i="1"/>
  <c r="Z522" i="1"/>
  <c r="AA586" i="1"/>
  <c r="Z586" i="1"/>
  <c r="AA390" i="1"/>
  <c r="AA422" i="1"/>
  <c r="AA454" i="1"/>
  <c r="AA486" i="1"/>
  <c r="Z590" i="1"/>
  <c r="AA590" i="1" s="1"/>
  <c r="Z614" i="1"/>
  <c r="AA614" i="1" s="1"/>
  <c r="AE549" i="1"/>
  <c r="Z552" i="1"/>
  <c r="AA552" i="1" s="1"/>
  <c r="AA556" i="1"/>
  <c r="AA560" i="1"/>
  <c r="Z567" i="1"/>
  <c r="AA567" i="1" s="1"/>
  <c r="Z606" i="1"/>
  <c r="AA606" i="1" s="1"/>
  <c r="Z353" i="1"/>
  <c r="AA353" i="1" s="1"/>
  <c r="AA406" i="1"/>
  <c r="Z416" i="1"/>
  <c r="AA438" i="1"/>
  <c r="Z448" i="1"/>
  <c r="AA448" i="1" s="1"/>
  <c r="AA470" i="1"/>
  <c r="Z480" i="1"/>
  <c r="AA480" i="1" s="1"/>
  <c r="AA502" i="1"/>
  <c r="AA512" i="1"/>
  <c r="Z524" i="1"/>
  <c r="AA524" i="1" s="1"/>
  <c r="AA553" i="1"/>
  <c r="AA386" i="1"/>
  <c r="AA514" i="1"/>
  <c r="AA533" i="1"/>
  <c r="AA605" i="1"/>
  <c r="Z322" i="1"/>
  <c r="AA322" i="1" s="1"/>
  <c r="Z345" i="1"/>
  <c r="AA345" i="1" s="1"/>
  <c r="AA418" i="1"/>
  <c r="AA450" i="1"/>
  <c r="AA544" i="1"/>
  <c r="Z544" i="1"/>
  <c r="Z570" i="1"/>
  <c r="AA570" i="1"/>
  <c r="AE288" i="1"/>
  <c r="AA314" i="1"/>
  <c r="AE352" i="1"/>
  <c r="AA378" i="1"/>
  <c r="Z418" i="1"/>
  <c r="Z450" i="1"/>
  <c r="Z482" i="1"/>
  <c r="AA482" i="1" s="1"/>
  <c r="Z526" i="1"/>
  <c r="AA526" i="1" s="1"/>
  <c r="AA535" i="1"/>
  <c r="AA548" i="1"/>
  <c r="AA370" i="1"/>
  <c r="AA539" i="1"/>
  <c r="AE552" i="1"/>
  <c r="AE336" i="1"/>
  <c r="AA362" i="1"/>
  <c r="AA518" i="1"/>
  <c r="AA530" i="1"/>
  <c r="AE534" i="1"/>
  <c r="AA582" i="1"/>
  <c r="Z582" i="1"/>
  <c r="AA830" i="1"/>
  <c r="AA910" i="1"/>
  <c r="AE603" i="1"/>
  <c r="AA820" i="1"/>
  <c r="AA838" i="1"/>
  <c r="AE590" i="1"/>
  <c r="AE611" i="1"/>
  <c r="AA619" i="1"/>
  <c r="AA621" i="1"/>
  <c r="AA627" i="1"/>
  <c r="AA629" i="1"/>
  <c r="AA635" i="1"/>
  <c r="AA637" i="1"/>
  <c r="AA643" i="1"/>
  <c r="AA645" i="1"/>
  <c r="AA651" i="1"/>
  <c r="AA653" i="1"/>
  <c r="AA659" i="1"/>
  <c r="AA661" i="1"/>
  <c r="AA667" i="1"/>
  <c r="AA669" i="1"/>
  <c r="AA675" i="1"/>
  <c r="AA677" i="1"/>
  <c r="AA683" i="1"/>
  <c r="AA685" i="1"/>
  <c r="AA691" i="1"/>
  <c r="AA693" i="1"/>
  <c r="AA699" i="1"/>
  <c r="AA701" i="1"/>
  <c r="AA707" i="1"/>
  <c r="AA709" i="1"/>
  <c r="AA715" i="1"/>
  <c r="AA717" i="1"/>
  <c r="AA723" i="1"/>
  <c r="AA725" i="1"/>
  <c r="AA731" i="1"/>
  <c r="AA733" i="1"/>
  <c r="AA739" i="1"/>
  <c r="AA741" i="1"/>
  <c r="AA747" i="1"/>
  <c r="AA749" i="1"/>
  <c r="AA755" i="1"/>
  <c r="AA757" i="1"/>
  <c r="AA763" i="1"/>
  <c r="AA765" i="1"/>
  <c r="AA771" i="1"/>
  <c r="AA779" i="1"/>
  <c r="AA536" i="1"/>
  <c r="AE573" i="1"/>
  <c r="Z592" i="1"/>
  <c r="AA592" i="1" s="1"/>
  <c r="AA594" i="1"/>
  <c r="AA821" i="1"/>
  <c r="AA907" i="1"/>
  <c r="Z546" i="1"/>
  <c r="AA546" i="1" s="1"/>
  <c r="AA566" i="1"/>
  <c r="AE589" i="1"/>
  <c r="AA596" i="1"/>
  <c r="AA598" i="1"/>
  <c r="AA568" i="1"/>
  <c r="AE582" i="1"/>
  <c r="AA853" i="1"/>
  <c r="AA877" i="1"/>
  <c r="AA893" i="1"/>
  <c r="AA899" i="1"/>
  <c r="AA851" i="1"/>
  <c r="AA859" i="1"/>
  <c r="AA891" i="1"/>
  <c r="AA558" i="1"/>
  <c r="AE572" i="1"/>
  <c r="AA584" i="1"/>
  <c r="AA618" i="1"/>
  <c r="AA620" i="1"/>
  <c r="AA622" i="1"/>
  <c r="AA626" i="1"/>
  <c r="AA628" i="1"/>
  <c r="AA630" i="1"/>
  <c r="AA634" i="1"/>
  <c r="AA636" i="1"/>
  <c r="AA638" i="1"/>
  <c r="AA644" i="1"/>
  <c r="AA646" i="1"/>
  <c r="AA652" i="1"/>
  <c r="AA654" i="1"/>
  <c r="AA660" i="1"/>
  <c r="AA662" i="1"/>
  <c r="AA668" i="1"/>
  <c r="AA670" i="1"/>
  <c r="AA676" i="1"/>
  <c r="AA678" i="1"/>
  <c r="AA684" i="1"/>
  <c r="AA686" i="1"/>
  <c r="AA692" i="1"/>
  <c r="AA694" i="1"/>
  <c r="AA700" i="1"/>
  <c r="AA702" i="1"/>
  <c r="AA708" i="1"/>
  <c r="AA710" i="1"/>
  <c r="AA716" i="1"/>
  <c r="AA718" i="1"/>
  <c r="AA724" i="1"/>
  <c r="AA726" i="1"/>
  <c r="AA732" i="1"/>
  <c r="AA734" i="1"/>
  <c r="AA740" i="1"/>
  <c r="AA742" i="1"/>
  <c r="AA748" i="1"/>
  <c r="AA750" i="1"/>
  <c r="AA756" i="1"/>
  <c r="AA758" i="1"/>
  <c r="AA764" i="1"/>
  <c r="AA766" i="1"/>
  <c r="AA772" i="1"/>
  <c r="AA774" i="1"/>
  <c r="AA780" i="1"/>
  <c r="AA782" i="1"/>
  <c r="AA788" i="1"/>
  <c r="AA790" i="1"/>
  <c r="AA796" i="1"/>
  <c r="AA798" i="1"/>
  <c r="AA804" i="1"/>
  <c r="AA806" i="1"/>
  <c r="Z892" i="1"/>
  <c r="AA892" i="1" s="1"/>
  <c r="Z900" i="1"/>
  <c r="Z908" i="1"/>
  <c r="AA908" i="1" s="1"/>
  <c r="Z916" i="1"/>
  <c r="Z924" i="1"/>
  <c r="Z932" i="1"/>
  <c r="Z910" i="1"/>
  <c r="Z851" i="1"/>
  <c r="Z859" i="1"/>
  <c r="Z867" i="1"/>
  <c r="AA867" i="1" s="1"/>
  <c r="Z875" i="1"/>
  <c r="AA875" i="1" s="1"/>
  <c r="Z883" i="1"/>
  <c r="AA883" i="1" s="1"/>
  <c r="Z891" i="1"/>
  <c r="Z899" i="1"/>
  <c r="Z907" i="1"/>
  <c r="Z915" i="1"/>
  <c r="Z923" i="1"/>
  <c r="Z821" i="1"/>
  <c r="Z829" i="1"/>
  <c r="AA829" i="1" s="1"/>
  <c r="Z837" i="1"/>
  <c r="AA837" i="1" s="1"/>
  <c r="Z845" i="1"/>
  <c r="AA845" i="1" s="1"/>
  <c r="Z853" i="1"/>
  <c r="Z861" i="1"/>
  <c r="AA861" i="1" s="1"/>
  <c r="Z869" i="1"/>
  <c r="AA869" i="1" s="1"/>
  <c r="Z877" i="1"/>
  <c r="Z885" i="1"/>
  <c r="AA885" i="1" s="1"/>
  <c r="Z893" i="1"/>
  <c r="Z901" i="1"/>
  <c r="AA901" i="1" s="1"/>
  <c r="Z909" i="1"/>
  <c r="AA909" i="1" s="1"/>
  <c r="Z917" i="1"/>
  <c r="Z925" i="1"/>
  <c r="Z933" i="1"/>
  <c r="Z927" i="1"/>
</calcChain>
</file>

<file path=xl/sharedStrings.xml><?xml version="1.0" encoding="utf-8"?>
<sst xmlns="http://schemas.openxmlformats.org/spreadsheetml/2006/main" count="15879" uniqueCount="2834">
  <si>
    <t>order_id</t>
  </si>
  <si>
    <t>order_date</t>
  </si>
  <si>
    <t>ship_date</t>
  </si>
  <si>
    <t>customer_id</t>
  </si>
  <si>
    <t>customer_name</t>
  </si>
  <si>
    <t>segment</t>
  </si>
  <si>
    <t xml:space="preserve">Region 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</si>
  <si>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</si>
  <si>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</si>
  <si>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</si>
  <si>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</si>
  <si>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</si>
  <si>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</si>
  <si>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</si>
  <si>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</si>
  <si>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</si>
  <si>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</si>
  <si>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</si>
  <si>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</si>
  <si>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</si>
  <si>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</si>
  <si>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Discount Valid/Invalid</t>
  </si>
  <si>
    <t>Shipping Record Status</t>
  </si>
  <si>
    <t>cleaned_discount</t>
  </si>
  <si>
    <t>Calculated sales</t>
  </si>
  <si>
    <t xml:space="preserve">calculate Profit </t>
  </si>
  <si>
    <t>Profit margin</t>
  </si>
  <si>
    <t>shipping_delay_days</t>
  </si>
  <si>
    <t>Order month</t>
  </si>
  <si>
    <t>Order 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</si>
  <si>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</si>
  <si>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</si>
  <si>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</si>
  <si>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</si>
  <si>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</si>
  <si>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</si>
  <si>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</si>
  <si>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</si>
  <si>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</si>
  <si>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</si>
  <si>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</si>
  <si>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</si>
  <si>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</si>
  <si>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</si>
  <si>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</si>
  <si>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</si>
  <si>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</si>
  <si>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</si>
  <si>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</si>
  <si>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</si>
  <si>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</si>
  <si>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</si>
  <si>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</si>
  <si>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</si>
  <si>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</si>
  <si>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</si>
  <si>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</si>
  <si>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</si>
  <si>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</si>
  <si>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</si>
  <si>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</si>
  <si>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</si>
  <si>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</si>
  <si>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</si>
  <si>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</si>
  <si>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</si>
  <si>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</si>
  <si>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</si>
  <si>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</si>
  <si>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</si>
  <si>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</si>
  <si>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</si>
  <si>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</si>
  <si>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</si>
  <si>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</si>
  <si>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</si>
  <si>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</si>
  <si>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</si>
  <si>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</si>
  <si>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</si>
  <si>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</si>
  <si>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</si>
  <si>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</si>
  <si>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</si>
  <si>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</si>
  <si>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</si>
  <si>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</si>
  <si>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</si>
  <si>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</si>
  <si>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</si>
  <si>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</si>
  <si>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</si>
  <si>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</si>
  <si>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</si>
  <si>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</si>
  <si>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</si>
  <si>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</si>
  <si>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</si>
  <si>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</si>
  <si>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</si>
  <si>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</si>
  <si>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</si>
  <si>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</si>
  <si>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</si>
  <si>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</si>
  <si>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</si>
  <si>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</si>
  <si>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</si>
  <si>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</si>
  <si>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</si>
  <si>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</si>
  <si>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</si>
  <si>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</si>
  <si>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</si>
  <si>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</si>
  <si>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</si>
  <si>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</si>
  <si>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</si>
  <si>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</si>
  <si>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</si>
  <si>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</si>
  <si>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</si>
  <si>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</si>
  <si>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</si>
  <si>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</si>
  <si>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</si>
  <si>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</si>
  <si>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</si>
  <si>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</si>
  <si>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</si>
  <si>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</si>
  <si>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</si>
  <si>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</si>
  <si>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</si>
  <si>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</si>
  <si>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</si>
  <si>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</si>
  <si>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</si>
  <si>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</si>
  <si>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</si>
  <si>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</si>
  <si>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</si>
  <si>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</si>
  <si>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</si>
  <si>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</si>
  <si>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</si>
  <si>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</si>
  <si>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</si>
  <si>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</si>
  <si>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</si>
  <si>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</si>
  <si>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</si>
  <si>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</si>
  <si>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</si>
  <si>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</si>
  <si>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</si>
  <si>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</si>
  <si>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</si>
  <si>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</si>
  <si>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</si>
  <si>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</si>
  <si>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</si>
  <si>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</si>
  <si>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</si>
  <si>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</si>
  <si>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</si>
  <si>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</si>
  <si>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</si>
  <si>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</si>
  <si>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</si>
  <si>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</si>
  <si>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</si>
  <si>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</si>
  <si>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</si>
  <si>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</si>
  <si>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</si>
  <si>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</si>
  <si>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</si>
  <si>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</si>
  <si>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</si>
  <si>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</si>
  <si>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</si>
  <si>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</si>
  <si>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</si>
  <si>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</si>
  <si>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</si>
  <si>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</si>
  <si>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</si>
  <si>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</si>
  <si>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</si>
  <si>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</si>
  <si>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</si>
  <si>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</si>
  <si>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</si>
  <si>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</si>
  <si>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</si>
  <si>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</si>
  <si>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</si>
  <si>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</si>
  <si>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</si>
  <si>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</si>
  <si>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</si>
  <si>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</si>
  <si>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</si>
  <si>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</si>
  <si>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</si>
  <si>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</si>
  <si>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</si>
  <si>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</si>
  <si>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</si>
  <si>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</si>
  <si>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</si>
  <si>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</si>
  <si>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</si>
  <si>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</si>
  <si>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umknown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</si>
  <si>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</si>
  <si>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</si>
  <si>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</si>
  <si>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</si>
  <si>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</si>
  <si>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</si>
  <si>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</si>
  <si>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</si>
  <si>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</si>
  <si>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</si>
  <si>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</si>
  <si>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</si>
  <si>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</si>
  <si>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</si>
  <si>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</si>
  <si>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</si>
  <si>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</si>
  <si>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</si>
  <si>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</si>
  <si>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</si>
  <si>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</si>
  <si>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</si>
  <si>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</si>
  <si>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</si>
  <si>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</si>
  <si>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</si>
  <si>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</si>
  <si>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</si>
  <si>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</si>
  <si>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</si>
  <si>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</si>
  <si>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</si>
  <si>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</si>
  <si>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</si>
  <si>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</si>
  <si>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</si>
  <si>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</si>
  <si>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</si>
  <si>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</si>
  <si>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</si>
  <si>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</si>
  <si>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</si>
  <si>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</si>
  <si>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</si>
  <si>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</si>
  <si>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</si>
  <si>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</si>
  <si>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</si>
  <si>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</si>
  <si>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</si>
  <si>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</si>
  <si>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</si>
  <si>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</si>
  <si>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</si>
  <si>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</si>
  <si>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</si>
  <si>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</si>
  <si>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</si>
  <si>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</si>
  <si>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</si>
  <si>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</si>
  <si>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</si>
  <si>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</si>
  <si>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</si>
  <si>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</si>
  <si>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</si>
  <si>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</si>
  <si>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</si>
  <si>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</si>
  <si>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</si>
  <si>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</si>
  <si>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</si>
  <si>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</si>
  <si>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</si>
  <si>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</si>
  <si>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</si>
  <si>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</si>
  <si>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</si>
  <si>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</si>
  <si>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</si>
  <si>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</si>
  <si>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</si>
  <si>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</si>
  <si>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</si>
  <si>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</si>
  <si>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</si>
  <si>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</si>
  <si>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</si>
  <si>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</si>
  <si>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</si>
  <si>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</si>
  <si>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</si>
  <si>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</si>
  <si>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</si>
  <si>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</si>
  <si>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</si>
  <si>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</si>
  <si>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</si>
  <si>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</si>
  <si>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</si>
  <si>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</si>
  <si>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</si>
  <si>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</si>
  <si>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</si>
  <si>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</si>
  <si>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</si>
  <si>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</si>
  <si>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</si>
  <si>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</si>
  <si>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</si>
  <si>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</si>
  <si>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</si>
  <si>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</si>
  <si>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</si>
  <si>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</si>
  <si>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</si>
  <si>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</si>
  <si>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</si>
  <si>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</si>
  <si>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</si>
  <si>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</si>
  <si>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</si>
  <si>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</si>
  <si>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</si>
  <si>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</si>
  <si>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</si>
  <si>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</si>
  <si>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</si>
  <si>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</si>
  <si>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</si>
  <si>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</si>
  <si>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</si>
  <si>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</si>
  <si>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</si>
  <si>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</si>
  <si>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</si>
  <si>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</si>
  <si>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</si>
  <si>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</si>
  <si>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</si>
  <si>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</si>
  <si>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</si>
  <si>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</si>
  <si>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</si>
  <si>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</si>
  <si>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</si>
  <si>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</si>
  <si>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</si>
  <si>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</si>
  <si>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</si>
  <si>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</si>
  <si>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</si>
  <si>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</si>
  <si>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</si>
  <si>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</si>
  <si>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</si>
  <si>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</si>
  <si>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</si>
  <si>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</si>
  <si>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</si>
  <si>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</si>
  <si>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</si>
  <si>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</si>
  <si>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</si>
  <si>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</si>
  <si>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</si>
  <si>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</si>
  <si>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</si>
  <si>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</si>
  <si>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</si>
  <si>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</si>
  <si>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</si>
  <si>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</si>
  <si>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</si>
  <si>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</si>
  <si>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</si>
  <si>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</si>
  <si>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</si>
  <si>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</si>
  <si>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</si>
  <si>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</si>
  <si>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</si>
  <si>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</si>
  <si>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</si>
  <si>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</si>
  <si>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</si>
  <si>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</si>
  <si>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</si>
  <si>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</si>
  <si>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</si>
  <si>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</si>
  <si>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</si>
  <si>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</si>
  <si>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</si>
  <si>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</si>
  <si>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</si>
  <si>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</si>
  <si>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</si>
  <si>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</si>
  <si>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</si>
  <si>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</si>
  <si>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</si>
  <si>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</si>
  <si>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</si>
  <si>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</si>
  <si>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</si>
  <si>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</si>
  <si>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</si>
  <si>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</si>
  <si>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</si>
  <si>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</si>
  <si>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</si>
  <si>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</si>
  <si>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</si>
  <si>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</si>
  <si>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</si>
  <si>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</si>
  <si>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</si>
  <si>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</si>
  <si>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</si>
  <si>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</si>
  <si>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</si>
  <si>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</si>
  <si>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</si>
  <si>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</si>
  <si>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</si>
  <si>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</si>
  <si>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</si>
  <si>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</si>
  <si>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</si>
  <si>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</si>
  <si>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</si>
  <si>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</si>
  <si>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</si>
  <si>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</si>
  <si>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</si>
  <si>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</si>
  <si>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</si>
  <si>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</si>
  <si>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</si>
  <si>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</si>
  <si>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</si>
  <si>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</si>
  <si>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</si>
  <si>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</si>
  <si>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</si>
  <si>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</si>
  <si>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</si>
  <si>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</si>
  <si>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</si>
  <si>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</si>
  <si>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</si>
  <si>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</si>
  <si>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</si>
  <si>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</si>
  <si>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</si>
  <si>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</si>
  <si>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</si>
  <si>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</si>
  <si>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</si>
  <si>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</si>
  <si>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</si>
  <si>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</si>
  <si>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</si>
  <si>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</si>
  <si>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</si>
  <si>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</si>
  <si>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</si>
  <si>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</si>
  <si>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</si>
  <si>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</si>
  <si>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</si>
  <si>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</si>
  <si>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</si>
  <si>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</si>
  <si>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</si>
  <si>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</si>
  <si>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</si>
  <si>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</si>
  <si>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</si>
  <si>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</si>
  <si>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</si>
  <si>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</si>
  <si>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</si>
  <si>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</si>
  <si>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</si>
  <si>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</si>
  <si>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</si>
  <si>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</si>
  <si>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</si>
  <si>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</si>
  <si>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</si>
  <si>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</si>
  <si>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</si>
  <si>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</si>
  <si>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</si>
  <si>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</si>
  <si>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</si>
  <si>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</si>
  <si>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</si>
  <si>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</si>
  <si>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</si>
  <si>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</si>
  <si>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</si>
  <si>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</si>
  <si>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</si>
  <si>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</si>
  <si>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</si>
  <si>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</si>
  <si>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</si>
  <si>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</si>
  <si>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</si>
  <si>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</si>
  <si>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</si>
  <si>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</si>
  <si>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</si>
  <si>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</si>
  <si>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</si>
  <si>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</si>
  <si>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</si>
  <si>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</si>
  <si>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</si>
  <si>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</si>
  <si>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</si>
  <si>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</si>
  <si>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</si>
  <si>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</si>
  <si>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</si>
  <si>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</si>
  <si>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</si>
  <si>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</si>
  <si>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</si>
  <si>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</si>
  <si>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</si>
  <si>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</si>
  <si>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</si>
  <si>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</si>
  <si>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</si>
  <si>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</si>
  <si>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</si>
  <si>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</si>
  <si>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</si>
  <si>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</si>
  <si>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</si>
  <si>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</si>
  <si>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</si>
  <si>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</si>
  <si>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</si>
  <si>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</si>
  <si>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</si>
  <si>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</si>
  <si>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</si>
  <si>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</si>
  <si>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</si>
  <si>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</si>
  <si>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</si>
  <si>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</si>
  <si>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</si>
  <si>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</si>
  <si>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</si>
  <si>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</si>
  <si>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</si>
  <si>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</si>
  <si>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</si>
  <si>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</si>
  <si>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</si>
  <si>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</si>
  <si>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</si>
  <si>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</si>
  <si>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</si>
  <si>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</si>
  <si>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</si>
  <si>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</si>
  <si>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</si>
  <si>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</si>
  <si>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</si>
  <si>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</si>
  <si>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</si>
  <si>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</si>
  <si>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</si>
  <si>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</si>
  <si>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</si>
  <si>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</si>
  <si>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</si>
  <si>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</si>
  <si>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</si>
  <si>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</si>
  <si>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</si>
  <si>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</si>
  <si>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</si>
  <si>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</si>
  <si>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</si>
  <si>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</si>
  <si>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</si>
  <si>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</si>
  <si>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</si>
  <si>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</si>
  <si>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</si>
  <si>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</si>
  <si>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</si>
  <si>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</si>
  <si>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</si>
  <si>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</si>
  <si>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</si>
  <si>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</si>
  <si>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</si>
  <si>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</si>
  <si>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</si>
  <si>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</si>
  <si>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</si>
  <si>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</si>
  <si>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</si>
  <si>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</si>
  <si>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</si>
  <si>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</si>
  <si>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</si>
  <si>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</si>
  <si>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</si>
  <si>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</si>
  <si>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</si>
  <si>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</si>
  <si>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</si>
  <si>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</si>
  <si>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</si>
  <si>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</si>
  <si>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</si>
  <si>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</si>
  <si>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</si>
  <si>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</si>
  <si>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</si>
  <si>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</si>
  <si>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</si>
  <si>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</si>
  <si>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</si>
  <si>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</si>
  <si>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</si>
  <si>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</si>
  <si>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</si>
  <si>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</si>
  <si>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</si>
  <si>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</si>
  <si>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</si>
  <si>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</si>
  <si>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</si>
  <si>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</si>
  <si>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</si>
  <si>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</si>
  <si>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</si>
  <si>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</si>
  <si>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</si>
  <si>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</si>
  <si>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</si>
  <si>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</si>
  <si>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</si>
  <si>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</si>
  <si>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</si>
  <si>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</si>
  <si>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</si>
  <si>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</si>
  <si>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</si>
  <si>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</si>
  <si>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</si>
  <si>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</si>
  <si>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</si>
  <si>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</si>
  <si>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</si>
  <si>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</si>
  <si>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</si>
  <si>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</si>
  <si>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</si>
  <si>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</si>
  <si>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</si>
  <si>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</si>
  <si>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</si>
  <si>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</si>
  <si>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</si>
  <si>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</si>
  <si>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</si>
  <si>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</si>
  <si>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</si>
  <si>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</si>
  <si>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</si>
  <si>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</si>
  <si>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</si>
  <si>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</si>
  <si>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</si>
  <si>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</si>
  <si>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</si>
  <si>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</si>
  <si>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</si>
  <si>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</si>
  <si>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</si>
  <si>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</si>
  <si>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</si>
  <si>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</si>
  <si>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</si>
  <si>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</si>
  <si>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</si>
  <si>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</si>
  <si>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</si>
  <si>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</si>
  <si>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</si>
  <si>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</si>
  <si>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</si>
  <si>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</si>
  <si>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</si>
  <si>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</si>
  <si>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</si>
  <si>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</si>
  <si>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</si>
  <si>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</si>
  <si>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</si>
  <si>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</si>
  <si>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</si>
  <si>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</si>
  <si>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</si>
  <si>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</si>
  <si>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</si>
  <si>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</si>
  <si>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</si>
  <si>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</si>
  <si>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</si>
  <si>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</si>
  <si>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</si>
  <si>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</si>
  <si>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</si>
  <si>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</si>
  <si>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</si>
  <si>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</si>
  <si>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</si>
  <si>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</si>
  <si>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</si>
  <si>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</si>
  <si>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</si>
  <si>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</si>
  <si>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</si>
  <si>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</si>
  <si>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</si>
  <si>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</si>
  <si>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</si>
  <si>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</si>
  <si>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</si>
  <si>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</si>
  <si>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</si>
  <si>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</si>
  <si>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</si>
  <si>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</si>
  <si>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</si>
  <si>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</si>
  <si>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</si>
  <si>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</si>
  <si>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</si>
  <si>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</si>
  <si>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</si>
  <si>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</si>
  <si>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</si>
  <si>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</si>
  <si>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</si>
  <si>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</si>
  <si>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</si>
  <si>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</si>
  <si>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</si>
  <si>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</si>
  <si>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</si>
  <si>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</si>
  <si>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</si>
  <si>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</si>
  <si>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</si>
  <si>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</si>
  <si>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</si>
  <si>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</si>
  <si>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</si>
  <si>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</si>
  <si>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</si>
  <si>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</si>
  <si>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</si>
  <si>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</si>
  <si>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</si>
  <si>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</si>
  <si>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</si>
  <si>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</si>
  <si>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</si>
  <si>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</si>
  <si>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</si>
  <si>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</si>
  <si>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</si>
  <si>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</si>
  <si>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</si>
  <si>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</si>
  <si>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</si>
  <si>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</si>
  <si>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</si>
  <si>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</si>
  <si>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</si>
  <si>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</si>
  <si>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</si>
  <si>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</si>
  <si>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</si>
  <si>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</si>
  <si>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</si>
  <si>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</si>
  <si>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</si>
  <si>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</si>
  <si>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</si>
  <si>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</si>
  <si>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</si>
  <si>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</si>
  <si>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</si>
  <si>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</si>
  <si>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</si>
  <si>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</si>
  <si>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</si>
  <si>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</si>
  <si>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</si>
  <si>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</si>
  <si>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</si>
  <si>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</si>
  <si>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</si>
  <si>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</si>
  <si>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</si>
  <si>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</si>
  <si>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</si>
  <si>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</si>
  <si>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</si>
  <si>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</si>
  <si>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</si>
  <si>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</si>
  <si>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</si>
  <si>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</si>
  <si>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</si>
  <si>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</si>
  <si>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</si>
  <si>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</si>
  <si>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</si>
  <si>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</si>
  <si>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</si>
  <si>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</si>
  <si>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</si>
  <si>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</si>
  <si>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</si>
  <si>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</si>
  <si>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</si>
  <si>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</si>
  <si>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</si>
  <si>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</si>
  <si>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</si>
  <si>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</si>
  <si>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</si>
  <si>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</si>
  <si>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</si>
  <si>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</si>
  <si>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</si>
  <si>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</si>
  <si>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</si>
  <si>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</si>
  <si>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</si>
  <si>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</si>
  <si>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</si>
  <si>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</si>
  <si>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</si>
  <si>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</si>
  <si>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</si>
  <si>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</si>
  <si>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</si>
  <si>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</si>
  <si>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</si>
  <si>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</si>
  <si>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</si>
  <si>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</si>
  <si>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</si>
  <si>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</si>
  <si>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</si>
  <si>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</si>
  <si>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</si>
  <si>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</si>
  <si>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</si>
  <si>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</si>
  <si>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</si>
  <si>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</si>
  <si>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</si>
  <si>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</si>
  <si>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</si>
  <si>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</si>
  <si>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</si>
  <si>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</si>
  <si>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</si>
  <si>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</si>
  <si>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</si>
  <si>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</si>
  <si>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</si>
  <si>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</si>
  <si>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</si>
  <si>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</si>
  <si>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</si>
  <si>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</si>
  <si>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</si>
  <si>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</si>
  <si>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</si>
  <si>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</si>
  <si>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</si>
  <si>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</si>
  <si>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</si>
  <si>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</si>
  <si>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</si>
  <si>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</si>
  <si>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</si>
  <si>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</si>
  <si>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</si>
  <si>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</si>
  <si>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</si>
  <si>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</si>
  <si>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</si>
  <si>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</si>
  <si>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</si>
  <si>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</si>
  <si>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</si>
  <si>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</si>
  <si>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</si>
  <si>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</si>
  <si>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</si>
  <si>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</si>
  <si>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</si>
  <si>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</si>
  <si>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</si>
  <si>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</si>
  <si>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</si>
  <si>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</si>
  <si>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</si>
  <si>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</si>
  <si>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</si>
  <si>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</si>
  <si>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</si>
  <si>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</si>
  <si>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</si>
  <si>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</si>
  <si>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</si>
  <si>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</si>
  <si>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</si>
  <si>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</si>
  <si>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</si>
  <si>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</si>
  <si>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</si>
  <si>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</si>
  <si>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</si>
  <si>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</si>
  <si>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</si>
  <si>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</si>
  <si>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</si>
  <si>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</si>
  <si>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</si>
  <si>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</si>
  <si>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</si>
  <si>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</si>
  <si>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</si>
  <si>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</si>
  <si>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</si>
  <si>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</si>
  <si>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</si>
  <si>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</si>
  <si>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</si>
  <si>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</si>
  <si>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</si>
  <si>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</si>
  <si>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</si>
  <si>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</si>
  <si>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</si>
  <si>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</si>
  <si>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</si>
  <si>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</si>
  <si>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</si>
  <si>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</si>
  <si>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</si>
  <si>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</si>
  <si>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</si>
  <si>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</si>
  <si>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</si>
  <si>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</si>
  <si>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</si>
  <si>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</si>
  <si>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</si>
  <si>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</si>
  <si>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</si>
  <si>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</si>
  <si>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</si>
  <si>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</si>
  <si>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</si>
  <si>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</si>
  <si>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</si>
  <si>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</si>
  <si>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</si>
  <si>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</si>
  <si>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</si>
  <si>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</si>
  <si>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</si>
  <si>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</si>
  <si>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</si>
  <si>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</si>
  <si>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</si>
  <si>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</si>
  <si>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</si>
  <si>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</si>
  <si>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</si>
  <si>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</si>
  <si>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</si>
  <si>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</si>
  <si>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</si>
  <si>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</si>
  <si>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</si>
  <si>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</si>
  <si>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</si>
  <si>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</si>
  <si>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</si>
  <si>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</si>
  <si>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</si>
  <si>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</si>
  <si>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</si>
  <si>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</si>
  <si>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</si>
  <si>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</si>
  <si>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</si>
  <si>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</si>
  <si>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</si>
  <si>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</si>
  <si>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</si>
  <si>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</si>
  <si>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</si>
  <si>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</si>
  <si>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</si>
  <si>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</si>
  <si>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</si>
  <si>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</si>
  <si>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</si>
  <si>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</si>
  <si>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</si>
  <si>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</si>
  <si>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</si>
  <si>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</si>
  <si>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</si>
  <si>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</si>
  <si>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</si>
  <si>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</si>
  <si>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</si>
  <si>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</si>
  <si>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</si>
  <si>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</si>
  <si>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</si>
  <si>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</si>
  <si>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</si>
  <si>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</si>
  <si>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</si>
  <si>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</si>
  <si>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</si>
  <si>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</si>
  <si>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</si>
  <si>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</si>
  <si>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</si>
  <si>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</si>
  <si>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</si>
  <si>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</si>
  <si>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</si>
  <si>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</si>
  <si>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</si>
  <si>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</si>
  <si>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</si>
  <si>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</si>
  <si>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</si>
  <si>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</si>
  <si>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</si>
  <si>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</si>
  <si>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</si>
  <si>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</si>
  <si>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</si>
  <si>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</si>
  <si>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</si>
  <si>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</si>
  <si>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</si>
  <si>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</si>
  <si>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</si>
  <si>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</si>
  <si>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</si>
  <si>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</si>
  <si>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</si>
  <si>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</si>
  <si>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</si>
  <si>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</si>
  <si>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</si>
  <si>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</si>
  <si>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</si>
  <si>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</si>
  <si>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</si>
  <si>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</si>
  <si>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</si>
  <si>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</si>
  <si>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</si>
  <si>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</si>
  <si>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</si>
  <si>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</si>
  <si>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</si>
  <si>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</si>
  <si>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</si>
  <si>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</si>
  <si>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</si>
  <si>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</si>
  <si>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</si>
  <si>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</si>
  <si>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</si>
  <si>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</si>
  <si>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</si>
  <si>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</si>
  <si>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</si>
  <si>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</si>
  <si>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</si>
  <si>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</si>
  <si>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</si>
  <si>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</si>
  <si>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</si>
  <si>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</si>
  <si>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</si>
  <si>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</si>
  <si>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</si>
  <si>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</si>
  <si>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</si>
  <si>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</si>
  <si>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</si>
  <si>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</si>
  <si>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</si>
  <si>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</si>
  <si>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</si>
  <si>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</si>
  <si>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</si>
  <si>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</si>
  <si>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</si>
  <si>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</si>
  <si>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</si>
  <si>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</si>
  <si>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</si>
  <si>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</si>
  <si>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</si>
  <si>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</si>
  <si>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</si>
  <si>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</si>
  <si>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</si>
  <si>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</si>
  <si>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</si>
  <si>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</si>
  <si>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</si>
  <si>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</si>
  <si>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</si>
  <si>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</si>
  <si>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</si>
  <si>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</si>
  <si>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</si>
  <si>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</si>
  <si>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</si>
  <si>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</si>
  <si>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</si>
  <si>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</si>
  <si>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</si>
  <si>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</si>
  <si>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</si>
  <si>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</si>
  <si>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</si>
  <si>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</si>
  <si>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</si>
  <si>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</si>
  <si>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</si>
  <si>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</si>
  <si>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</si>
  <si>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</si>
  <si>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</si>
  <si>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</si>
  <si>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</si>
  <si>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</si>
  <si>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</si>
  <si>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</si>
  <si>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</si>
  <si>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</si>
  <si>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</si>
  <si>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</si>
  <si>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</si>
  <si>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</si>
  <si>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</si>
  <si>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</si>
  <si>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</si>
  <si>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</si>
  <si>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</si>
  <si>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</si>
  <si>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</si>
  <si>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</si>
  <si>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</si>
  <si>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</si>
  <si>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</si>
  <si>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</si>
  <si>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</si>
  <si>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</si>
  <si>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</si>
  <si>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</si>
  <si>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</si>
  <si>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</si>
  <si>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</si>
  <si>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</si>
  <si>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</si>
  <si>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</si>
  <si>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</si>
  <si>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</si>
  <si>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</si>
  <si>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</si>
  <si>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</si>
  <si>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</si>
  <si>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</si>
  <si>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</si>
  <si>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</si>
  <si>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</si>
  <si>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</si>
  <si>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</si>
  <si>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</si>
  <si>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</si>
  <si>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</si>
  <si>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</si>
  <si>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</si>
  <si>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</si>
  <si>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</si>
  <si>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</si>
  <si>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</si>
  <si>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</si>
  <si>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</si>
  <si>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</si>
  <si>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</si>
  <si>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</si>
  <si>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</si>
  <si>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</si>
  <si>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</si>
  <si>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</si>
  <si>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</si>
  <si>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</si>
  <si>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</si>
  <si>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</si>
  <si>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</si>
  <si>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</si>
  <si>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</si>
  <si>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</si>
  <si>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</si>
  <si>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</si>
  <si>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</si>
  <si>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</si>
  <si>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</si>
  <si>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</si>
  <si>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</si>
  <si>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</si>
  <si>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</si>
  <si>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</si>
  <si>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</si>
  <si>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</si>
  <si>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</si>
  <si>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</si>
  <si>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</si>
  <si>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</si>
  <si>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</si>
  <si>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</si>
  <si>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</si>
  <si>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</si>
  <si>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</si>
  <si>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</si>
  <si>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</si>
  <si>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</si>
  <si>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</si>
  <si>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</si>
  <si>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</si>
  <si>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</si>
  <si>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</si>
  <si>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</si>
  <si>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</si>
  <si>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</si>
  <si>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</si>
  <si>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</si>
  <si>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</si>
  <si>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</si>
  <si>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</si>
  <si>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</si>
  <si>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</si>
  <si>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</si>
  <si>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</si>
  <si>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</si>
  <si>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</si>
  <si>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</si>
  <si>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</si>
  <si>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</si>
  <si>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</si>
  <si>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</si>
  <si>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</si>
  <si>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</si>
  <si>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</si>
  <si>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</si>
  <si>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</si>
  <si>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</si>
  <si>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</si>
  <si>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</si>
  <si>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</si>
  <si>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</si>
  <si>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</si>
  <si>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</si>
  <si>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</si>
  <si>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</si>
  <si>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</si>
  <si>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</si>
  <si>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</si>
  <si>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</si>
  <si>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</si>
  <si>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</si>
  <si>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</si>
  <si>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</si>
  <si>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</si>
  <si>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</si>
  <si>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</si>
  <si>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</si>
  <si>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</si>
  <si>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</si>
  <si>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</si>
  <si>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</si>
  <si>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</si>
  <si>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</si>
  <si>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</si>
  <si>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</si>
  <si>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</si>
  <si>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</si>
  <si>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</si>
  <si>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</si>
  <si>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</si>
  <si>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</si>
  <si>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</si>
  <si>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</si>
  <si>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</si>
  <si>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</si>
  <si>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</si>
  <si>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</si>
  <si>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</si>
  <si>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</si>
  <si>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</si>
  <si>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</si>
  <si>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</si>
  <si>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</si>
  <si>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</si>
  <si>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</si>
  <si>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</si>
  <si>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</si>
  <si>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</si>
  <si>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</si>
  <si>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</si>
  <si>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</si>
  <si>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</si>
  <si>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</si>
  <si>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</si>
  <si>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</si>
  <si>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</si>
  <si>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</si>
  <si>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</si>
  <si>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</si>
  <si>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</si>
  <si>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</si>
  <si>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</si>
  <si>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</si>
  <si>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</si>
  <si>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</si>
  <si>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</si>
  <si>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</si>
  <si>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</si>
  <si>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</si>
  <si>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</si>
  <si>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</si>
  <si>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</si>
  <si>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</si>
  <si>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</si>
  <si>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</si>
  <si>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</si>
  <si>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</si>
  <si>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</si>
  <si>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</si>
  <si>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</si>
  <si>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</si>
  <si>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</si>
  <si>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</si>
  <si>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</si>
  <si>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</si>
  <si>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</si>
  <si>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</si>
  <si>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</si>
  <si>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</si>
  <si>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</si>
  <si>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</si>
  <si>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</si>
  <si>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</si>
  <si>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</si>
  <si>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</si>
  <si>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</si>
  <si>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</si>
  <si>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</si>
  <si>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</si>
  <si>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</si>
  <si>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</si>
  <si>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</si>
  <si>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</si>
  <si>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</si>
  <si>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</si>
  <si>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</si>
  <si>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</si>
  <si>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</si>
  <si>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</si>
  <si>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</si>
  <si>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</si>
  <si>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</si>
  <si>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</si>
  <si>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</si>
  <si>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</si>
  <si>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</si>
  <si>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</si>
  <si>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</si>
  <si>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</si>
  <si>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</si>
  <si>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</si>
  <si>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</si>
  <si>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</si>
  <si>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</si>
  <si>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</si>
  <si>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</si>
  <si>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</si>
  <si>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</si>
  <si>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</si>
  <si>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</si>
  <si>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</si>
  <si>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</si>
  <si>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</si>
  <si>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</si>
  <si>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</si>
  <si>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</si>
  <si>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</si>
  <si>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</si>
  <si>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</si>
  <si>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</si>
  <si>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</si>
  <si>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</si>
  <si>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</si>
  <si>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</si>
  <si>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</si>
  <si>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</si>
  <si>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</si>
  <si>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</si>
  <si>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</si>
  <si>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</si>
  <si>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</si>
  <si>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</si>
  <si>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</si>
  <si>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</si>
  <si>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</si>
  <si>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</si>
  <si>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</si>
  <si>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</si>
  <si>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</si>
  <si>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</si>
  <si>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</si>
  <si>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</si>
  <si>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</si>
  <si>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</si>
  <si>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</si>
  <si>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</si>
  <si>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</si>
  <si>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</si>
  <si>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</si>
  <si>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</si>
  <si>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</si>
  <si>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</si>
  <si>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</si>
  <si>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</si>
  <si>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</si>
  <si>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</si>
  <si>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</si>
  <si>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</si>
  <si>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</si>
  <si>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</si>
  <si>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</si>
  <si>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</si>
  <si>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</si>
  <si>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</si>
  <si>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</si>
  <si>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</si>
  <si>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</si>
  <si>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</si>
  <si>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</si>
  <si>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</si>
  <si>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</si>
  <si>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</si>
  <si>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</si>
  <si>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</si>
  <si>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</si>
  <si>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</si>
  <si>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</si>
  <si>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</si>
  <si>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</si>
  <si>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</si>
  <si>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</si>
  <si>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</si>
  <si>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</si>
  <si>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</si>
  <si>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</si>
  <si>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</si>
  <si>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</si>
  <si>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</si>
  <si>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</si>
  <si>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</si>
  <si>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</si>
  <si>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</si>
  <si>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</si>
  <si>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</si>
  <si>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</si>
  <si>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</si>
  <si>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</si>
  <si>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</si>
  <si>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</si>
  <si>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</si>
  <si>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</si>
  <si>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</si>
  <si>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</si>
  <si>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</si>
  <si>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</si>
  <si>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</si>
  <si>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</si>
  <si>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</si>
  <si>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</si>
  <si>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</si>
  <si>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</si>
  <si>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</si>
  <si>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</si>
  <si>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</si>
  <si>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</si>
  <si>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</si>
  <si>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</si>
  <si>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</si>
  <si>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</si>
  <si>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</si>
  <si>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</si>
  <si>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</si>
  <si>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</si>
  <si>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</si>
  <si>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</si>
  <si>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</si>
  <si>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</si>
  <si>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</si>
  <si>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</si>
  <si>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</si>
  <si>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</si>
  <si>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</si>
  <si>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</si>
  <si>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</si>
  <si>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</si>
  <si>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</si>
  <si>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</si>
  <si>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</si>
  <si>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</si>
  <si>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</si>
  <si>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</si>
  <si>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</si>
  <si>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</si>
  <si>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</si>
  <si>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</si>
  <si>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</si>
  <si>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</si>
  <si>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</si>
  <si>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</si>
  <si>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</si>
  <si>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</si>
  <si>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</si>
  <si>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</si>
  <si>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</si>
  <si>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</si>
  <si>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</si>
  <si>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</si>
  <si>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</si>
  <si>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</si>
  <si>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</si>
  <si>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</si>
  <si>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</si>
  <si>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</si>
  <si>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</si>
  <si>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</si>
  <si>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</si>
  <si>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</si>
  <si>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</si>
  <si>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</si>
  <si>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</si>
  <si>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</si>
  <si>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</si>
  <si>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</si>
  <si>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</si>
  <si>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</si>
  <si>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</si>
  <si>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</si>
  <si>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</si>
  <si>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</si>
  <si>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</si>
  <si>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</si>
  <si>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</si>
  <si>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</si>
  <si>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</si>
  <si>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</si>
  <si>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</si>
  <si>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</si>
  <si>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</si>
  <si>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</si>
  <si>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</si>
  <si>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</si>
  <si>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</si>
  <si>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</si>
  <si>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</si>
  <si>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</si>
  <si>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</si>
  <si>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</si>
  <si>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</si>
  <si>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</si>
  <si>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</si>
  <si>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</si>
  <si>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</si>
  <si>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</si>
  <si>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</si>
  <si>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</si>
  <si>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</si>
  <si>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</si>
  <si>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</si>
  <si>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</si>
  <si>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</si>
  <si>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</si>
  <si>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</si>
  <si>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</si>
  <si>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</si>
  <si>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</si>
  <si>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</si>
  <si>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</si>
  <si>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</si>
  <si>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</si>
  <si>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</si>
  <si>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</si>
  <si>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</si>
  <si>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</si>
  <si>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</si>
  <si>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</si>
  <si>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</si>
  <si>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</si>
  <si>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</si>
  <si>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</si>
  <si>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</si>
  <si>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</si>
  <si>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</si>
  <si>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</si>
  <si>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</si>
  <si>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</si>
  <si>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</si>
  <si>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</si>
  <si>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</si>
  <si>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</si>
  <si>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</si>
  <si>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</si>
  <si>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</si>
  <si>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</si>
  <si>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</si>
  <si>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</si>
  <si>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</si>
  <si>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</si>
  <si>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</si>
  <si>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</si>
  <si>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</si>
  <si>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</si>
  <si>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</si>
  <si>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</si>
  <si>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</si>
  <si>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</si>
  <si>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</si>
  <si>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</si>
  <si>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</si>
  <si>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</si>
  <si>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</si>
  <si>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</si>
  <si>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</si>
  <si>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</si>
  <si>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</si>
  <si>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</si>
  <si>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</si>
  <si>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</si>
  <si>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</si>
  <si>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</si>
  <si>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</si>
  <si>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</si>
  <si>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</si>
  <si>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</si>
  <si>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</si>
  <si>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</si>
  <si>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</si>
  <si>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</si>
  <si>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</si>
  <si>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</si>
  <si>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</si>
  <si>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</si>
  <si>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</si>
  <si>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</si>
  <si>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</si>
  <si>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</si>
  <si>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</si>
  <si>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</si>
  <si>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</si>
  <si>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</si>
  <si>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</si>
  <si>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</si>
  <si>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</si>
  <si>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</si>
  <si>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</si>
  <si>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</si>
  <si>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</si>
  <si>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</si>
  <si>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</si>
  <si>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</si>
  <si>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</si>
  <si>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</si>
  <si>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</si>
  <si>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</si>
  <si>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</si>
  <si>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</si>
  <si>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</si>
  <si>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</si>
  <si>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</si>
  <si>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</si>
  <si>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</si>
  <si>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</si>
  <si>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</si>
  <si>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</si>
  <si>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</si>
  <si>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</si>
  <si>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</si>
  <si>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</si>
  <si>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</si>
  <si>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</si>
  <si>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</si>
  <si>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</si>
  <si>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</si>
  <si>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</si>
  <si>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</si>
  <si>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</si>
  <si>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</si>
  <si>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</si>
  <si>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</si>
  <si>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</si>
  <si>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</si>
  <si>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</si>
  <si>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</si>
  <si>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</si>
  <si>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</si>
  <si>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</si>
  <si>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</si>
  <si>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</si>
  <si>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</si>
  <si>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</si>
  <si>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</si>
  <si>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</si>
  <si>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</si>
  <si>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</si>
  <si>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</si>
  <si>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</si>
  <si>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</si>
  <si>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</si>
  <si>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</si>
  <si>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</si>
  <si>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</si>
  <si>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</si>
  <si>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</si>
  <si>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</si>
  <si>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</si>
  <si>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</si>
  <si>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</si>
  <si>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</si>
  <si>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</si>
  <si>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</si>
  <si>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</si>
  <si>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</si>
  <si>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</si>
  <si>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</si>
  <si>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</si>
  <si>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</si>
  <si>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</si>
  <si>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</si>
  <si>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</si>
  <si>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</si>
  <si>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</si>
  <si>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</si>
  <si>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</si>
  <si>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</si>
  <si>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</si>
  <si>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</si>
  <si>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</si>
  <si>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</si>
  <si>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</si>
  <si>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</si>
  <si>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</si>
  <si>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</si>
  <si>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</si>
  <si>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</si>
  <si>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</si>
  <si>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</si>
  <si>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</si>
  <si>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</si>
  <si>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</si>
  <si>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</si>
  <si>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</si>
  <si>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</si>
  <si>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</si>
  <si>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</si>
  <si>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</si>
  <si>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</si>
  <si>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</si>
  <si>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</si>
  <si>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</si>
  <si>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</si>
  <si>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</si>
  <si>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</si>
  <si>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</si>
  <si>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</si>
  <si>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</si>
  <si>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</si>
  <si>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</si>
  <si>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</si>
  <si>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</si>
  <si>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</si>
  <si>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</si>
  <si>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</si>
  <si>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</si>
  <si>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</si>
  <si>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</si>
  <si>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</si>
  <si>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</si>
  <si>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</si>
  <si>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</si>
  <si>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</si>
  <si>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</si>
  <si>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</si>
  <si>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</si>
  <si>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</si>
  <si>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</si>
  <si>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</si>
  <si>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</si>
  <si>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</si>
  <si>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</si>
  <si>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</si>
  <si>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</si>
  <si>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</si>
  <si>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</si>
  <si>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</si>
  <si>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</si>
  <si>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</si>
  <si>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</si>
  <si>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</si>
  <si>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</si>
  <si>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</si>
  <si>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</si>
  <si>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</si>
  <si>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</si>
  <si>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</si>
  <si>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</si>
  <si>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</si>
  <si>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</si>
  <si>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</si>
  <si>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</si>
  <si>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</si>
  <si>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</si>
  <si>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</si>
  <si>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</si>
  <si>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</si>
  <si>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</si>
  <si>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</si>
  <si>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</si>
  <si>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</si>
  <si>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</si>
  <si>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</si>
  <si>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</si>
  <si>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</si>
  <si>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</si>
  <si>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</si>
  <si>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</si>
  <si>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</si>
  <si>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</si>
  <si>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</si>
  <si>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</si>
  <si>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</si>
  <si>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</si>
  <si>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</si>
  <si>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</si>
  <si>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</si>
  <si>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</si>
  <si>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</si>
  <si>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</si>
  <si>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</si>
  <si>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</si>
  <si>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</si>
  <si>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</si>
  <si>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</si>
  <si>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</si>
  <si>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</si>
  <si>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</si>
  <si>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</si>
  <si>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</si>
  <si>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</si>
  <si>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</si>
  <si>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</si>
  <si>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</si>
  <si>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</si>
  <si>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</si>
  <si>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</si>
  <si>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</si>
  <si>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</si>
  <si>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</si>
  <si>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</si>
  <si>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</si>
  <si>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</si>
  <si>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</si>
  <si>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</si>
  <si>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</si>
  <si>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</si>
  <si>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</si>
  <si>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</si>
  <si>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</si>
  <si>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</si>
  <si>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</si>
  <si>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</si>
  <si>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</si>
  <si>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</si>
  <si>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</si>
  <si>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</si>
  <si>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</si>
  <si>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</si>
  <si>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</si>
  <si>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</si>
  <si>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</si>
  <si>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</si>
  <si>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</si>
  <si>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</si>
  <si>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</si>
  <si>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</si>
  <si>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</si>
  <si>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</si>
  <si>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</si>
  <si>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</si>
  <si>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</si>
  <si>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</si>
  <si>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</si>
  <si>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</si>
  <si>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</si>
  <si>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</si>
  <si>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</si>
  <si>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</si>
  <si>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</si>
  <si>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</si>
  <si>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</si>
  <si>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</si>
  <si>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</si>
  <si>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</si>
  <si>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</si>
  <si>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</si>
  <si>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</si>
  <si>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</si>
  <si>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</si>
  <si>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</si>
  <si>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</si>
  <si>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</si>
  <si>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</si>
  <si>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</si>
  <si>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</si>
  <si>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</si>
  <si>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</si>
  <si>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</si>
  <si>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</si>
  <si>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</si>
  <si>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</si>
  <si>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</si>
  <si>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</si>
  <si>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</si>
  <si>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</si>
  <si>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</si>
  <si>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</si>
  <si>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</si>
  <si>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</si>
  <si>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</si>
  <si>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</si>
  <si>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</si>
  <si>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</si>
  <si>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</si>
  <si>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</si>
  <si>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</si>
  <si>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</si>
  <si>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</si>
  <si>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</si>
  <si>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</si>
  <si>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</si>
  <si>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</si>
  <si>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</si>
  <si>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</si>
  <si>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</si>
  <si>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</si>
  <si>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</si>
  <si>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</si>
  <si>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</si>
  <si>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</si>
  <si>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</si>
  <si>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</si>
  <si>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</si>
  <si>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</si>
  <si>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</si>
  <si>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</si>
  <si>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</si>
  <si>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</si>
  <si>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</si>
  <si>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</si>
  <si>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</si>
  <si>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</si>
  <si>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</si>
  <si>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</si>
  <si>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</si>
  <si>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</si>
  <si>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</si>
  <si>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</si>
  <si>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</si>
  <si>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</si>
  <si>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</si>
  <si>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</si>
  <si>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</si>
  <si>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</si>
  <si>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</si>
  <si>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</si>
  <si>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</si>
  <si>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</si>
  <si>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</si>
  <si>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</si>
  <si>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</si>
  <si>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</si>
  <si>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</si>
  <si>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</si>
  <si>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</si>
  <si>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</si>
  <si>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</si>
  <si>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</si>
  <si>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</si>
  <si>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</si>
  <si>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</si>
  <si>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</si>
  <si>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</si>
  <si>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</si>
  <si>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</si>
  <si>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</si>
  <si>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</si>
  <si>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</si>
  <si>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</si>
  <si>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</si>
  <si>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</si>
  <si>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</si>
  <si>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</si>
  <si>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</si>
  <si>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</si>
  <si>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</si>
  <si>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</si>
  <si>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</si>
  <si>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</si>
  <si>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</si>
  <si>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</si>
  <si>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</si>
  <si>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</si>
  <si>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</si>
  <si>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</si>
  <si>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</si>
  <si>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</si>
  <si>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</si>
  <si>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</si>
  <si>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</si>
  <si>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</si>
  <si>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</si>
  <si>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</si>
  <si>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</si>
  <si>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</si>
  <si>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</si>
  <si>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</si>
  <si>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</si>
  <si>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</si>
  <si>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</si>
  <si>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</si>
  <si>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</si>
  <si>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</si>
  <si>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</si>
  <si>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</si>
  <si>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</si>
  <si>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</si>
  <si>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</si>
  <si>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</si>
  <si>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</si>
  <si>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</si>
  <si>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</si>
  <si>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</si>
  <si>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</si>
  <si>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</si>
  <si>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</si>
  <si>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</si>
  <si>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</si>
  <si>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</si>
  <si>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</si>
  <si>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</si>
  <si>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</si>
  <si>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</si>
  <si>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</si>
  <si>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</si>
  <si>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</si>
  <si>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</si>
  <si>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</si>
  <si>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</si>
  <si>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</si>
  <si>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</si>
  <si>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</si>
  <si>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</si>
  <si>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</si>
  <si>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</si>
  <si>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</si>
  <si>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</si>
  <si>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</si>
  <si>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</si>
  <si>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</si>
  <si>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</si>
  <si>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</si>
  <si>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</si>
  <si>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</si>
  <si>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</si>
  <si>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</si>
  <si>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</si>
  <si>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</si>
  <si>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</si>
  <si>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</si>
  <si>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</si>
  <si>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</si>
  <si>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</si>
  <si>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</si>
  <si>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</si>
  <si>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</si>
  <si>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</si>
  <si>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</si>
  <si>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</si>
  <si>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</si>
  <si>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</si>
  <si>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</si>
  <si>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</si>
  <si>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</si>
  <si>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</si>
  <si>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</si>
  <si>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</si>
  <si>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</si>
  <si>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</si>
  <si>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</si>
  <si>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</si>
  <si>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</si>
  <si>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</si>
  <si>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</si>
  <si>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</si>
  <si>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</si>
  <si>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</si>
  <si>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</si>
  <si>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</si>
  <si>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</si>
  <si>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</si>
  <si>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</si>
  <si>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</si>
  <si>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</si>
  <si>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</si>
  <si>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</si>
  <si>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</si>
  <si>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</si>
  <si>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</si>
  <si>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</si>
  <si>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</si>
  <si>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</si>
  <si>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</si>
  <si>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</si>
  <si>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</si>
  <si>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</si>
  <si>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</si>
  <si>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</si>
  <si>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</si>
  <si>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</si>
  <si>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</si>
  <si>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</si>
  <si>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</si>
  <si>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</si>
  <si>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</si>
  <si>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</si>
  <si>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</si>
  <si>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</si>
  <si>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</si>
  <si>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</si>
  <si>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</si>
  <si>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</si>
  <si>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</si>
  <si>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</si>
  <si>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</si>
  <si>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</si>
  <si>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</si>
  <si>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</si>
  <si>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</si>
  <si>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</si>
  <si>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</si>
  <si>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</si>
  <si>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</si>
  <si>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</si>
  <si>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</si>
  <si>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</si>
  <si>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</si>
  <si>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</si>
  <si>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</si>
  <si>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</si>
  <si>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</si>
  <si>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</si>
  <si>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</si>
  <si>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</si>
  <si>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</si>
  <si>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</si>
  <si>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</si>
  <si>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</si>
  <si>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</si>
  <si>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</si>
  <si>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</si>
  <si>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</si>
  <si>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</si>
  <si>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</si>
  <si>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</si>
  <si>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</si>
  <si>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</si>
  <si>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</si>
  <si>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</si>
  <si>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</si>
  <si>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</si>
  <si>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</si>
  <si>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</si>
  <si>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</si>
  <si>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</si>
  <si>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</si>
  <si>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</si>
  <si>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</si>
  <si>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</si>
  <si>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</si>
  <si>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</si>
  <si>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</si>
  <si>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</si>
  <si>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</si>
  <si>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</si>
  <si>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</si>
  <si>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</si>
  <si>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</si>
  <si>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</si>
  <si>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</si>
  <si>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</si>
  <si>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</si>
  <si>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</si>
  <si>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</si>
  <si>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</si>
  <si>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</si>
  <si>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</si>
  <si>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</si>
  <si>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</si>
  <si>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</si>
  <si>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</si>
  <si>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</si>
  <si>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</si>
  <si>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</si>
  <si>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</si>
  <si>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</si>
  <si>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</si>
  <si>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</si>
  <si>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</si>
  <si>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</si>
  <si>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</si>
  <si>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</si>
  <si>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</si>
  <si>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</si>
  <si>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</si>
  <si>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</si>
  <si>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</si>
  <si>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</si>
  <si>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</si>
  <si>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</si>
  <si>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</si>
  <si>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</si>
  <si>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</si>
  <si>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</si>
  <si>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</si>
  <si>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</si>
  <si>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</si>
  <si>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</si>
  <si>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</si>
  <si>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</si>
  <si>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</si>
  <si>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</si>
  <si>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</si>
  <si>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</si>
  <si>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</si>
  <si>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</si>
  <si>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</si>
  <si>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</si>
  <si>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</si>
  <si>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</si>
  <si>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</si>
  <si>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</si>
  <si>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</si>
  <si>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</si>
  <si>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</si>
  <si>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</si>
  <si>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</si>
  <si>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</si>
  <si>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</si>
  <si>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</si>
  <si>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</si>
  <si>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</si>
  <si>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</si>
  <si>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</si>
  <si>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</si>
  <si>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</si>
  <si>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</si>
  <si>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</si>
  <si>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</si>
  <si>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</si>
  <si>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</si>
  <si>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</si>
  <si>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</si>
  <si>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</si>
  <si>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</si>
  <si>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</si>
  <si>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</si>
  <si>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</si>
  <si>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</si>
  <si>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</si>
  <si>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</si>
  <si>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</si>
  <si>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</si>
  <si>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</si>
  <si>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</si>
  <si>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</si>
  <si>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</si>
  <si>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</si>
  <si>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</si>
  <si>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</si>
  <si>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</si>
  <si>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</si>
  <si>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</si>
  <si>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</si>
  <si>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</si>
  <si>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</si>
  <si>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</si>
  <si>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</si>
  <si>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</si>
  <si>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</si>
  <si>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</si>
  <si>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</si>
  <si>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</si>
  <si>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</si>
  <si>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</si>
  <si>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</si>
  <si>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</si>
  <si>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</si>
  <si>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</si>
  <si>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</si>
  <si>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</si>
  <si>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</si>
  <si>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</si>
  <si>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</si>
  <si>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</si>
  <si>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</si>
  <si>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</si>
  <si>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</si>
  <si>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</si>
  <si>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</si>
  <si>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</si>
  <si>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</si>
  <si>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</si>
  <si>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</si>
  <si>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</si>
  <si>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</si>
  <si>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</si>
  <si>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</si>
  <si>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</si>
  <si>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</si>
  <si>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</si>
  <si>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</si>
  <si>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</si>
  <si>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</si>
  <si>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</si>
  <si>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</si>
  <si>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</si>
  <si>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</si>
  <si>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</si>
  <si>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</si>
  <si>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</si>
  <si>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</si>
  <si>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</si>
  <si>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</si>
  <si>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</si>
  <si>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</si>
  <si>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</si>
  <si>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</si>
  <si>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</si>
  <si>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</si>
  <si>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</si>
  <si>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</si>
  <si>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</si>
  <si>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</si>
  <si>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</si>
  <si>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</si>
  <si>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</si>
  <si>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</si>
  <si>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</si>
  <si>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</si>
  <si>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</si>
  <si>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</si>
  <si>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</si>
  <si>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</si>
  <si>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</si>
  <si>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</si>
  <si>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</si>
  <si>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</si>
  <si>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</si>
  <si>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</si>
  <si>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</si>
  <si>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</si>
  <si>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</si>
  <si>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</si>
  <si>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</si>
  <si>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</si>
  <si>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</si>
  <si>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</si>
  <si>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</si>
  <si>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</si>
  <si>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</si>
  <si>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</si>
  <si>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</si>
  <si>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</si>
  <si>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</si>
  <si>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</si>
  <si>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</si>
  <si>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</si>
  <si>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</si>
  <si>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</si>
  <si>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</si>
  <si>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</si>
  <si>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</si>
  <si>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</si>
  <si>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</si>
  <si>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</si>
  <si>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</si>
  <si>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</si>
  <si>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</si>
  <si>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</si>
  <si>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</si>
  <si>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</si>
  <si>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</si>
  <si>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</si>
  <si>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</si>
  <si>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</si>
  <si>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</si>
  <si>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</si>
  <si>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</si>
  <si>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</si>
  <si>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</si>
  <si>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</si>
  <si>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</si>
  <si>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</si>
  <si>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</si>
  <si>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</si>
  <si>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</si>
  <si>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</si>
  <si>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</si>
  <si>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</si>
  <si>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</si>
  <si>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</si>
  <si>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</si>
  <si>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</si>
  <si>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</si>
  <si>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</si>
  <si>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</si>
  <si>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</si>
  <si>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</si>
  <si>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</si>
  <si>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</si>
  <si>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</si>
  <si>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</si>
  <si>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</si>
  <si>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</si>
  <si>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</si>
  <si>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</si>
  <si>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</si>
  <si>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</si>
  <si>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</si>
  <si>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</si>
  <si>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</si>
  <si>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</si>
  <si>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</si>
  <si>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</si>
  <si>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</si>
  <si>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</si>
  <si>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</si>
  <si>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</si>
  <si>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</si>
  <si>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</si>
  <si>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</si>
  <si>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</si>
  <si>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</si>
  <si>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</si>
  <si>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</si>
  <si>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</si>
  <si>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</si>
  <si>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</si>
  <si>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</si>
  <si>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</si>
  <si>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</si>
  <si>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</si>
  <si>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</si>
  <si>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</si>
  <si>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</si>
  <si>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</si>
  <si>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</si>
  <si>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</si>
  <si>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</si>
  <si>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</si>
  <si>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</si>
  <si>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</si>
  <si>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</si>
  <si>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</si>
  <si>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</si>
  <si>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</si>
  <si>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</si>
  <si>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</si>
  <si>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</si>
  <si>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</si>
  <si>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</si>
  <si>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</si>
  <si>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</si>
  <si>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</si>
  <si>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</si>
  <si>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</si>
  <si>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</si>
  <si>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</si>
  <si>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</si>
  <si>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</si>
  <si>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</si>
  <si>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</si>
  <si>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</si>
  <si>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</si>
  <si>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</si>
  <si>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</si>
  <si>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</si>
  <si>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</si>
  <si>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</si>
  <si>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</si>
  <si>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</si>
  <si>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</si>
  <si>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</si>
  <si>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</si>
  <si>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</si>
  <si>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</si>
  <si>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</si>
  <si>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</si>
  <si>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</si>
  <si>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</si>
  <si>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</si>
  <si>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</si>
  <si>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</si>
  <si>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</si>
  <si>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</si>
  <si>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</si>
  <si>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</si>
  <si>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</si>
  <si>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</si>
  <si>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</si>
  <si>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</si>
  <si>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</si>
  <si>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</si>
  <si>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</si>
  <si>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</si>
  <si>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</si>
  <si>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</si>
  <si>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</si>
  <si>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</si>
  <si>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</si>
  <si>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</si>
  <si>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</si>
  <si>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</si>
  <si>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</si>
  <si>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</si>
  <si>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</si>
  <si>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</si>
  <si>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</si>
  <si>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</si>
  <si>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</si>
  <si>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</si>
  <si>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</si>
  <si>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</si>
  <si>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</si>
  <si>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</si>
  <si>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</si>
  <si>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</si>
  <si>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</si>
  <si>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</si>
  <si>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</si>
  <si>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</si>
  <si>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</si>
  <si>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</si>
  <si>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</si>
  <si>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</si>
  <si>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</si>
  <si>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</si>
  <si>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</si>
  <si>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</si>
  <si>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</si>
  <si>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</si>
  <si>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</si>
  <si>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</si>
  <si>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</si>
  <si>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</si>
  <si>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</si>
  <si>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</si>
  <si>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</si>
  <si>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</si>
  <si>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</si>
  <si>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</si>
  <si>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</si>
  <si>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</si>
  <si>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</si>
  <si>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</si>
  <si>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</si>
  <si>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</si>
  <si>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</si>
  <si>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</si>
  <si>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</si>
  <si>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</si>
  <si>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</si>
  <si>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</si>
  <si>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</si>
  <si>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</si>
  <si>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</si>
  <si>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</si>
  <si>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</si>
  <si>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</si>
  <si>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</si>
  <si>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</si>
  <si>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</si>
  <si>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</si>
  <si>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</si>
  <si>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</si>
  <si>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</si>
  <si>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</si>
  <si>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</si>
  <si>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</si>
  <si>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</si>
  <si>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</si>
  <si>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</si>
  <si>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</si>
  <si>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</si>
  <si>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</si>
  <si>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</si>
  <si>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</si>
  <si>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</si>
  <si>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</si>
  <si>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</si>
  <si>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</si>
  <si>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</si>
  <si>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</si>
  <si>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</si>
  <si>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</si>
  <si>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</si>
  <si>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</si>
  <si>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</si>
  <si>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</si>
  <si>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</si>
  <si>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</si>
  <si>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</si>
  <si>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</si>
  <si>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</si>
  <si>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</si>
  <si>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</si>
  <si>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</si>
  <si>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</si>
  <si>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</si>
  <si>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</si>
  <si>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</si>
  <si>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</si>
  <si>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</si>
  <si>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</si>
  <si>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</si>
  <si>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</si>
  <si>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</si>
  <si>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</si>
  <si>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</si>
  <si>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</si>
  <si>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</si>
  <si>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</si>
  <si>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</si>
  <si>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</si>
  <si>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</si>
  <si>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</si>
  <si>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</si>
  <si>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</si>
  <si>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</si>
  <si>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</si>
  <si>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</si>
  <si>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</si>
  <si>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</si>
  <si>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</si>
  <si>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</si>
  <si>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</si>
  <si>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</si>
  <si>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</si>
  <si>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</si>
  <si>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</si>
  <si>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</si>
  <si>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</si>
  <si>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</si>
  <si>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</si>
  <si>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</si>
  <si>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</si>
  <si>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</si>
  <si>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</si>
  <si>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</si>
  <si>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</si>
  <si>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</si>
  <si>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</si>
  <si>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</si>
  <si>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</si>
  <si>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</si>
  <si>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</si>
  <si>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</si>
  <si>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</si>
  <si>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</si>
  <si>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</si>
  <si>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</si>
  <si>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</si>
  <si>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</si>
  <si>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</si>
  <si>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</si>
  <si>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</si>
  <si>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</si>
  <si>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</si>
  <si>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</si>
  <si>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</si>
  <si>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</si>
  <si>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</si>
  <si>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</si>
  <si>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</si>
  <si>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</si>
  <si>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</si>
  <si>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</si>
  <si>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</si>
  <si>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</si>
  <si>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</si>
  <si>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</si>
  <si>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</si>
  <si>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</si>
  <si>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</si>
  <si>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</si>
  <si>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</si>
  <si>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</si>
  <si>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</si>
  <si>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</si>
  <si>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</si>
  <si>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</si>
  <si>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</si>
  <si>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</si>
  <si>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</si>
  <si>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</si>
  <si>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</si>
  <si>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</si>
  <si>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</si>
  <si>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</si>
  <si>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</si>
  <si>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</si>
  <si>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</si>
  <si>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</si>
  <si>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</si>
  <si>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</si>
  <si>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</si>
  <si>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</si>
  <si>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</si>
  <si>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</si>
  <si>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</si>
  <si>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</si>
  <si>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</si>
  <si>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</si>
  <si>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</si>
  <si>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</si>
  <si>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Row Labels</t>
  </si>
  <si>
    <t>(blank)</t>
  </si>
  <si>
    <t>Grand Total</t>
  </si>
  <si>
    <t>Sum of sales</t>
  </si>
  <si>
    <t>Sum of profit</t>
  </si>
  <si>
    <t/>
  </si>
  <si>
    <t>August</t>
  </si>
  <si>
    <t>CLEAN</t>
  </si>
  <si>
    <t>February</t>
  </si>
  <si>
    <t>December</t>
  </si>
  <si>
    <t>November</t>
  </si>
  <si>
    <t>Invalid Shipping Record</t>
  </si>
  <si>
    <t>INVALID</t>
  </si>
  <si>
    <t>June</t>
  </si>
  <si>
    <t>May</t>
  </si>
  <si>
    <t>September</t>
  </si>
  <si>
    <t>October</t>
  </si>
  <si>
    <t>WARNING</t>
  </si>
  <si>
    <t>April</t>
  </si>
  <si>
    <t>January</t>
  </si>
  <si>
    <t>Invalid Discount</t>
  </si>
  <si>
    <t>March</t>
  </si>
  <si>
    <t>July</t>
  </si>
  <si>
    <t>Details for Sum of profit - Region : South</t>
  </si>
  <si>
    <t>Count of order_id</t>
  </si>
  <si>
    <t>Average of Profit margin</t>
  </si>
  <si>
    <t>Count of 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</si>
</sst>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[outputs pivot_summary.xlsx]Monthly sales trend!PivotTable7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trend'!$B$2:$B$14</c:f>
              <c:numCache>
                <c:formatCode>General</c:formatCode>
                <c:ptCount val="12"/>
                <c:pt idx="0">
                  <c:v>709197.71</c:v>
                </c:pt>
                <c:pt idx="1">
                  <c:v>1156626.3499999994</c:v>
                </c:pt>
                <c:pt idx="2">
                  <c:v>836648.79999999993</c:v>
                </c:pt>
                <c:pt idx="3">
                  <c:v>790339.21</c:v>
                </c:pt>
                <c:pt idx="4">
                  <c:v>786151.80999999994</c:v>
                </c:pt>
                <c:pt idx="5">
                  <c:v>852453.08999999985</c:v>
                </c:pt>
                <c:pt idx="6">
                  <c:v>828370.42999999993</c:v>
                </c:pt>
                <c:pt idx="7">
                  <c:v>907785.79000000027</c:v>
                </c:pt>
                <c:pt idx="8">
                  <c:v>834417.54</c:v>
                </c:pt>
                <c:pt idx="9">
                  <c:v>676298.98000000021</c:v>
                </c:pt>
                <c:pt idx="10">
                  <c:v>320640.38000000012</c:v>
                </c:pt>
                <c:pt idx="11">
                  <c:v>380660.38000000006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5-479E-9AF9-3EAC163CB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647215"/>
        <c:axId val="1178648175"/>
      </c:lineChart>
      <c:catAx>
        <c:axId val="11786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8175"/>
        <c:crosses val="autoZero"/>
        <c:auto val="1"/>
        <c:lblAlgn val="ctr"/>
        <c:lblOffset val="100"/>
        <c:noMultiLvlLbl val="0"/>
      </c:catAx>
      <c:valAx>
        <c:axId val="11786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0</xdr:row>
      <xdr:rowOff>148590</xdr:rowOff>
    </xdr:from>
    <xdr:to>
      <xdr:col>11</xdr:col>
      <xdr:colOff>259080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6F645-FA9B-0355-6446-7B168E7C5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59833" refreshedDate="46194.468786921294" createdVersion="8" refreshedVersion="8" minRefreshableVersion="3" recordCount="932" xr:uid="{085506FD-068F-43DE-955A-E8FCB4477961}">
  <cacheSource type="worksheet">
    <worksheetSource ref="A1:AE933" sheet="Sheet1"/>
  </cacheSource>
  <cacheFields count="31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10T00:00:00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 " numFmtId="0">
      <sharedItems count="5">
        <s v="North"/>
        <s v="East"/>
        <s v="South"/>
        <s v="West"/>
        <s v="umknown"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unt="5">
        <s v="Second Class"/>
        <s v="Same Day"/>
        <s v="First Class"/>
        <s v="Standard Class"/>
        <s v="umknown"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 count="913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  <m/>
      </sharedItems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 count="898">
        <n v="3207.39"/>
        <n v="2407.77"/>
        <n v="1796.03"/>
        <n v="1521.16"/>
        <n v="3110.95"/>
        <n v="993.88"/>
        <n v="1120.31"/>
        <n v="623.49"/>
        <n v="7726.37"/>
        <n v="2334.5"/>
        <n v="4026"/>
        <n v="1589.97"/>
        <n v="216.57"/>
        <n v="4059.15"/>
        <n v="1440.44"/>
        <n v="8096.09"/>
        <n v="4302.3599999999997"/>
        <n v="2926.99"/>
        <n v="1362.78"/>
        <n v="1801.75"/>
        <n v="6842.46"/>
        <n v="753.05"/>
        <n v="1606.48"/>
        <n v="1943.77"/>
        <n v="2541.4699999999998"/>
        <n v="2367.4299999999998"/>
        <n v="1050.52"/>
        <n v="2064.0500000000002"/>
        <n v="791"/>
        <n v="97.84"/>
        <n v="1077.7"/>
        <n v="10063.200000000001"/>
        <n v="1472.89"/>
        <n v="514.41999999999996"/>
        <n v="2607.3200000000002"/>
        <n v="3740.28"/>
        <n v="2708.56"/>
        <n v="927.04"/>
        <n v="3422.41"/>
        <n v="1560.54"/>
        <n v="2061.54"/>
        <n v="2606.59"/>
        <n v="2950.79"/>
        <n v="1309.6099999999999"/>
        <n v="9594.94"/>
        <n v="12363.95"/>
        <n v="5430.8"/>
        <n v="5167.2700000000004"/>
        <n v="7507.03"/>
        <n v="1017.08"/>
        <n v="884.73"/>
        <n v="1728.71"/>
        <n v="1993.38"/>
        <n v="2293.0700000000002"/>
        <n v="1422.23"/>
        <n v="608.41"/>
        <n v="2909"/>
        <n v="187.81"/>
        <n v="4676.7299999999996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00000000002"/>
        <n v="8684.0499999999993"/>
        <n v="1761.02"/>
        <n v="2432.31"/>
        <n v="2247.5300000000002"/>
        <n v="273.91000000000003"/>
        <n v="651.9"/>
        <n v="264.64999999999998"/>
        <n v="894.32"/>
        <n v="7925.65"/>
        <n v="895.14"/>
        <n v="9004.9699999999993"/>
        <n v="3858.82"/>
        <n v="804.53"/>
        <n v="6917.41"/>
        <n v="7067.01"/>
        <n v="5103.1099999999997"/>
        <n v="1683.73"/>
        <n v="1324.42"/>
        <n v="5599.47"/>
        <n v="3913.56"/>
        <n v="1794.98"/>
        <n v="3979.17"/>
        <n v="4432.8100000000004"/>
        <n v="2483.06"/>
        <n v="1151.3399999999999"/>
        <n v="2302.08"/>
        <n v="226.1"/>
        <n v="1497.88"/>
        <n v="3337.67"/>
        <n v="307.81"/>
        <n v="774.25"/>
        <n v="1893.21"/>
        <n v="545.55999999999995"/>
        <n v="4365.28"/>
        <n v="810.7"/>
        <n v="762.83"/>
        <n v="268.04000000000002"/>
        <n v="529.54"/>
        <n v="5062.6499999999996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00000000009"/>
        <n v="3676.28"/>
        <n v="9947.52"/>
        <n v="3736.98"/>
        <n v="2139.89"/>
        <n v="1136.52"/>
        <n v="1087.78"/>
        <n v="1152.3900000000001"/>
        <n v="4368.1899999999996"/>
        <n v="5246.91"/>
        <n v="4004.9"/>
        <n v="1035.8699999999999"/>
        <n v="2571.9499999999998"/>
        <n v="4292.8500000000004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00000000003"/>
        <n v="10318.370000000001"/>
        <n v="10172.879999999999"/>
        <n v="2394.52"/>
        <n v="4042.14"/>
        <n v="2279.42"/>
        <n v="4219.49"/>
        <n v="1722.73"/>
        <n v="4579.33"/>
        <n v="756.8"/>
        <n v="267.79000000000002"/>
        <n v="3828.78"/>
        <n v="2501.2600000000002"/>
        <n v="1484.14"/>
        <n v="8512.15"/>
        <n v="514.91999999999996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799999999998"/>
        <n v="138.31"/>
        <n v="8298.39"/>
        <n v="3396.31"/>
        <n v="1198.96"/>
        <n v="534.47"/>
        <n v="81.56"/>
        <n v="3486.11"/>
        <n v="1348.21"/>
        <n v="8119.45"/>
        <n v="522.39"/>
        <n v="5151"/>
        <n v="787.57"/>
        <n v="877.21"/>
        <n v="573.4"/>
        <n v="1163.6600000000001"/>
        <n v="3122.75"/>
        <n v="2249.4299999999998"/>
        <n v="4299.2"/>
        <n v="110.54"/>
        <n v="4859.0200000000004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599999999999"/>
        <n v="725.85"/>
        <n v="2470.56"/>
        <n v="3475.88"/>
        <n v="7288.72"/>
        <n v="1378.63"/>
        <n v="1273.0999999999999"/>
        <n v="7827.95"/>
        <n v="4318.7299999999996"/>
        <n v="660.27"/>
        <n v="4818.09"/>
        <n v="10291.790000000001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8999999999997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1999999999998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399999999998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00000000001"/>
        <n v="939.52"/>
        <n v="2960.72"/>
        <n v="3706.36"/>
        <n v="300.89999999999998"/>
        <n v="3694.08"/>
        <n v="3902.77"/>
        <n v="1408.98"/>
        <n v="2769.78"/>
        <n v="6751.09"/>
        <n v="279.2"/>
        <n v="4265.2700000000004"/>
        <n v="1789.29"/>
        <n v="1013"/>
        <n v="3571.46"/>
        <n v="4751.87"/>
        <n v="3593.41"/>
        <n v="1262.8699999999999"/>
        <n v="4591.63"/>
        <n v="8387.7199999999993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00000000001"/>
        <n v="4259.0200000000004"/>
        <n v="4485.71"/>
        <n v="7171.84"/>
        <n v="6459.6"/>
        <n v="355.07"/>
        <n v="652.16"/>
        <n v="1576.94"/>
        <n v="2025.99"/>
        <n v="3950.63"/>
        <n v="15226"/>
        <n v="289.92"/>
        <n v="1662.28"/>
        <n v="2228.73"/>
        <n v="2849.03"/>
        <n v="2968.81"/>
        <n v="4936.8999999999996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00000000002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00000000001"/>
        <n v="961.92"/>
        <n v="2314.7800000000002"/>
        <n v="1288.01"/>
        <n v="6382.03"/>
        <n v="152.47999999999999"/>
        <n v="6229.1"/>
        <n v="2264.54"/>
        <n v="2235.23"/>
        <n v="2506.35"/>
        <n v="675.51"/>
        <n v="2604.31"/>
        <n v="565.48"/>
        <n v="569.35"/>
        <n v="4610.51"/>
        <n v="3920.11"/>
        <n v="2370.6999999999998"/>
        <n v="947.35"/>
        <n v="7348.65"/>
        <n v="6630.41"/>
        <n v="465.78"/>
        <n v="694.93"/>
        <n v="782.36"/>
        <n v="1420.6"/>
        <n v="9270.6"/>
        <n v="2172.33"/>
        <n v="544.72"/>
        <n v="8616.6200000000008"/>
        <n v="8824.7099999999991"/>
        <n v="752.66"/>
        <n v="3816.12"/>
        <n v="763.38"/>
        <n v="1656.92"/>
        <n v="140.59"/>
        <n v="1222.18"/>
        <n v="1195.46"/>
        <n v="407.63"/>
        <n v="2234.2600000000002"/>
        <n v="1298.4000000000001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399999999998"/>
        <n v="5059.2700000000004"/>
        <n v="1386.48"/>
        <n v="4447.26"/>
        <n v="3356.97"/>
        <n v="3217.88"/>
        <n v="1374.8"/>
        <n v="4232.8999999999996"/>
        <n v="1562.2"/>
        <n v="644.51"/>
        <n v="714.03"/>
        <n v="3199.57"/>
        <n v="1039.26"/>
        <n v="4356.63"/>
        <n v="3845.83"/>
        <n v="1157.75"/>
        <n v="530.36"/>
        <n v="2613.7399999999998"/>
        <n v="1807.85"/>
        <n v="750.01"/>
        <n v="364.78"/>
        <n v="2186.81"/>
        <n v="4399.54"/>
        <n v="440.25"/>
        <n v="2486.56"/>
        <n v="11130.69"/>
        <n v="617.34"/>
        <n v="1811.29"/>
        <n v="4263.1499999999996"/>
        <n v="1037.96"/>
        <n v="266.89"/>
        <n v="2706.25"/>
        <n v="2069.9699999999998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000000000007"/>
        <n v="1483.38"/>
        <n v="647.36"/>
        <n v="2655.84"/>
        <n v="1887.21"/>
        <n v="5111.09"/>
        <n v="715.96"/>
        <n v="3310.51"/>
        <n v="8495.0300000000007"/>
        <n v="1150.9000000000001"/>
        <n v="12208.23"/>
        <n v="4297.3599999999997"/>
        <n v="336.85"/>
        <n v="3726.2"/>
        <n v="8255.99"/>
        <n v="4253.29"/>
        <n v="6310.68"/>
        <n v="87.01"/>
        <n v="7969.94"/>
        <n v="430.45"/>
        <n v="2562.9"/>
        <n v="2214.7800000000002"/>
        <n v="7595.96"/>
        <n v="467.05"/>
        <n v="5250.12"/>
        <n v="587.91"/>
        <n v="4453.5200000000004"/>
        <n v="2894.59"/>
        <n v="1394.05"/>
        <n v="105.05"/>
        <n v="3397.38"/>
        <n v="3746.61"/>
        <n v="4395.17"/>
        <n v="4993.8599999999997"/>
        <n v="219.39"/>
        <n v="1999.29"/>
        <n v="3442.38"/>
        <n v="2531.54"/>
        <n v="296.01"/>
        <n v="2115.17"/>
        <n v="1239.02"/>
        <n v="2339.8200000000002"/>
        <n v="1816.23"/>
        <n v="7257.52"/>
        <n v="5249.88"/>
        <n v="5267.61"/>
        <n v="281.5"/>
        <n v="509.03"/>
        <n v="217.13"/>
        <n v="1076.6500000000001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599999999997"/>
        <n v="7493.56"/>
        <n v="12104.66"/>
        <n v="2244.9699999999998"/>
        <n v="3380.03"/>
        <n v="5273.81"/>
        <n v="592.70000000000005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799999999998"/>
        <n v="741.59"/>
        <n v="7276.11"/>
        <n v="197.02"/>
        <n v="6770.2"/>
        <n v="687.6"/>
        <n v="2308.63"/>
        <n v="1624.54"/>
        <n v="471.17"/>
        <n v="2057.5100000000002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00000000009"/>
        <n v="1478.66"/>
        <n v="2752.57"/>
        <n v="1818.36"/>
        <n v="3270.06"/>
        <n v="2390.9299999999998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000000000005"/>
        <n v="4663.43"/>
        <n v="547.20000000000005"/>
        <n v="5073.6499999999996"/>
        <n v="3325.32"/>
        <n v="1692.77"/>
        <n v="1464.27"/>
        <n v="1716.27"/>
        <n v="2803.36"/>
        <n v="85.35"/>
        <n v="4700.4799999999996"/>
        <n v="4409.6000000000004"/>
        <n v="1054.94"/>
        <n v="6860"/>
        <n v="1061.1300000000001"/>
        <n v="1530.94"/>
        <n v="2780.27"/>
        <n v="3361.72"/>
        <n v="180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00000000004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00000000001"/>
        <n v="4373.34"/>
        <n v="3552.97"/>
        <n v="609.5499999999999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699999999998"/>
        <n v="9168.35"/>
        <n v="3357.87"/>
        <n v="3164.49"/>
        <n v="5697.95"/>
        <n v="707.79"/>
        <n v="4498.88"/>
        <n v="2040.87"/>
        <n v="3396.84"/>
        <n v="1737.83"/>
        <n v="441.01"/>
        <n v="444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00000000002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499999999999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2999999999995"/>
        <n v="3242.11"/>
        <n v="1009.27"/>
        <n v="218.75"/>
        <n v="2013.37"/>
        <n v="4494.6400000000003"/>
        <n v="8792.7000000000007"/>
        <n v="1877.95"/>
        <n v="4666.7700000000004"/>
        <n v="2177.8200000000002"/>
        <n v="2045.78"/>
        <n v="2402.9899999999998"/>
        <n v="2326.0300000000002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00000000002"/>
        <n v="7562.87"/>
        <n v="2755.27"/>
        <n v="517.26"/>
        <n v="1155.72"/>
        <n v="467.42"/>
        <n v="6023.38"/>
        <n v="6546.24"/>
        <n v="1905.54"/>
        <n v="1235.21"/>
        <n v="2319.77"/>
        <n v="4415.9399999999996"/>
        <n v="157.65"/>
        <n v="281.52999999999997"/>
        <n v="8812.3700000000008"/>
        <n v="976.12"/>
        <n v="680.32"/>
        <n v="1162.8399999999999"/>
        <n v="1070.67"/>
        <n v="1024.6400000000001"/>
        <m/>
      </sharedItems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/>
    </cacheField>
    <cacheField name="Discount Valid/Invalid" numFmtId="0">
      <sharedItems/>
    </cacheField>
    <cacheField name="Shipping Record Status" numFmtId="0">
      <sharedItems/>
    </cacheField>
    <cacheField name="cleaned_discount" numFmtId="0">
      <sharedItems containsSemiMixedTypes="0" containsString="0" containsNumber="1" minValue="-3.3637235747833034" maxValue="7.0711561435399943"/>
    </cacheField>
    <cacheField name="Calculated sales" numFmtId="0">
      <sharedItems containsSemiMixedTypes="0" containsString="0" containsNumber="1" minValue="0" maxValue="36782.271000000008"/>
    </cacheField>
    <cacheField name="calculate Profit " numFmtId="0">
      <sharedItems containsSemiMixedTypes="0" containsString="0" containsNumber="1" minValue="-23452.5635" maxValue="15225.999000000003"/>
    </cacheField>
    <cacheField name="Profit margin" numFmtId="0">
      <sharedItems containsSemiMixedTypes="0" containsString="0" containsNumber="1" minValue="-4.5764791949555343" maxValue="0.63731759836591895"/>
    </cacheField>
    <cacheField name="shipping_delay_days" numFmtId="0">
      <sharedItems containsMixedTypes="1" containsNumber="1" containsInteger="1" minValue="0" maxValue="297"/>
    </cacheField>
    <cacheField name="Order 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 Year" numFmtId="0">
      <sharedItems containsSemiMixedTypes="0" containsString="0" containsNumber="1" containsInteger="1" minValue="1900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x v="0"/>
    <n v="15841.89"/>
    <x v="0"/>
    <x v="0"/>
    <s v="Completed"/>
    <s v=""/>
    <s v=""/>
    <n v="0.84852144912701888"/>
    <n v="19049.28"/>
    <n v="3207.3899999999994"/>
    <n v="0.16837329284886357"/>
    <n v="6"/>
    <x v="0"/>
    <n v="2024"/>
    <s v="CLEAN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x v="1"/>
    <n v="4904.7299999999996"/>
    <x v="1"/>
    <x v="0"/>
    <s v="Completed"/>
    <s v=""/>
    <s v=""/>
    <n v="-1.0661353799231277"/>
    <n v="7312.5"/>
    <n v="2407.7700000000004"/>
    <n v="0.32926769230769237"/>
    <n v="5"/>
    <x v="1"/>
    <n v="2024"/>
    <s v="CLEAN"/>
  </r>
  <r>
    <s v="ORD-2024-10003"/>
    <d v="2024-08-06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x v="2"/>
    <n v="2465.69"/>
    <x v="2"/>
    <x v="0"/>
    <s v="Completed"/>
    <s v="Invalid Discount"/>
    <s v="Invalid Shipping Record"/>
    <n v="4.1991708999647752"/>
    <n v="1917.7739999999999"/>
    <n v="-547.91600000000017"/>
    <n v="-0.28570415492127865"/>
    <e v="#NUM!"/>
    <x v="1"/>
    <n v="2024"/>
    <s v="INVALID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x v="3"/>
    <n v="6796.77"/>
    <x v="3"/>
    <x v="0"/>
    <s v="Completed"/>
    <s v=""/>
    <s v=""/>
    <n v="1.3271856563895552"/>
    <n v="8317.9349999999995"/>
    <n v="1521.1649999999991"/>
    <n v="0.18287772145370204"/>
    <n v="1"/>
    <x v="2"/>
    <n v="2024"/>
    <s v="CLEAN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x v="4"/>
    <n v="17705.37"/>
    <x v="4"/>
    <x v="0"/>
    <s v="Cancelled"/>
    <s v=""/>
    <s v=""/>
    <n v="-1.0661353799231277"/>
    <n v="20816.32"/>
    <n v="3110.9500000000007"/>
    <n v="0.14944764492475138"/>
    <n v="3"/>
    <x v="1"/>
    <n v="2025"/>
    <s v="WARNING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x v="5"/>
    <n v="1533.58"/>
    <x v="5"/>
    <x v="0"/>
    <s v="Completed"/>
    <s v=""/>
    <s v=""/>
    <n v="0.84852144912701888"/>
    <n v="2527.4639999999999"/>
    <n v="993.88400000000001"/>
    <n v="0.39323369195367375"/>
    <n v="4"/>
    <x v="3"/>
    <n v="2024"/>
    <s v="CLEAN"/>
  </r>
  <r>
    <s v="ORD-2025-10007"/>
    <d v="2025-10-04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x v="6"/>
    <n v="4727.25"/>
    <x v="6"/>
    <x v="0"/>
    <s v="Completed"/>
    <s v=""/>
    <s v="Invalid Shipping Record"/>
    <n v="0.3698572418644821"/>
    <n v="5847.5579999999991"/>
    <n v="1120.3079999999991"/>
    <n v="0.19158561573908275"/>
    <e v="#NUM!"/>
    <x v="4"/>
    <n v="2025"/>
    <s v="INVALID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x v="7"/>
    <n v="2357.2199999999998"/>
    <x v="7"/>
    <x v="0"/>
    <s v="Completed"/>
    <s v=""/>
    <s v=""/>
    <n v="-1.0661353799231277"/>
    <n v="2980.71"/>
    <n v="623.49000000000024"/>
    <n v="0.20917499521925992"/>
    <n v="3"/>
    <x v="5"/>
    <n v="2025"/>
    <s v="CLEAN"/>
  </r>
  <r>
    <s v="ORD-2024-10009"/>
    <d v="2024-05-11T00:00:00"/>
    <d v="2024-10-11T00:00:00"/>
    <s v="CUST-2598"/>
    <s v="Aditi Sen"/>
    <x v="2"/>
    <x v="2"/>
    <s v="Telangana"/>
    <s v="Hyderabad"/>
    <x v="0"/>
    <x v="7"/>
    <s v="Classic Labels 815"/>
    <x v="2"/>
    <n v="8"/>
    <n v="3134.2"/>
    <n v="0"/>
    <x v="8"/>
    <n v="17347.23"/>
    <x v="8"/>
    <x v="0"/>
    <s v="Completed"/>
    <s v=""/>
    <s v=""/>
    <n v="-1.0661353799231277"/>
    <n v="25073.599999999999"/>
    <n v="7726.369999999999"/>
    <n v="0.30814761342607361"/>
    <n v="153"/>
    <x v="3"/>
    <n v="2024"/>
    <s v="CLEAN"/>
  </r>
  <r>
    <s v="ORD-2025-10010"/>
    <d v="2025-09-07T00:00:00"/>
    <d v="2025-12-09T00:00:00"/>
    <s v="CUST-2483"/>
    <s v="Mira Das"/>
    <x v="3"/>
    <x v="2"/>
    <s v="Telangana"/>
    <s v="Hyderabad"/>
    <x v="0"/>
    <x v="0"/>
    <s v="Pro Paper 622"/>
    <x v="0"/>
    <n v="9"/>
    <n v="852.04"/>
    <n v="0.2"/>
    <x v="9"/>
    <n v="3800.19"/>
    <x v="9"/>
    <x v="0"/>
    <s v="Completed"/>
    <s v=""/>
    <s v=""/>
    <n v="0.84852144912701888"/>
    <n v="6134.6880000000001"/>
    <n v="2334.498"/>
    <n v="0.38054062407085737"/>
    <n v="93"/>
    <x v="6"/>
    <n v="2025"/>
    <s v="CLEAN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x v="10"/>
    <n v="6048.27"/>
    <x v="10"/>
    <x v="1"/>
    <s v="Returned"/>
    <s v=""/>
    <s v=""/>
    <n v="-0.58747117266059101"/>
    <n v="10074.2655"/>
    <n v="4025.9954999999991"/>
    <n v="0.39963166545491574"/>
    <n v="0"/>
    <x v="3"/>
    <n v="2025"/>
    <s v="CLEAN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x v="11"/>
    <n v="8038.59"/>
    <x v="11"/>
    <x v="0"/>
    <s v="Completed"/>
    <s v=""/>
    <s v=""/>
    <n v="0.84852144912701888"/>
    <n v="9628.5600000000013"/>
    <n v="1589.9700000000012"/>
    <n v="0.16513061143099289"/>
    <n v="1"/>
    <x v="0"/>
    <n v="2024"/>
    <s v="CLEAN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x v="12"/>
    <n v="380.25"/>
    <x v="12"/>
    <x v="2"/>
    <s v="Returned"/>
    <s v=""/>
    <s v=""/>
    <n v="0.3698572418644821"/>
    <n v="596.81899999999996"/>
    <n v="216.56899999999996"/>
    <n v="0.36287216057129545"/>
    <n v="1"/>
    <x v="7"/>
    <n v="2024"/>
    <s v="CLEAN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x v="13"/>
    <n v="22306.240000000002"/>
    <x v="13"/>
    <x v="0"/>
    <s v="Completed"/>
    <s v=""/>
    <s v=""/>
    <n v="-0.58747117266059101"/>
    <n v="26365.387999999995"/>
    <n v="4059.1479999999938"/>
    <n v="0.15395745361304733"/>
    <n v="4"/>
    <x v="4"/>
    <n v="2025"/>
    <s v="CLEAN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x v="14"/>
    <n v="2666.3"/>
    <x v="14"/>
    <x v="0"/>
    <s v="Completed"/>
    <s v=""/>
    <s v=""/>
    <n v="1.3271856563895552"/>
    <n v="4106.7449999999999"/>
    <n v="1440.4449999999997"/>
    <n v="0.35075102057712365"/>
    <n v="1"/>
    <x v="7"/>
    <n v="2024"/>
    <s v="CLEAN"/>
  </r>
  <r>
    <s v="ORD-2024-10016"/>
    <d v="2024-09-07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x v="15"/>
    <n v="15698.47"/>
    <x v="15"/>
    <x v="0"/>
    <s v="Completed"/>
    <s v=""/>
    <s v="Invalid Shipping Record"/>
    <n v="-1.0661353799231277"/>
    <n v="23794.560000000001"/>
    <n v="8096.090000000002"/>
    <n v="0.34024962008122872"/>
    <e v="#NUM!"/>
    <x v="6"/>
    <n v="2024"/>
    <s v="INVALID"/>
  </r>
  <r>
    <s v="ORD-2024-10017"/>
    <d v="2024-08-05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x v="16"/>
    <n v="5668.17"/>
    <x v="16"/>
    <x v="0"/>
    <s v="Completed"/>
    <s v=""/>
    <s v="Invalid Shipping Record"/>
    <n v="1.3271856563895552"/>
    <n v="9970.5300000000007"/>
    <n v="4302.3600000000006"/>
    <n v="0.43150765305354882"/>
    <e v="#NUM!"/>
    <x v="1"/>
    <n v="2024"/>
    <s v="INVALID"/>
  </r>
  <r>
    <s v="ORD-2024-10018"/>
    <d v="2024-07-01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x v="17"/>
    <n v="4706.91"/>
    <x v="17"/>
    <x v="0"/>
    <s v="Completed"/>
    <s v=""/>
    <s v="Invalid Shipping Record"/>
    <n v="-1.0661353799231277"/>
    <n v="7633.9"/>
    <n v="2926.99"/>
    <n v="0.38342000812166782"/>
    <e v="#NUM!"/>
    <x v="0"/>
    <n v="2024"/>
    <s v="INVALID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x v="18"/>
    <n v="2633.2"/>
    <x v="18"/>
    <x v="1"/>
    <s v="Cancelled"/>
    <s v=""/>
    <s v=""/>
    <n v="-1.0661353799231277"/>
    <n v="3995.98"/>
    <n v="1362.7800000000002"/>
    <n v="0.34103774293164635"/>
    <n v="2"/>
    <x v="0"/>
    <n v="2025"/>
    <s v="WARNING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x v="19"/>
    <n v="7529.31"/>
    <x v="19"/>
    <x v="0"/>
    <s v="Completed"/>
    <s v="Invalid Discount"/>
    <s v=""/>
    <n v="-2.8850593675207667"/>
    <n v="13879.9458"/>
    <n v="6350.6357999999991"/>
    <n v="0.45754038895454474"/>
    <n v="4"/>
    <x v="0"/>
    <n v="2024"/>
    <s v="INVALID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x v="20"/>
    <n v="9556.52"/>
    <x v="20"/>
    <x v="0"/>
    <s v="Completed"/>
    <s v=""/>
    <s v=""/>
    <n v="1.3271856563895552"/>
    <n v="16398.975000000002"/>
    <n v="6842.4550000000017"/>
    <n v="0.4172489439126531"/>
    <n v="2"/>
    <x v="8"/>
    <n v="2025"/>
    <s v="CLEAN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x v="21"/>
    <n v="2037.71"/>
    <x v="21"/>
    <x v="0"/>
    <s v="Completed"/>
    <s v="Invalid Discount"/>
    <s v=""/>
    <n v="-3.2679907333307958"/>
    <n v="3432.6348000000003"/>
    <n v="1394.9248000000002"/>
    <n v="0.40637145553613807"/>
    <n v="6"/>
    <x v="8"/>
    <n v="2025"/>
    <s v="INVALID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x v="22"/>
    <n v="6685.03"/>
    <x v="22"/>
    <x v="3"/>
    <s v="Returned"/>
    <s v=""/>
    <s v=""/>
    <n v="0.3698572418644821"/>
    <n v="8291.5119999999988"/>
    <n v="1606.4819999999991"/>
    <n v="0.19375018693816029"/>
    <n v="2"/>
    <x v="8"/>
    <n v="2025"/>
    <s v="CLEAN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x v="23"/>
    <n v="4321.8599999999997"/>
    <x v="23"/>
    <x v="0"/>
    <s v="Completed"/>
    <s v=""/>
    <s v=""/>
    <n v="0.84852144912701888"/>
    <n v="6265.6320000000005"/>
    <n v="1943.7720000000008"/>
    <n v="0.31022760353624351"/>
    <n v="2"/>
    <x v="1"/>
    <n v="2025"/>
    <s v="CLEAN"/>
  </r>
  <r>
    <s v="ORD-2024-10025"/>
    <d v="2024-03-04T00:00:00"/>
    <d v="2024-01-03T00:00:00"/>
    <s v="CUST-1747"/>
    <s v="Diya Patel"/>
    <x v="0"/>
    <x v="0"/>
    <s v="Punjab"/>
    <s v="Ludhiana"/>
    <x v="0"/>
    <x v="2"/>
    <s v="Max Art 215"/>
    <x v="3"/>
    <n v="4"/>
    <n v="4492.9399999999996"/>
    <n v="0.25"/>
    <x v="24"/>
    <n v="10937.35"/>
    <x v="24"/>
    <x v="2"/>
    <s v="Cancelled"/>
    <s v=""/>
    <s v="Invalid Shipping Record"/>
    <n v="1.3271856563895552"/>
    <n v="13478.82"/>
    <n v="2541.4699999999993"/>
    <n v="0.18855285551702591"/>
    <e v="#NUM!"/>
    <x v="9"/>
    <n v="2024"/>
    <s v="INVALID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x v="25"/>
    <n v="4968.41"/>
    <x v="25"/>
    <x v="0"/>
    <s v="Completed"/>
    <s v=""/>
    <s v=""/>
    <n v="0.3698572418644821"/>
    <n v="7335.8399999999992"/>
    <n v="2367.4299999999994"/>
    <n v="0.32272105171323251"/>
    <n v="8"/>
    <x v="4"/>
    <n v="2024"/>
    <s v="CLEAN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x v="26"/>
    <n v="1527.55"/>
    <x v="26"/>
    <x v="0"/>
    <s v="Returned"/>
    <s v=""/>
    <s v=""/>
    <n v="-0.10880696539805437"/>
    <n v="2578.0680000000002"/>
    <n v="1050.5180000000003"/>
    <n v="0.40748265755596835"/>
    <n v="0"/>
    <x v="2"/>
    <n v="2024"/>
    <s v="CLEAN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x v="27"/>
    <n v="4710.3599999999997"/>
    <x v="27"/>
    <x v="3"/>
    <s v="Returned"/>
    <s v=""/>
    <s v=""/>
    <n v="1.3271856563895552"/>
    <n v="6774.4124999999995"/>
    <n v="2064.0524999999998"/>
    <n v="0.30468361647596748"/>
    <n v="6"/>
    <x v="6"/>
    <n v="2025"/>
    <s v="CLEAN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x v="28"/>
    <n v="2122.33"/>
    <x v="28"/>
    <x v="1"/>
    <s v="Cancelled"/>
    <s v=""/>
    <s v=""/>
    <n v="1.3271856563895552"/>
    <n v="2913.33"/>
    <n v="791"/>
    <n v="0.27151060813570727"/>
    <n v="7"/>
    <x v="4"/>
    <n v="2024"/>
    <s v="WARNING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x v="29"/>
    <n v="119.77"/>
    <x v="29"/>
    <x v="0"/>
    <s v="Completed"/>
    <s v=""/>
    <s v=""/>
    <n v="0.3698572418644821"/>
    <n v="217.60849999999999"/>
    <n v="97.838499999999996"/>
    <n v="0.44960789675035673"/>
    <n v="0"/>
    <x v="1"/>
    <n v="2025"/>
    <s v="CLEAN"/>
  </r>
  <r>
    <s v="ORD-2024-10031"/>
    <d v="2024-02-09T00:00:00"/>
    <d v="2024-12-02T00:00:00"/>
    <s v="CUST-8759"/>
    <s v="Ananya Rao"/>
    <x v="2"/>
    <x v="3"/>
    <s v="Goa"/>
    <s v="Panaji"/>
    <x v="0"/>
    <x v="7"/>
    <s v="Pro Labels 355"/>
    <x v="2"/>
    <n v="1"/>
    <n v="3421.77"/>
    <n v="0.1"/>
    <x v="30"/>
    <n v="2001.89"/>
    <x v="30"/>
    <x v="0"/>
    <s v="Completed"/>
    <s v=""/>
    <s v=""/>
    <n v="-0.10880696539805437"/>
    <n v="3079.5929999999998"/>
    <n v="1077.7029999999997"/>
    <n v="0.34994981479695525"/>
    <n v="297"/>
    <x v="5"/>
    <n v="2024"/>
    <s v="CLEAN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x v="31"/>
    <n v="17769.75"/>
    <x v="31"/>
    <x v="3"/>
    <s v="Returned"/>
    <s v=""/>
    <s v=""/>
    <n v="-1.0661353799231277"/>
    <n v="27832.95"/>
    <n v="10063.200000000001"/>
    <n v="0.36155707533696574"/>
    <n v="4"/>
    <x v="10"/>
    <n v="2025"/>
    <s v="CLEAN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x v="32"/>
    <n v="7529.92"/>
    <x v="32"/>
    <x v="0"/>
    <s v="Completed"/>
    <s v=""/>
    <s v=""/>
    <n v="-1.0661353799231277"/>
    <n v="12003.75"/>
    <n v="4473.83"/>
    <n v="0.37270269707383108"/>
    <n v="4"/>
    <x v="2"/>
    <n v="2024"/>
    <s v="CLEAN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x v="33"/>
    <n v="2070.73"/>
    <x v="33"/>
    <x v="0"/>
    <s v="Completed"/>
    <s v=""/>
    <s v=""/>
    <n v="1.3271856563895552"/>
    <n v="2585.1525000000001"/>
    <n v="514.42250000000013"/>
    <n v="0.19899116203009304"/>
    <n v="5"/>
    <x v="0"/>
    <n v="2024"/>
    <s v="CLEAN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x v="34"/>
    <n v="4340.21"/>
    <x v="34"/>
    <x v="0"/>
    <s v="Completed"/>
    <s v=""/>
    <s v=""/>
    <n v="0.84852144912701888"/>
    <n v="6655.5039999999999"/>
    <n v="2315.2939999999999"/>
    <n v="0.34787658455317583"/>
    <n v="5"/>
    <x v="8"/>
    <n v="2025"/>
    <s v="CLEAN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x v="35"/>
    <n v="15313.83"/>
    <x v="35"/>
    <x v="2"/>
    <s v="Returned"/>
    <s v=""/>
    <s v=""/>
    <n v="-0.58747117266059101"/>
    <n v="19054.111999999997"/>
    <n v="3740.2819999999974"/>
    <n v="0.19629789097492437"/>
    <n v="0"/>
    <x v="3"/>
    <n v="2024"/>
    <s v="CLEAN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x v="36"/>
    <n v="6670.85"/>
    <x v="36"/>
    <x v="0"/>
    <s v="Returned"/>
    <s v=""/>
    <s v=""/>
    <n v="-1.0661353799231277"/>
    <n v="9379.41"/>
    <n v="2708.5599999999995"/>
    <n v="0.28877722585962223"/>
    <n v="3"/>
    <x v="4"/>
    <n v="2024"/>
    <s v="CLEAN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x v="37"/>
    <n v="3321.09"/>
    <x v="37"/>
    <x v="0"/>
    <s v="Completed"/>
    <s v=""/>
    <s v=""/>
    <n v="0.84852144912701888"/>
    <n v="4248.1279999999997"/>
    <n v="927.03799999999956"/>
    <n v="0.21822270892025844"/>
    <n v="0"/>
    <x v="0"/>
    <n v="2025"/>
    <s v="CLEAN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x v="38"/>
    <n v="10504.87"/>
    <x v="38"/>
    <x v="0"/>
    <s v="Completed"/>
    <s v=""/>
    <s v=""/>
    <n v="-0.10880696539805437"/>
    <n v="13927.284"/>
    <n v="3422.4139999999989"/>
    <n v="0.24573448778670692"/>
    <n v="5"/>
    <x v="10"/>
    <n v="2024"/>
    <s v="CLEAN"/>
  </r>
  <r>
    <s v="ORD-2024-10040"/>
    <d v="2024-11-12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x v="39"/>
    <n v="3374.77"/>
    <x v="39"/>
    <x v="2"/>
    <s v="Returned"/>
    <s v=""/>
    <s v=""/>
    <n v="-0.10880696539805437"/>
    <n v="4935.3120000000008"/>
    <n v="1560.5420000000008"/>
    <n v="0.31619925954022776"/>
    <n v="29"/>
    <x v="2"/>
    <n v="2024"/>
    <s v="CLEAN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x v="40"/>
    <n v="11990.37"/>
    <x v="40"/>
    <x v="0"/>
    <s v="Completed"/>
    <s v=""/>
    <s v=""/>
    <n v="0.84852144912701888"/>
    <n v="14051.912"/>
    <n v="2061.5419999999995"/>
    <n v="0.14670900301681361"/>
    <n v="6"/>
    <x v="4"/>
    <n v="2024"/>
    <s v="CLEAN"/>
  </r>
  <r>
    <s v="ORD-2024-10042"/>
    <d v="2024-12-03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x v="41"/>
    <n v="4239.8900000000003"/>
    <x v="41"/>
    <x v="2"/>
    <s v="Cancelled"/>
    <s v=""/>
    <s v="Invalid Shipping Record"/>
    <n v="-1.0661353799231277"/>
    <n v="6846.48"/>
    <n v="2606.5899999999992"/>
    <n v="0.38071972750961069"/>
    <e v="#NUM!"/>
    <x v="7"/>
    <n v="2024"/>
    <s v="INVALID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x v="42"/>
    <n v="4496.22"/>
    <x v="42"/>
    <x v="0"/>
    <s v="Completed"/>
    <s v=""/>
    <s v=""/>
    <n v="-0.58747117266059101"/>
    <n v="7447.0119999999997"/>
    <n v="2950.7919999999995"/>
    <n v="0.39623838393170302"/>
    <n v="5"/>
    <x v="4"/>
    <n v="2025"/>
    <s v="CLEAN"/>
  </r>
  <r>
    <s v="ORD-2024-10044"/>
    <d v="2024-08-07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x v="43"/>
    <n v="1721.08"/>
    <x v="43"/>
    <x v="0"/>
    <s v="Completed"/>
    <s v=""/>
    <s v="Invalid Shipping Record"/>
    <n v="-1.0661353799231277"/>
    <n v="3030.69"/>
    <n v="1309.6100000000001"/>
    <n v="0.43211611877163292"/>
    <e v="#NUM!"/>
    <x v="1"/>
    <n v="2024"/>
    <s v="INVALID"/>
  </r>
  <r>
    <s v="ORD-2024-10045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x v="44"/>
    <n v="17376.2"/>
    <x v="44"/>
    <x v="0"/>
    <s v="Completed"/>
    <s v=""/>
    <s v=""/>
    <n v="-0.10880696539805437"/>
    <n v="26971.137000000002"/>
    <n v="9594.9370000000017"/>
    <n v="0.35574833200394929"/>
    <n v="3"/>
    <x v="10"/>
    <n v="2024"/>
    <s v="CLEAN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x v="45"/>
    <n v="17487.48"/>
    <x v="45"/>
    <x v="2"/>
    <s v="Returned"/>
    <s v=""/>
    <s v=""/>
    <n v="-0.58747117266059101"/>
    <n v="29851.432000000001"/>
    <n v="12363.952000000001"/>
    <n v="0.41418287739094062"/>
    <n v="6"/>
    <x v="8"/>
    <n v="2024"/>
    <s v="CLEAN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x v="46"/>
    <n v="10680.03"/>
    <x v="46"/>
    <x v="1"/>
    <s v="Returned"/>
    <s v=""/>
    <s v=""/>
    <n v="1.3271856563895552"/>
    <n v="16110.8325"/>
    <n v="5430.8024999999998"/>
    <n v="0.33709012243780695"/>
    <n v="0"/>
    <x v="0"/>
    <n v="2024"/>
    <s v="CLEAN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x v="47"/>
    <n v="12438.96"/>
    <x v="47"/>
    <x v="0"/>
    <s v="Completed"/>
    <s v=""/>
    <s v=""/>
    <n v="-0.10880696539805437"/>
    <n v="17606.232"/>
    <n v="5167.2720000000008"/>
    <n v="0.29349107747756592"/>
    <n v="0"/>
    <x v="1"/>
    <n v="2024"/>
    <s v="CLEAN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x v="48"/>
    <n v="20938.59"/>
    <x v="48"/>
    <x v="0"/>
    <s v="Completed"/>
    <s v=""/>
    <s v=""/>
    <n v="-1.0661353799231277"/>
    <n v="28445.62"/>
    <n v="7507.0299999999988"/>
    <n v="0.26390811660986818"/>
    <n v="6"/>
    <x v="8"/>
    <n v="2025"/>
    <s v="CLEAN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x v="49"/>
    <n v="5755.46"/>
    <x v="49"/>
    <x v="0"/>
    <s v="Completed"/>
    <s v=""/>
    <s v=""/>
    <n v="-0.58747117266059101"/>
    <n v="6772.5404999999992"/>
    <n v="1017.0804999999991"/>
    <n v="0.15017710119267641"/>
    <n v="7"/>
    <x v="11"/>
    <n v="2024"/>
    <s v="CLEAN"/>
  </r>
  <r>
    <s v="ORD-2025-10051"/>
    <d v="2025-11-05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x v="50"/>
    <n v="1140.6500000000001"/>
    <x v="50"/>
    <x v="0"/>
    <s v="Completed"/>
    <s v=""/>
    <s v="Invalid Shipping Record"/>
    <n v="0.3698572418644821"/>
    <n v="2025.38"/>
    <n v="884.73"/>
    <n v="0.43682173221815163"/>
    <e v="#NUM!"/>
    <x v="2"/>
    <n v="2025"/>
    <s v="INVALID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x v="51"/>
    <n v="7439.77"/>
    <x v="51"/>
    <x v="0"/>
    <s v="Completed"/>
    <s v=""/>
    <s v=""/>
    <n v="-1.0661353799231277"/>
    <n v="9168.48"/>
    <n v="1728.7099999999991"/>
    <n v="0.18854924698532355"/>
    <n v="5"/>
    <x v="11"/>
    <n v="2024"/>
    <s v="CLEAN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x v="52"/>
    <n v="10603.29"/>
    <x v="52"/>
    <x v="3"/>
    <s v="Cancelled"/>
    <s v=""/>
    <s v=""/>
    <n v="-1.0661353799231277"/>
    <n v="12596.670000000002"/>
    <n v="1993.380000000001"/>
    <n v="0.15824658421630483"/>
    <n v="2"/>
    <x v="4"/>
    <n v="2024"/>
    <s v="WARNING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x v="53"/>
    <n v="2838.68"/>
    <x v="53"/>
    <x v="0"/>
    <s v="Completed"/>
    <s v=""/>
    <s v=""/>
    <n v="0.3698572418644821"/>
    <n v="5131.7475000000004"/>
    <n v="2293.0675000000006"/>
    <n v="0.44683950252813498"/>
    <n v="0"/>
    <x v="9"/>
    <n v="2025"/>
    <s v="CLEAN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x v="54"/>
    <n v="1993.23"/>
    <x v="54"/>
    <x v="3"/>
    <s v="Cancelled"/>
    <s v=""/>
    <s v=""/>
    <n v="-0.10880696539805437"/>
    <n v="3415.4639999999999"/>
    <n v="1422.2339999999999"/>
    <n v="0.4164101861416194"/>
    <n v="3"/>
    <x v="3"/>
    <n v="2025"/>
    <s v="WARNING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x v="55"/>
    <n v="2803.13"/>
    <x v="55"/>
    <x v="0"/>
    <s v="Completed"/>
    <s v=""/>
    <s v=""/>
    <n v="1.3271856563895552"/>
    <n v="3411.54"/>
    <n v="608.40999999999985"/>
    <n v="0.17833881472883209"/>
    <n v="2"/>
    <x v="0"/>
    <n v="2025"/>
    <s v="CLEAN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x v="56"/>
    <n v="6557.83"/>
    <x v="56"/>
    <x v="1"/>
    <s v="Cancelled"/>
    <s v=""/>
    <s v=""/>
    <n v="-1.0661353799231277"/>
    <n v="9466.83"/>
    <n v="2909"/>
    <n v="0.30728343067320318"/>
    <n v="1"/>
    <x v="8"/>
    <n v="2025"/>
    <s v="WARNING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x v="57"/>
    <n v="1091.54"/>
    <x v="57"/>
    <x v="0"/>
    <s v="Completed"/>
    <s v=""/>
    <s v=""/>
    <n v="-1.0661353799231277"/>
    <n v="1279.3499999999999"/>
    <n v="187.80999999999995"/>
    <n v="0.14680110993864068"/>
    <n v="8"/>
    <x v="5"/>
    <n v="2024"/>
    <s v="CLEAN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x v="58"/>
    <n v="6578.06"/>
    <x v="58"/>
    <x v="2"/>
    <s v="Returned"/>
    <s v=""/>
    <s v=""/>
    <n v="-0.10880696539805437"/>
    <n v="11254.788"/>
    <n v="4676.7280000000001"/>
    <n v="0.41553230500654476"/>
    <n v="6"/>
    <x v="6"/>
    <n v="2024"/>
    <s v="CLEAN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x v="59"/>
    <n v="12990.21"/>
    <x v="59"/>
    <x v="0"/>
    <s v="Cancelled"/>
    <s v=""/>
    <s v=""/>
    <n v="0.84852144912701888"/>
    <n v="16535.400000000001"/>
    <n v="3545.1900000000023"/>
    <n v="0.21440001451431487"/>
    <n v="5"/>
    <x v="0"/>
    <n v="2024"/>
    <s v="WARNING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x v="60"/>
    <n v="481.47"/>
    <x v="60"/>
    <x v="1"/>
    <s v="Cancelled"/>
    <s v=""/>
    <s v=""/>
    <n v="0.84852144912701888"/>
    <n v="661.82400000000007"/>
    <n v="180.35400000000004"/>
    <n v="0.27251051639106472"/>
    <n v="6"/>
    <x v="0"/>
    <n v="2024"/>
    <s v="WARNING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x v="61"/>
    <n v="751.25"/>
    <x v="61"/>
    <x v="0"/>
    <s v="Completed"/>
    <s v=""/>
    <s v=""/>
    <n v="-1.0661353799231277"/>
    <n v="949.59"/>
    <n v="198.34000000000003"/>
    <n v="0.20886909087079689"/>
    <n v="0"/>
    <x v="11"/>
    <n v="2024"/>
    <s v="CLEAN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x v="62"/>
    <n v="13570.55"/>
    <x v="62"/>
    <x v="0"/>
    <s v="Completed"/>
    <s v=""/>
    <s v=""/>
    <n v="0.84852144912701888"/>
    <n v="21904.488000000001"/>
    <n v="8333.9380000000019"/>
    <n v="0.38046714445003244"/>
    <n v="3"/>
    <x v="4"/>
    <n v="2024"/>
    <s v="CLEAN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x v="63"/>
    <n v="3027.75"/>
    <x v="63"/>
    <x v="0"/>
    <s v="Completed"/>
    <s v=""/>
    <s v=""/>
    <n v="0.3698572418644821"/>
    <n v="4815.7089999999998"/>
    <n v="1787.9589999999998"/>
    <n v="0.37127637903369992"/>
    <n v="7"/>
    <x v="8"/>
    <n v="2024"/>
    <s v="CLEAN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x v="64"/>
    <n v="2367.63"/>
    <x v="64"/>
    <x v="1"/>
    <s v="Returned"/>
    <s v=""/>
    <s v=""/>
    <n v="-1.0661353799231277"/>
    <n v="3134.8799999999997"/>
    <n v="767.24999999999955"/>
    <n v="0.24474621038125849"/>
    <n v="6"/>
    <x v="7"/>
    <n v="2024"/>
    <s v="CLEAN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x v="65"/>
    <n v="2628.92"/>
    <x v="65"/>
    <x v="0"/>
    <s v="Completed"/>
    <s v=""/>
    <s v=""/>
    <n v="-0.58747117266059101"/>
    <n v="4066.1804999999995"/>
    <n v="1437.2604999999994"/>
    <n v="0.35346696980126674"/>
    <n v="5"/>
    <x v="11"/>
    <n v="2024"/>
    <s v="CLEAN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x v="66"/>
    <n v="4610.34"/>
    <x v="66"/>
    <x v="0"/>
    <s v="Completed"/>
    <s v=""/>
    <s v=""/>
    <n v="-0.58747117266059101"/>
    <n v="7032.1089999999995"/>
    <n v="2421.7689999999993"/>
    <n v="0.34438729547565311"/>
    <n v="4"/>
    <x v="1"/>
    <n v="2025"/>
    <s v="CLEAN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x v="67"/>
    <n v="18707.57"/>
    <x v="67"/>
    <x v="0"/>
    <s v="Completed"/>
    <s v=""/>
    <s v=""/>
    <n v="-0.58747117266059101"/>
    <n v="24002.111000000001"/>
    <n v="5294.5410000000011"/>
    <n v="0.2205864725815159"/>
    <n v="4"/>
    <x v="5"/>
    <n v="2025"/>
    <s v="CLEAN"/>
  </r>
  <r>
    <s v="ORD-2024-10069"/>
    <d v="2024-10-11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x v="68"/>
    <n v="10962.66"/>
    <x v="68"/>
    <x v="3"/>
    <s v="Returned"/>
    <s v=""/>
    <s v=""/>
    <n v="-1.0661353799231277"/>
    <n v="19900.079999999998"/>
    <n v="8937.4199999999983"/>
    <n v="0.44911477742803041"/>
    <n v="33"/>
    <x v="4"/>
    <n v="2024"/>
    <s v="CLEAN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x v="69"/>
    <n v="18287.580000000002"/>
    <x v="69"/>
    <x v="1"/>
    <s v="Returned"/>
    <s v=""/>
    <s v=""/>
    <n v="-0.10880696539805437"/>
    <n v="21527.667000000001"/>
    <n v="3240.0869999999995"/>
    <n v="0.15050804158202555"/>
    <n v="5"/>
    <x v="11"/>
    <n v="2024"/>
    <s v="CLEAN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x v="70"/>
    <n v="1070.2"/>
    <x v="70"/>
    <x v="0"/>
    <s v="Completed"/>
    <s v=""/>
    <s v=""/>
    <n v="0.3698572418644821"/>
    <n v="1539.979"/>
    <n v="469.779"/>
    <n v="0.30505545854846072"/>
    <n v="5"/>
    <x v="1"/>
    <n v="2025"/>
    <s v="CLEAN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x v="71"/>
    <n v="6447.36"/>
    <x v="71"/>
    <x v="0"/>
    <s v="Completed"/>
    <s v=""/>
    <s v=""/>
    <n v="-0.10880696539805437"/>
    <n v="10947.528"/>
    <n v="4500.1680000000006"/>
    <n v="0.41106704636882413"/>
    <n v="7"/>
    <x v="11"/>
    <n v="2025"/>
    <s v="CLEAN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x v="72"/>
    <n v="10039.049999999999"/>
    <x v="72"/>
    <x v="0"/>
    <s v="Completed"/>
    <s v=""/>
    <s v="Invalid Shipping Record"/>
    <n v="0.3698572418644821"/>
    <n v="13610.446499999998"/>
    <n v="3571.3964999999989"/>
    <n v="0.26240112695788487"/>
    <e v="#NUM!"/>
    <x v="5"/>
    <n v="2024"/>
    <s v="INVALID"/>
  </r>
  <r>
    <s v="ORD-2025-10074"/>
    <d v="2025-03-29T00:00:00"/>
    <d v="2025-03-04T00:00:00"/>
    <s v="CUST-2342"/>
    <s v="Sneha Kapoor"/>
    <x v="2"/>
    <x v="1"/>
    <s v="West Bengal"/>
    <s v="Kolkata"/>
    <x v="1"/>
    <x v="10"/>
    <s v="Smart Bookcases 167"/>
    <x v="2"/>
    <n v="5"/>
    <n v="1425.74"/>
    <n v="0"/>
    <x v="73"/>
    <n v="4382.1499999999996"/>
    <x v="73"/>
    <x v="0"/>
    <s v="Completed"/>
    <s v=""/>
    <s v="Invalid Shipping Record"/>
    <n v="-1.0661353799231277"/>
    <n v="7128.7"/>
    <n v="2746.55"/>
    <n v="0.38528062620113068"/>
    <e v="#NUM!"/>
    <x v="9"/>
    <n v="2025"/>
    <s v="INVALID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x v="74"/>
    <n v="2671.08"/>
    <x v="74"/>
    <x v="0"/>
    <s v="Completed"/>
    <s v=""/>
    <s v=""/>
    <n v="-1.0661353799231277"/>
    <n v="3309.84"/>
    <n v="638.76000000000022"/>
    <n v="0.19298818069755644"/>
    <n v="2"/>
    <x v="5"/>
    <n v="2025"/>
    <s v="CLEAN"/>
  </r>
  <r>
    <s v="ORD-2025-10076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x v="75"/>
    <n v="5391.18"/>
    <x v="75"/>
    <x v="0"/>
    <s v="Completed"/>
    <s v=""/>
    <s v=""/>
    <n v="0.84852144912701888"/>
    <n v="7907.5680000000011"/>
    <n v="2516.3880000000008"/>
    <n v="0.31822527482533197"/>
    <n v="5"/>
    <x v="1"/>
    <n v="2025"/>
    <s v="CLEAN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x v="76"/>
    <n v="7616.97"/>
    <x v="76"/>
    <x v="0"/>
    <s v="Completed"/>
    <s v=""/>
    <s v=""/>
    <n v="-1.0661353799231277"/>
    <n v="10218.81"/>
    <n v="2601.8399999999992"/>
    <n v="0.2546128169522674"/>
    <n v="8"/>
    <x v="2"/>
    <n v="2024"/>
    <s v="CLEAN"/>
  </r>
  <r>
    <s v="ORD-2025-10078"/>
    <d v="2025-08-07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x v="77"/>
    <n v="1223.17"/>
    <x v="77"/>
    <x v="1"/>
    <s v="Cancelled"/>
    <s v=""/>
    <s v="Invalid Shipping Record"/>
    <n v="0.3698572418644821"/>
    <n v="2194.87"/>
    <n v="971.69999999999982"/>
    <n v="0.44271414707932583"/>
    <e v="#NUM!"/>
    <x v="1"/>
    <n v="2025"/>
    <s v="INVALID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x v="78"/>
    <n v="6778.85"/>
    <x v="78"/>
    <x v="0"/>
    <s v="Completed"/>
    <s v=""/>
    <s v=""/>
    <n v="0.3698572418644821"/>
    <n v="9050.4175000000014"/>
    <n v="2271.567500000001"/>
    <n v="0.25099035486484472"/>
    <n v="5"/>
    <x v="0"/>
    <n v="2025"/>
    <s v="CLEAN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x v="79"/>
    <n v="24781.26"/>
    <x v="79"/>
    <x v="0"/>
    <s v="Completed"/>
    <s v=""/>
    <s v=""/>
    <n v="-0.10880696539805437"/>
    <n v="33465.312000000005"/>
    <n v="8684.052000000007"/>
    <n v="0.25949412932411942"/>
    <n v="6"/>
    <x v="6"/>
    <n v="2025"/>
    <s v="CLEAN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x v="80"/>
    <n v="2495.33"/>
    <x v="80"/>
    <x v="2"/>
    <s v="Returned"/>
    <s v=""/>
    <s v=""/>
    <n v="-0.10880696539805437"/>
    <n v="4256.3519999999999"/>
    <n v="1761.0219999999999"/>
    <n v="0.41373974708858663"/>
    <n v="4"/>
    <x v="1"/>
    <n v="2024"/>
    <s v="CLEAN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x v="81"/>
    <n v="3093.42"/>
    <x v="81"/>
    <x v="0"/>
    <s v="Completed"/>
    <s v=""/>
    <s v=""/>
    <n v="-1.0661353799231277"/>
    <n v="5525.7300000000005"/>
    <n v="2432.3100000000004"/>
    <n v="0.44017894468242208"/>
    <n v="1"/>
    <x v="9"/>
    <n v="2025"/>
    <s v="CLEAN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x v="82"/>
    <n v="3762.85"/>
    <x v="82"/>
    <x v="3"/>
    <s v="Returned"/>
    <s v=""/>
    <s v=""/>
    <n v="-1.0661353799231277"/>
    <n v="6010.38"/>
    <n v="2247.5300000000002"/>
    <n v="0.37394141468592673"/>
    <n v="1"/>
    <x v="1"/>
    <n v="2024"/>
    <s v="CLEAN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x v="83"/>
    <n v="674.62"/>
    <x v="83"/>
    <x v="0"/>
    <s v="Completed"/>
    <s v=""/>
    <s v=""/>
    <n v="0.84852144912701888"/>
    <n v="948.52800000000013"/>
    <n v="273.90800000000013"/>
    <n v="0.28877165460587362"/>
    <n v="3"/>
    <x v="4"/>
    <n v="2024"/>
    <s v="CLEAN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x v="84"/>
    <n v="2085.44"/>
    <x v="84"/>
    <x v="0"/>
    <s v="Completed"/>
    <s v=""/>
    <s v=""/>
    <n v="0.84852144912701888"/>
    <n v="2737.3440000000001"/>
    <n v="651.904"/>
    <n v="0.23815201889130486"/>
    <n v="2"/>
    <x v="4"/>
    <n v="2024"/>
    <s v="CLEAN"/>
  </r>
  <r>
    <s v="ORD-2024-10086"/>
    <d v="2024-07-30T00:00:00"/>
    <d v="2024-05-08T00:00:00"/>
    <s v="CUST-6702"/>
    <s v="Kabir Singh"/>
    <x v="2"/>
    <x v="0"/>
    <s v="Delhi"/>
    <s v="New Delhi"/>
    <x v="0"/>
    <x v="9"/>
    <s v="Eco Binders 456"/>
    <x v="3"/>
    <n v="1"/>
    <n v="608.64"/>
    <n v="0"/>
    <x v="85"/>
    <n v="343.99"/>
    <x v="85"/>
    <x v="0"/>
    <s v="Cancelled"/>
    <s v=""/>
    <s v="Invalid Shipping Record"/>
    <n v="-1.0661353799231277"/>
    <n v="608.64"/>
    <n v="264.64999999999998"/>
    <n v="0.43482189800210302"/>
    <e v="#NUM!"/>
    <x v="0"/>
    <n v="2024"/>
    <s v="INVALID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x v="86"/>
    <n v="1495.94"/>
    <x v="86"/>
    <x v="1"/>
    <s v="Cancelled"/>
    <s v=""/>
    <s v=""/>
    <n v="-0.10880696539805437"/>
    <n v="2390.2560000000003"/>
    <n v="894.31600000000026"/>
    <n v="0.37415071858411825"/>
    <n v="0"/>
    <x v="0"/>
    <n v="2024"/>
    <s v="WARNING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x v="87"/>
    <n v="15490.89"/>
    <x v="87"/>
    <x v="0"/>
    <s v="Completed"/>
    <s v=""/>
    <s v=""/>
    <n v="-1.0661353799231277"/>
    <n v="23416.539999999997"/>
    <n v="7925.6499999999978"/>
    <n v="0.33846375254414185"/>
    <n v="1"/>
    <x v="1"/>
    <n v="2024"/>
    <s v="CLEAN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x v="88"/>
    <n v="5345.88"/>
    <x v="88"/>
    <x v="0"/>
    <s v="Completed"/>
    <s v=""/>
    <s v=""/>
    <n v="-0.58747117266059101"/>
    <n v="6241.0249999999996"/>
    <n v="895.14499999999953"/>
    <n v="0.14342916427990587"/>
    <n v="3"/>
    <x v="9"/>
    <n v="2024"/>
    <s v="CLEAN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x v="89"/>
    <n v="12057.13"/>
    <x v="89"/>
    <x v="2"/>
    <s v="Cancelled"/>
    <s v=""/>
    <s v=""/>
    <n v="0.84852144912701888"/>
    <n v="21062.104000000003"/>
    <n v="9004.9740000000038"/>
    <n v="0.42754389589947911"/>
    <n v="0"/>
    <x v="6"/>
    <n v="2024"/>
    <s v="WARNING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x v="90"/>
    <n v="5586.28"/>
    <x v="90"/>
    <x v="0"/>
    <s v="Completed"/>
    <s v=""/>
    <s v=""/>
    <n v="0.3698572418644821"/>
    <n v="9445.098"/>
    <n v="3858.8180000000002"/>
    <n v="0.40855245758170006"/>
    <n v="5"/>
    <x v="1"/>
    <n v="2025"/>
    <s v="CLEAN"/>
  </r>
  <r>
    <s v="ORD-2025-10092"/>
    <d v="2025-03-02T00:00:00"/>
    <d v="2025-08-03T00:00:00"/>
    <s v="CUST-6409"/>
    <s v="Sneha Kapoor"/>
    <x v="2"/>
    <x v="3"/>
    <s v="Madhya Pradesh"/>
    <s v="Indore"/>
    <x v="2"/>
    <x v="6"/>
    <s v="Prime Copiers 575"/>
    <x v="0"/>
    <n v="9"/>
    <n v="269.68"/>
    <n v="0"/>
    <x v="91"/>
    <n v="1538.35"/>
    <x v="91"/>
    <x v="0"/>
    <s v="Completed"/>
    <s v=""/>
    <s v=""/>
    <n v="-1.0661353799231277"/>
    <n v="2427.12"/>
    <n v="888.77"/>
    <n v="0.36618296581957216"/>
    <n v="154"/>
    <x v="9"/>
    <n v="2025"/>
    <s v="CLEAN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x v="92"/>
    <n v="29194.5"/>
    <x v="92"/>
    <x v="0"/>
    <s v="Completed"/>
    <s v=""/>
    <s v=""/>
    <n v="-0.10880696539805437"/>
    <n v="36111.906000000003"/>
    <n v="6917.4060000000027"/>
    <n v="0.19155471882320479"/>
    <n v="3"/>
    <x v="8"/>
    <n v="2025"/>
    <s v="CLEAN"/>
  </r>
  <r>
    <s v="ORD-2024-10094"/>
    <d v="2024-07-01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x v="93"/>
    <n v="12455.78"/>
    <x v="93"/>
    <x v="0"/>
    <s v="Completed"/>
    <s v="Invalid Discount"/>
    <s v="Invalid Shipping Record"/>
    <n v="-1.9277309529956934"/>
    <n v="21279.841099999998"/>
    <n v="8824.0610999999972"/>
    <n v="0.41466762174272054"/>
    <e v="#NUM!"/>
    <x v="0"/>
    <n v="2024"/>
    <s v="INVALID"/>
  </r>
  <r>
    <s v="ORD-2024-10095"/>
    <d v="2024-06-09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x v="94"/>
    <n v="21367.599999999999"/>
    <x v="94"/>
    <x v="2"/>
    <s v="Cancelled"/>
    <s v=""/>
    <s v=""/>
    <n v="-1.0661353799231277"/>
    <n v="26470.710000000003"/>
    <n v="5103.1100000000042"/>
    <n v="0.19278326875251944"/>
    <n v="92"/>
    <x v="10"/>
    <n v="2024"/>
    <s v="WARNING"/>
  </r>
  <r>
    <s v="ORD-2025-10096"/>
    <d v="2025-09-05T00:00:00"/>
    <d v="2025-10-09T00:00:00"/>
    <s v="CUST-2687"/>
    <s v="Sneha Kapoor"/>
    <x v="2"/>
    <x v="3"/>
    <s v="Goa"/>
    <s v="Panaji"/>
    <x v="1"/>
    <x v="10"/>
    <s v="Classic Bookcases 988"/>
    <x v="1"/>
    <n v="6"/>
    <n v="1754.13"/>
    <n v="0"/>
    <x v="95"/>
    <n v="8841.0499999999993"/>
    <x v="95"/>
    <x v="0"/>
    <s v="Completed"/>
    <s v=""/>
    <s v=""/>
    <n v="-1.0661353799231277"/>
    <n v="10524.78"/>
    <n v="1683.7300000000014"/>
    <n v="0.15997769074507984"/>
    <n v="34"/>
    <x v="6"/>
    <n v="2025"/>
    <s v="CLEAN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x v="96"/>
    <n v="2516.29"/>
    <x v="96"/>
    <x v="0"/>
    <s v="Completed"/>
    <s v=""/>
    <s v=""/>
    <n v="0.3698572418644821"/>
    <n v="3840.7079999999996"/>
    <n v="1324.4179999999997"/>
    <n v="0.34483694152224009"/>
    <n v="2"/>
    <x v="10"/>
    <n v="2024"/>
    <s v="CLEAN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x v="97"/>
    <n v="8809.9699999999993"/>
    <x v="97"/>
    <x v="2"/>
    <s v="Returned"/>
    <s v=""/>
    <s v=""/>
    <n v="0.84852144912701888"/>
    <n v="14409.44"/>
    <n v="5599.4700000000012"/>
    <n v="0.38859733619071951"/>
    <n v="3"/>
    <x v="1"/>
    <n v="2025"/>
    <s v="CLEAN"/>
  </r>
  <r>
    <s v="ORD-2024-10099"/>
    <d v="2024-01-26T00:00:00"/>
    <d v="2024-01-02T00:00:00"/>
    <s v="CUST-5434"/>
    <s v="Rohan Mehta"/>
    <x v="3"/>
    <x v="2"/>
    <s v="Kerala"/>
    <s v="Kochi"/>
    <x v="2"/>
    <x v="6"/>
    <s v="Elite Copiers 785"/>
    <x v="4"/>
    <n v="8"/>
    <n v="2108.9299999999998"/>
    <n v="0.1"/>
    <x v="98"/>
    <n v="11270.74"/>
    <x v="98"/>
    <x v="0"/>
    <s v="Completed"/>
    <s v=""/>
    <s v="Invalid Shipping Record"/>
    <n v="-0.10880696539805437"/>
    <n v="15184.295999999998"/>
    <n v="3913.5559999999987"/>
    <n v="0.25773707256497103"/>
    <e v="#NUM!"/>
    <x v="8"/>
    <n v="2024"/>
    <s v="INVALID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x v="99"/>
    <n v="4700.8900000000003"/>
    <x v="99"/>
    <x v="0"/>
    <s v="Completed"/>
    <s v=""/>
    <s v=""/>
    <n v="-1.0661353799231277"/>
    <n v="6495.87"/>
    <n v="1794.9799999999996"/>
    <n v="0.27632634273777024"/>
    <n v="0"/>
    <x v="8"/>
    <n v="2025"/>
    <s v="CLEAN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x v="100"/>
    <n v="5561.49"/>
    <x v="100"/>
    <x v="0"/>
    <s v="Completed"/>
    <s v=""/>
    <s v=""/>
    <n v="-0.58747117266059101"/>
    <n v="9540.659999999998"/>
    <n v="3979.1699999999983"/>
    <n v="0.41707491934520241"/>
    <n v="6"/>
    <x v="6"/>
    <n v="2025"/>
    <s v="CLEAN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x v="101"/>
    <n v="12054.14"/>
    <x v="101"/>
    <x v="0"/>
    <s v="Completed"/>
    <s v=""/>
    <s v=""/>
    <n v="1.3271856563895552"/>
    <n v="16486.95"/>
    <n v="4432.8100000000013"/>
    <n v="0.26886780150361356"/>
    <n v="4"/>
    <x v="10"/>
    <n v="2024"/>
    <s v="CLEAN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x v="102"/>
    <n v="8979.7800000000007"/>
    <x v="102"/>
    <x v="1"/>
    <s v="Cancelled"/>
    <s v=""/>
    <s v=""/>
    <n v="-1.0661353799231277"/>
    <n v="11462.84"/>
    <n v="2483.0599999999995"/>
    <n v="0.21661822026653077"/>
    <n v="4"/>
    <x v="0"/>
    <n v="2025"/>
    <s v="WARNING"/>
  </r>
  <r>
    <s v="ORD-2025-10104"/>
    <d v="2025-02-05T00:00:00"/>
    <d v="2025-10-05T00:00:00"/>
    <s v="CUST-6263"/>
    <s v="Kabir Singh"/>
    <x v="2"/>
    <x v="3"/>
    <s v="Maharashtra"/>
    <s v="Mumbai"/>
    <x v="1"/>
    <x v="1"/>
    <s v="Prime Tables 377"/>
    <x v="2"/>
    <n v="4"/>
    <n v="2440.34"/>
    <n v="0.2"/>
    <x v="103"/>
    <n v="6657.75"/>
    <x v="103"/>
    <x v="0"/>
    <s v="Completed"/>
    <s v=""/>
    <s v=""/>
    <n v="0.84852144912701888"/>
    <n v="7809.0880000000006"/>
    <n v="1151.3380000000006"/>
    <n v="0.14743565445798543"/>
    <n v="242"/>
    <x v="5"/>
    <n v="2025"/>
    <s v="CLEAN"/>
  </r>
  <r>
    <s v="ORD-2025-10105"/>
    <d v="2025-02-01T00:00:00"/>
    <d v="2025-08-02T00:00:00"/>
    <s v="CUST-1576"/>
    <s v="Ananya Rao"/>
    <x v="0"/>
    <x v="2"/>
    <s v="Karnataka"/>
    <s v="Bengaluru"/>
    <x v="0"/>
    <x v="7"/>
    <s v="Prime Labels 807"/>
    <x v="1"/>
    <n v="5"/>
    <n v="2112.54"/>
    <n v="0.25"/>
    <x v="104"/>
    <n v="5619.95"/>
    <x v="104"/>
    <x v="0"/>
    <s v="Cancelled"/>
    <s v=""/>
    <s v=""/>
    <n v="1.3271856563895552"/>
    <n v="7922.0250000000005"/>
    <n v="2302.0750000000007"/>
    <n v="0.29059173633004193"/>
    <n v="182"/>
    <x v="5"/>
    <n v="2025"/>
    <s v="WARNING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x v="105"/>
    <n v="1006.9"/>
    <x v="105"/>
    <x v="0"/>
    <s v="Completed"/>
    <s v=""/>
    <s v=""/>
    <n v="-0.10880696539805437"/>
    <n v="1233"/>
    <n v="226.10000000000002"/>
    <n v="0.18337388483373887"/>
    <n v="5"/>
    <x v="10"/>
    <n v="2024"/>
    <s v="CLEAN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x v="106"/>
    <n v="5709.39"/>
    <x v="106"/>
    <x v="0"/>
    <s v="Cancelled"/>
    <s v=""/>
    <s v=""/>
    <n v="-1.0661353799231277"/>
    <n v="8008.08"/>
    <n v="2298.6899999999996"/>
    <n v="0.28704633320346445"/>
    <n v="8"/>
    <x v="5"/>
    <n v="2024"/>
    <s v="WARNING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x v="107"/>
    <n v="8925.57"/>
    <x v="107"/>
    <x v="0"/>
    <s v="Completed"/>
    <s v=""/>
    <s v=""/>
    <n v="-0.58747117266059101"/>
    <n v="12263.236500000001"/>
    <n v="3337.6665000000012"/>
    <n v="0.27216848504878799"/>
    <n v="6"/>
    <x v="4"/>
    <n v="2024"/>
    <s v="CLEAN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x v="108"/>
    <n v="498.5"/>
    <x v="108"/>
    <x v="0"/>
    <s v="Completed"/>
    <s v=""/>
    <s v=""/>
    <n v="1.3271856563895552"/>
    <n v="806.31"/>
    <n v="307.80999999999995"/>
    <n v="0.38175143555208291"/>
    <n v="8"/>
    <x v="1"/>
    <n v="2024"/>
    <s v="CLEAN"/>
  </r>
  <r>
    <s v="ORD-2025-10110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x v="109"/>
    <n v="1317.22"/>
    <x v="109"/>
    <x v="0"/>
    <s v="Completed"/>
    <s v=""/>
    <s v=""/>
    <n v="1.3271856563895552"/>
    <n v="2091.4650000000001"/>
    <n v="774.24500000000012"/>
    <n v="0.37019266399389905"/>
    <n v="4"/>
    <x v="1"/>
    <n v="2025"/>
    <s v="CLEAN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x v="110"/>
    <n v="2607.73"/>
    <x v="110"/>
    <x v="1"/>
    <s v="Cancelled"/>
    <s v=""/>
    <s v=""/>
    <n v="-1.0661353799231277"/>
    <n v="4500.9399999999996"/>
    <n v="1893.2099999999996"/>
    <n v="0.42062546934640316"/>
    <n v="6"/>
    <x v="4"/>
    <n v="2024"/>
    <s v="WARNING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x v="111"/>
    <n v="1077.46"/>
    <x v="111"/>
    <x v="2"/>
    <s v="Cancelled"/>
    <s v=""/>
    <s v=""/>
    <n v="-0.58747117266059101"/>
    <n v="1623.018"/>
    <n v="545.55799999999999"/>
    <n v="0.3361379849145234"/>
    <n v="3"/>
    <x v="10"/>
    <n v="2025"/>
    <s v="WARNING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x v="112"/>
    <n v="6548.74"/>
    <x v="112"/>
    <x v="0"/>
    <s v="Completed"/>
    <s v=""/>
    <s v=""/>
    <n v="-0.58747117266059101"/>
    <n v="10914.018"/>
    <n v="4365.2780000000002"/>
    <n v="0.39996983695647198"/>
    <n v="4"/>
    <x v="8"/>
    <n v="2024"/>
    <s v="CLEAN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x v="113"/>
    <n v="1639.89"/>
    <x v="113"/>
    <x v="0"/>
    <s v="Completed"/>
    <s v=""/>
    <s v=""/>
    <n v="1.3271856563895552"/>
    <n v="2450.5875000000001"/>
    <n v="810.69749999999999"/>
    <n v="0.33081761006289306"/>
    <n v="0"/>
    <x v="5"/>
    <n v="2024"/>
    <s v="CLEAN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x v="114"/>
    <n v="3186.73"/>
    <x v="114"/>
    <x v="2"/>
    <s v="Cancelled"/>
    <s v=""/>
    <s v=""/>
    <n v="-0.10880696539805437"/>
    <n v="3949.56"/>
    <n v="762.82999999999993"/>
    <n v="0.19314303365438173"/>
    <n v="5"/>
    <x v="6"/>
    <n v="2024"/>
    <s v="WARNING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x v="115"/>
    <n v="490.74"/>
    <x v="115"/>
    <x v="0"/>
    <s v="Cancelled"/>
    <s v=""/>
    <s v=""/>
    <n v="0.3698572418644821"/>
    <n v="758.77799999999991"/>
    <n v="268.0379999999999"/>
    <n v="0.35324956706704719"/>
    <n v="5"/>
    <x v="7"/>
    <n v="2024"/>
    <s v="WARNING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x v="116"/>
    <n v="3061.39"/>
    <x v="116"/>
    <x v="3"/>
    <s v="Cancelled"/>
    <s v=""/>
    <s v=""/>
    <n v="1.3271856563895552"/>
    <n v="3590.9324999999999"/>
    <n v="529.54250000000002"/>
    <n v="0.14746657031286442"/>
    <n v="4"/>
    <x v="5"/>
    <n v="2025"/>
    <s v="WARNING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x v="117"/>
    <n v="20370.16"/>
    <x v="117"/>
    <x v="0"/>
    <s v="Completed"/>
    <s v="Invalid Discount"/>
    <s v=""/>
    <n v="5.6351635217523848"/>
    <n v="8976.2850000000017"/>
    <n v="-11393.874999999998"/>
    <n v="-1.2693307977632167"/>
    <n v="2"/>
    <x v="5"/>
    <n v="2024"/>
    <s v="INVALID"/>
  </r>
  <r>
    <s v="ORD-2024-10119"/>
    <d v="2024-10-06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x v="118"/>
    <n v="4407.22"/>
    <x v="118"/>
    <x v="0"/>
    <s v="Completed"/>
    <s v=""/>
    <s v="Invalid Shipping Record"/>
    <n v="0.84852144912701888"/>
    <n v="6321.0800000000008"/>
    <n v="1913.8600000000006"/>
    <n v="0.30277420947053357"/>
    <e v="#NUM!"/>
    <x v="4"/>
    <n v="2024"/>
    <s v="INVALID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x v="119"/>
    <n v="1517.69"/>
    <x v="119"/>
    <x v="1"/>
    <s v="Returned"/>
    <s v=""/>
    <s v=""/>
    <n v="1.3271856563895552"/>
    <n v="1884.3000000000002"/>
    <n v="366.61000000000013"/>
    <n v="0.19456031417502526"/>
    <n v="7"/>
    <x v="10"/>
    <n v="2024"/>
    <s v="CLEAN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x v="120"/>
    <n v="893.2"/>
    <x v="120"/>
    <x v="0"/>
    <s v="Returned"/>
    <s v=""/>
    <s v=""/>
    <n v="0.84852144912701888"/>
    <n v="1458.9360000000001"/>
    <n v="565.7360000000001"/>
    <n v="0.38777300717783375"/>
    <n v="8"/>
    <x v="1"/>
    <n v="2024"/>
    <s v="CLEAN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x v="121"/>
    <n v="11760.91"/>
    <x v="121"/>
    <x v="1"/>
    <s v="Cancelled"/>
    <s v=""/>
    <s v=""/>
    <n v="-1.0661353799231277"/>
    <n v="17414.599999999999"/>
    <n v="5653.6899999999987"/>
    <n v="0.3246523032398102"/>
    <n v="4"/>
    <x v="1"/>
    <n v="2025"/>
    <s v="WARNING"/>
  </r>
  <r>
    <s v="ORD-2024-10123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x v="122"/>
    <n v="367.18"/>
    <x v="122"/>
    <x v="0"/>
    <s v="Completed"/>
    <s v=""/>
    <s v=""/>
    <n v="-1.0661353799231277"/>
    <n v="511.04999999999995"/>
    <n v="143.86999999999995"/>
    <n v="0.28151844242246349"/>
    <n v="4"/>
    <x v="2"/>
    <n v="2024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x v="123"/>
    <n v="453.35"/>
    <x v="123"/>
    <x v="1"/>
    <s v="Cancelled"/>
    <s v=""/>
    <s v=""/>
    <n v="-1.0661353799231277"/>
    <n v="634.13"/>
    <n v="180.77999999999997"/>
    <n v="0.28508350022865969"/>
    <n v="1"/>
    <x v="3"/>
    <n v="2024"/>
    <s v="WARNING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x v="124"/>
    <n v="3443.74"/>
    <x v="124"/>
    <x v="0"/>
    <s v="Completed"/>
    <s v="Invalid Discount"/>
    <s v=""/>
    <n v="-2.5021280017107372"/>
    <n v="4813.3709999999992"/>
    <n v="1369.6309999999994"/>
    <n v="0.28454715001191466"/>
    <n v="3"/>
    <x v="0"/>
    <n v="2024"/>
    <s v="INVALID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x v="125"/>
    <n v="9591.48"/>
    <x v="125"/>
    <x v="1"/>
    <s v="Returned"/>
    <s v=""/>
    <s v=""/>
    <n v="1.3271856563895552"/>
    <n v="14558.715"/>
    <n v="4967.2350000000006"/>
    <n v="0.34118636157105903"/>
    <n v="1"/>
    <x v="0"/>
    <n v="2025"/>
    <s v="CLEAN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x v="126"/>
    <n v="2568.5700000000002"/>
    <x v="126"/>
    <x v="0"/>
    <s v="Completed"/>
    <s v=""/>
    <s v=""/>
    <n v="-0.10880696539805437"/>
    <n v="4303.4220000000005"/>
    <n v="1734.8520000000003"/>
    <n v="0.40313313451481175"/>
    <n v="2"/>
    <x v="6"/>
    <n v="2025"/>
    <s v="CLEAN"/>
  </r>
  <r>
    <s v="ORD-2025-10128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x v="127"/>
    <n v="3518.36"/>
    <x v="127"/>
    <x v="0"/>
    <s v="Completed"/>
    <s v=""/>
    <s v="Invalid Shipping Record"/>
    <n v="-0.58747117266059101"/>
    <n v="5774.67"/>
    <n v="2256.31"/>
    <n v="0.39072535746631409"/>
    <e v="#NUM!"/>
    <x v="8"/>
    <n v="2025"/>
    <s v="INVALID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x v="128"/>
    <n v="3366.88"/>
    <x v="128"/>
    <x v="0"/>
    <s v="Returned"/>
    <s v=""/>
    <s v=""/>
    <n v="-0.58747117266059101"/>
    <n v="4386.3874999999998"/>
    <n v="1019.5074999999997"/>
    <n v="0.2324253158208206"/>
    <n v="3"/>
    <x v="7"/>
    <n v="2024"/>
    <s v="CLEAN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x v="129"/>
    <n v="15139.15"/>
    <x v="129"/>
    <x v="0"/>
    <s v="Completed"/>
    <s v=""/>
    <s v=""/>
    <n v="-0.58747117266059101"/>
    <n v="18229.5785"/>
    <n v="3090.4285"/>
    <n v="0.16952824773211295"/>
    <n v="6"/>
    <x v="0"/>
    <n v="2024"/>
    <s v="CLEAN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x v="130"/>
    <n v="661.72"/>
    <x v="130"/>
    <x v="2"/>
    <s v="Cancelled"/>
    <s v=""/>
    <s v=""/>
    <n v="0.84852144912701888"/>
    <n v="873.68"/>
    <n v="211.95999999999992"/>
    <n v="0.24260598846259493"/>
    <n v="6"/>
    <x v="8"/>
    <n v="2024"/>
    <s v="WARNING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x v="131"/>
    <n v="2044.49"/>
    <x v="131"/>
    <x v="0"/>
    <s v="Completed"/>
    <s v=""/>
    <s v=""/>
    <n v="0.84852144912701888"/>
    <n v="2692.152"/>
    <n v="647.66200000000003"/>
    <n v="0.24057408348414205"/>
    <n v="5"/>
    <x v="6"/>
    <n v="2025"/>
    <s v="CLEAN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x v="132"/>
    <n v="656.3"/>
    <x v="132"/>
    <x v="3"/>
    <s v="Cancelled"/>
    <s v=""/>
    <s v=""/>
    <n v="-1.0661353799231277"/>
    <n v="1066.1600000000001"/>
    <n v="409.86000000000013"/>
    <n v="0.38442635251744589"/>
    <n v="0"/>
    <x v="2"/>
    <n v="2024"/>
    <s v="WARNING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x v="133"/>
    <n v="16875.55"/>
    <x v="133"/>
    <x v="0"/>
    <s v="Completed"/>
    <s v=""/>
    <s v=""/>
    <n v="0.3698572418644821"/>
    <n v="22930.62"/>
    <n v="6055.07"/>
    <n v="0.26406045715292475"/>
    <n v="5"/>
    <x v="7"/>
    <n v="2024"/>
    <s v="CLEAN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x v="134"/>
    <n v="912.52"/>
    <x v="134"/>
    <x v="2"/>
    <s v="Cancelled"/>
    <s v=""/>
    <s v=""/>
    <n v="1.3271856563895552"/>
    <n v="1436.625"/>
    <n v="524.10500000000002"/>
    <n v="0.36481684503610895"/>
    <n v="0"/>
    <x v="0"/>
    <n v="2025"/>
    <s v="WARNING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x v="135"/>
    <n v="1951.45"/>
    <x v="135"/>
    <x v="0"/>
    <s v="Completed"/>
    <s v=""/>
    <s v=""/>
    <n v="-1.0661353799231277"/>
    <n v="3424.78"/>
    <n v="1473.3300000000002"/>
    <n v="0.43019697615613267"/>
    <n v="0"/>
    <x v="1"/>
    <n v="2025"/>
    <s v="CLEAN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x v="136"/>
    <n v="21421.09"/>
    <x v="136"/>
    <x v="0"/>
    <s v="Completed"/>
    <s v=""/>
    <s v=""/>
    <n v="0.84852144912701888"/>
    <n v="31178.376000000004"/>
    <n v="9757.2860000000037"/>
    <n v="0.31295042435821552"/>
    <n v="6"/>
    <x v="5"/>
    <n v="2025"/>
    <s v="CLEAN"/>
  </r>
  <r>
    <s v="ORD-2025-10138"/>
    <d v="2025-09-01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x v="137"/>
    <n v="15526.62"/>
    <x v="137"/>
    <x v="0"/>
    <s v="Completed"/>
    <s v=""/>
    <s v="Invalid Shipping Record"/>
    <n v="-0.10880696539805437"/>
    <n v="19202.904000000002"/>
    <n v="3676.2840000000015"/>
    <n v="0.19144416906942829"/>
    <e v="#NUM!"/>
    <x v="6"/>
    <n v="2025"/>
    <s v="INVALID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x v="138"/>
    <n v="14070.78"/>
    <x v="138"/>
    <x v="0"/>
    <s v="Completed"/>
    <s v=""/>
    <s v=""/>
    <n v="1.3271856563895552"/>
    <n v="24018.300000000003"/>
    <n v="9947.5200000000023"/>
    <n v="0.41416419979765434"/>
    <n v="6"/>
    <x v="8"/>
    <n v="2024"/>
    <s v="CLEAN"/>
  </r>
  <r>
    <s v="ORD-2025-10140"/>
    <d v="2025-02-03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x v="139"/>
    <n v="6564.06"/>
    <x v="139"/>
    <x v="0"/>
    <s v="Completed"/>
    <s v=""/>
    <s v=""/>
    <n v="-1.0661353799231277"/>
    <n v="10301.040000000001"/>
    <n v="3736.9800000000005"/>
    <n v="0.3627769623261341"/>
    <n v="32"/>
    <x v="5"/>
    <n v="2025"/>
    <s v="CLEAN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x v="140"/>
    <n v="6603.76"/>
    <x v="140"/>
    <x v="0"/>
    <s v="Completed"/>
    <s v=""/>
    <s v=""/>
    <n v="-1.0661353799231277"/>
    <n v="8743.6500000000015"/>
    <n v="2139.8900000000012"/>
    <n v="0.24473646589239059"/>
    <n v="1"/>
    <x v="3"/>
    <n v="2024"/>
    <s v="CLEAN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x v="141"/>
    <n v="2859.51"/>
    <x v="141"/>
    <x v="0"/>
    <s v="Returned"/>
    <s v=""/>
    <s v=""/>
    <n v="-0.10880696539805437"/>
    <n v="3996.027"/>
    <n v="1136.5169999999998"/>
    <n v="0.28441174196270441"/>
    <n v="6"/>
    <x v="9"/>
    <n v="2024"/>
    <s v="CLEAN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x v="142"/>
    <n v="2769.26"/>
    <x v="142"/>
    <x v="0"/>
    <s v="Completed"/>
    <s v=""/>
    <s v="Invalid Shipping Record"/>
    <n v="0.3698572418644821"/>
    <n v="3857.0449999999996"/>
    <n v="1087.7849999999994"/>
    <n v="0.28202548842442843"/>
    <e v="#NUM!"/>
    <x v="9"/>
    <n v="2024"/>
    <s v="INVALID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x v="143"/>
    <n v="1916.16"/>
    <x v="143"/>
    <x v="0"/>
    <s v="Returned"/>
    <s v=""/>
    <s v=""/>
    <n v="-0.10880696539805437"/>
    <n v="3068.55"/>
    <n v="1152.3900000000001"/>
    <n v="0.3755487119323459"/>
    <n v="2"/>
    <x v="9"/>
    <n v="2024"/>
    <s v="CLEAN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x v="144"/>
    <n v="6908.76"/>
    <x v="144"/>
    <x v="1"/>
    <s v="Returned"/>
    <s v=""/>
    <s v=""/>
    <n v="1.3271856563895552"/>
    <n v="11276.947499999998"/>
    <n v="4368.1874999999982"/>
    <n v="0.38735548782150481"/>
    <n v="8"/>
    <x v="10"/>
    <n v="2024"/>
    <s v="CLEAN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x v="145"/>
    <n v="9808.83"/>
    <x v="145"/>
    <x v="0"/>
    <s v="Completed"/>
    <s v=""/>
    <s v=""/>
    <n v="-0.10880696539805437"/>
    <n v="15055.74"/>
    <n v="5246.91"/>
    <n v="0.34849897779850075"/>
    <n v="2"/>
    <x v="11"/>
    <n v="2025"/>
    <s v="CLEAN"/>
  </r>
  <r>
    <s v="ORD-2025-10147"/>
    <d v="2025-07-30T00:00:00"/>
    <d v="2025-01-08T00:00:00"/>
    <s v="CUST-1460"/>
    <s v="Sneha Kapoor"/>
    <x v="1"/>
    <x v="2"/>
    <s v="Tamil Nadu"/>
    <s v="Chennai"/>
    <x v="0"/>
    <x v="8"/>
    <s v="Classic Storage 423"/>
    <x v="1"/>
    <n v="9"/>
    <n v="3165.43"/>
    <n v="0.1"/>
    <x v="146"/>
    <n v="21635.08"/>
    <x v="146"/>
    <x v="0"/>
    <s v="Completed"/>
    <s v=""/>
    <s v="Invalid Shipping Record"/>
    <n v="-0.10880696539805437"/>
    <n v="25639.983"/>
    <n v="4004.9029999999984"/>
    <n v="0.1561975684617263"/>
    <e v="#NUM!"/>
    <x v="0"/>
    <n v="2025"/>
    <s v="INVALID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x v="147"/>
    <n v="1744.05"/>
    <x v="147"/>
    <x v="0"/>
    <s v="Completed"/>
    <s v=""/>
    <s v=""/>
    <n v="-0.10880696539805437"/>
    <n v="2779.92"/>
    <n v="1035.8700000000001"/>
    <n v="0.37262583095916435"/>
    <n v="7"/>
    <x v="7"/>
    <n v="2024"/>
    <s v="CLEAN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x v="148"/>
    <n v="7604.47"/>
    <x v="148"/>
    <x v="0"/>
    <s v="Completed"/>
    <s v=""/>
    <s v=""/>
    <n v="1.3271856563895552"/>
    <n v="10176.42"/>
    <n v="2571.9499999999998"/>
    <n v="0.252736227474888"/>
    <n v="4"/>
    <x v="5"/>
    <n v="2025"/>
    <s v="CLEAN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x v="149"/>
    <n v="8977.1"/>
    <x v="149"/>
    <x v="0"/>
    <s v="Completed"/>
    <s v=""/>
    <s v=""/>
    <n v="1.3271856563895552"/>
    <n v="13269.952499999999"/>
    <n v="4292.8524999999991"/>
    <n v="0.32350172315989822"/>
    <n v="0"/>
    <x v="8"/>
    <n v="2024"/>
    <s v="CLEAN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x v="150"/>
    <n v="1056.92"/>
    <x v="150"/>
    <x v="0"/>
    <s v="Completed"/>
    <s v=""/>
    <s v=""/>
    <n v="-0.10880696539805437"/>
    <n v="1398.7079999999999"/>
    <n v="341.78799999999978"/>
    <n v="0.24435979489643286"/>
    <n v="8"/>
    <x v="9"/>
    <n v="2024"/>
    <s v="CLEAN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x v="151"/>
    <n v="5355.93"/>
    <x v="151"/>
    <x v="2"/>
    <s v="Returned"/>
    <s v=""/>
    <s v=""/>
    <n v="-1.0661353799231277"/>
    <n v="7718.22"/>
    <n v="2362.29"/>
    <n v="0.30606668376905555"/>
    <n v="0"/>
    <x v="10"/>
    <n v="2024"/>
    <s v="CLEAN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x v="152"/>
    <n v="4380.55"/>
    <x v="152"/>
    <x v="2"/>
    <s v="Returned"/>
    <s v=""/>
    <s v=""/>
    <n v="-0.10880696539805437"/>
    <n v="5875.4160000000002"/>
    <n v="1494.866"/>
    <n v="0.25442726098032886"/>
    <n v="3"/>
    <x v="10"/>
    <n v="2024"/>
    <s v="CLEAN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x v="153"/>
    <n v="15716.5"/>
    <x v="153"/>
    <x v="1"/>
    <s v="Returned"/>
    <s v=""/>
    <s v=""/>
    <n v="-1.0661353799231277"/>
    <n v="22962.17"/>
    <n v="7245.6699999999983"/>
    <n v="0.31554813852523517"/>
    <n v="2"/>
    <x v="6"/>
    <n v="2025"/>
    <s v="CLEAN"/>
  </r>
  <r>
    <s v="ORD-2024-10155"/>
    <d v="2024-02-12T00:00:00"/>
    <d v="2024-11-02T00:00:00"/>
    <s v="CUST-7764"/>
    <s v="Priya Menon"/>
    <x v="0"/>
    <x v="2"/>
    <s v="Tamil Nadu"/>
    <s v="Chennai"/>
    <x v="1"/>
    <x v="10"/>
    <s v="Classic Bookcases 847"/>
    <x v="1"/>
    <n v="1"/>
    <n v="2599.12"/>
    <n v="0.15"/>
    <x v="154"/>
    <n v="1523.78"/>
    <x v="154"/>
    <x v="0"/>
    <s v="Completed"/>
    <s v=""/>
    <s v=""/>
    <n v="0.3698572418644821"/>
    <n v="2209.252"/>
    <n v="685.47199999999998"/>
    <n v="0.31027334138432372"/>
    <n v="264"/>
    <x v="5"/>
    <n v="2024"/>
    <s v="CLEAN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x v="155"/>
    <n v="5881"/>
    <x v="155"/>
    <x v="1"/>
    <s v="Returned"/>
    <s v=""/>
    <s v=""/>
    <n v="-0.10880696539805437"/>
    <n v="7720.1640000000007"/>
    <n v="1839.1640000000007"/>
    <n v="0.23822861794127695"/>
    <n v="8"/>
    <x v="8"/>
    <n v="2025"/>
    <s v="CLEAN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x v="156"/>
    <n v="6717.87"/>
    <x v="156"/>
    <x v="0"/>
    <s v="Completed"/>
    <s v=""/>
    <s v=""/>
    <n v="1.3271856563895552"/>
    <n v="12103.192500000001"/>
    <n v="5385.3225000000011"/>
    <n v="0.44495057812225997"/>
    <n v="0"/>
    <x v="9"/>
    <n v="2025"/>
    <s v="CLEAN"/>
  </r>
  <r>
    <s v="ORD-2024-10158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x v="157"/>
    <n v="1466.15"/>
    <x v="157"/>
    <x v="0"/>
    <s v="Completed"/>
    <s v=""/>
    <s v=""/>
    <n v="0.3698572418644821"/>
    <n v="2335.3919999999998"/>
    <n v="869.24199999999973"/>
    <n v="0.3722038955344541"/>
    <n v="2"/>
    <x v="4"/>
    <n v="2024"/>
    <s v="CLEAN"/>
  </r>
  <r>
    <s v="ORD-2024-10159"/>
    <d v="2024-09-09T00:00:00"/>
    <d v="2024-11-09T00:00:00"/>
    <s v="CUST-2324"/>
    <s v="Neha Gupta"/>
    <x v="3"/>
    <x v="2"/>
    <s v="Telangana"/>
    <s v="Hyderabad"/>
    <x v="1"/>
    <x v="10"/>
    <s v="Max Bookcases 881"/>
    <x v="2"/>
    <n v="1"/>
    <n v="4199.54"/>
    <n v="0.05"/>
    <x v="158"/>
    <n v="2381.38"/>
    <x v="158"/>
    <x v="0"/>
    <s v="Completed"/>
    <s v=""/>
    <s v=""/>
    <n v="-0.58747117266059101"/>
    <n v="3989.5629999999996"/>
    <n v="1608.1829999999995"/>
    <n v="0.40309753223598666"/>
    <n v="61"/>
    <x v="6"/>
    <n v="2024"/>
    <s v="CLEAN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x v="159"/>
    <n v="25750.35"/>
    <x v="159"/>
    <x v="2"/>
    <s v="Cancelled"/>
    <s v=""/>
    <s v=""/>
    <n v="0.3698572418644821"/>
    <n v="33893.324999999997"/>
    <n v="8142.9749999999985"/>
    <n v="0.24025305867748292"/>
    <n v="5"/>
    <x v="8"/>
    <n v="2025"/>
    <s v="WARNING"/>
  </r>
  <r>
    <s v="ORD-2025-10161"/>
    <d v="2025-10-08T00:00:00"/>
    <d v="2025-06-10T00:00:00"/>
    <s v="CUST-4932"/>
    <s v="Vikram Iyer"/>
    <x v="1"/>
    <x v="3"/>
    <s v="Maharashtra"/>
    <s v="Mumbai"/>
    <x v="0"/>
    <x v="0"/>
    <s v="Max Paper 113"/>
    <x v="0"/>
    <n v="4"/>
    <n v="1260.42"/>
    <n v="0.05"/>
    <x v="160"/>
    <n v="4037.64"/>
    <x v="160"/>
    <x v="2"/>
    <s v="Cancelled"/>
    <s v=""/>
    <s v="Invalid Shipping Record"/>
    <n v="-0.58747117266059101"/>
    <n v="4789.5960000000005"/>
    <n v="751.95600000000059"/>
    <n v="0.1569977927157114"/>
    <e v="#NUM!"/>
    <x v="4"/>
    <n v="2025"/>
    <s v="INVALID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x v="161"/>
    <n v="907.4"/>
    <x v="161"/>
    <x v="2"/>
    <s v="Cancelled"/>
    <s v=""/>
    <s v=""/>
    <n v="-1.0661353799231277"/>
    <n v="1643.41"/>
    <n v="736.0100000000001"/>
    <n v="0.44785537388722235"/>
    <n v="6"/>
    <x v="0"/>
    <n v="2025"/>
    <s v="WARNING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x v="162"/>
    <n v="26424.41"/>
    <x v="162"/>
    <x v="2"/>
    <s v="Returned"/>
    <s v=""/>
    <s v=""/>
    <n v="-1.0661353799231277"/>
    <n v="35782.720000000001"/>
    <n v="9358.3100000000013"/>
    <n v="0.2615315437171909"/>
    <n v="5"/>
    <x v="9"/>
    <n v="2024"/>
    <s v="CLEAN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x v="163"/>
    <n v="12477.82"/>
    <x v="163"/>
    <x v="2"/>
    <s v="Returned"/>
    <s v=""/>
    <s v=""/>
    <n v="-0.10880696539805437"/>
    <n v="15679.332"/>
    <n v="3201.5120000000006"/>
    <n v="0.20418675999717339"/>
    <n v="5"/>
    <x v="6"/>
    <n v="2025"/>
    <s v="CLEAN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x v="164"/>
    <n v="1547.99"/>
    <x v="164"/>
    <x v="0"/>
    <s v="Completed"/>
    <s v=""/>
    <s v=""/>
    <n v="1.3271856563895552"/>
    <n v="2365.8150000000001"/>
    <n v="817.82500000000005"/>
    <n v="0.34568425679945392"/>
    <n v="5"/>
    <x v="6"/>
    <n v="2025"/>
    <s v="CLEAN"/>
  </r>
  <r>
    <s v="ORD-2024-10166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x v="165"/>
    <n v="6470.92"/>
    <x v="165"/>
    <x v="0"/>
    <s v="Completed"/>
    <s v=""/>
    <s v=""/>
    <n v="1.3271856563895552"/>
    <n v="10268.969999999999"/>
    <n v="3798.0499999999993"/>
    <n v="0.36985695741637181"/>
    <n v="7"/>
    <x v="2"/>
    <n v="2024"/>
    <s v="CLEAN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x v="166"/>
    <n v="1449.54"/>
    <x v="166"/>
    <x v="0"/>
    <s v="Completed"/>
    <s v=""/>
    <s v=""/>
    <n v="0.84852144912701888"/>
    <n v="2046.28"/>
    <n v="596.74"/>
    <n v="0.29162186992982386"/>
    <n v="6"/>
    <x v="5"/>
    <n v="2025"/>
    <s v="CLEAN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x v="167"/>
    <n v="17906.54"/>
    <x v="167"/>
    <x v="0"/>
    <s v="Returned"/>
    <s v=""/>
    <s v=""/>
    <n v="0.3698572418644821"/>
    <n v="23186.6145"/>
    <n v="5280.0744999999988"/>
    <n v="0.22772080417345961"/>
    <n v="0"/>
    <x v="1"/>
    <n v="2025"/>
    <s v="CLEAN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x v="168"/>
    <n v="2025.69"/>
    <x v="168"/>
    <x v="0"/>
    <s v="Cancelled"/>
    <s v=""/>
    <s v=""/>
    <n v="0.84852144912701888"/>
    <n v="2557.08"/>
    <n v="531.38999999999987"/>
    <n v="0.2078112534609789"/>
    <n v="3"/>
    <x v="8"/>
    <n v="2025"/>
    <s v="WARNING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x v="169"/>
    <n v="3541.29"/>
    <x v="169"/>
    <x v="2"/>
    <s v="Returned"/>
    <s v=""/>
    <s v=""/>
    <n v="-0.58747117266059101"/>
    <n v="5577.6399999999994"/>
    <n v="2036.3499999999995"/>
    <n v="0.36509168752375548"/>
    <n v="0"/>
    <x v="6"/>
    <n v="2025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x v="170"/>
    <n v="3930"/>
    <x v="170"/>
    <x v="0"/>
    <s v="Completed"/>
    <s v=""/>
    <s v=""/>
    <n v="-1.0661353799231277"/>
    <n v="5133.96"/>
    <n v="1203.96"/>
    <n v="0.23450903396208775"/>
    <n v="8"/>
    <x v="6"/>
    <n v="2025"/>
    <s v="CLEAN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x v="171"/>
    <n v="11291.8"/>
    <x v="171"/>
    <x v="0"/>
    <s v="Completed"/>
    <s v=""/>
    <s v=""/>
    <n v="1.3271856563895552"/>
    <n v="15923.512500000001"/>
    <n v="4631.7125000000015"/>
    <n v="0.29087253832971849"/>
    <n v="2"/>
    <x v="5"/>
    <n v="2025"/>
    <s v="CLEAN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x v="172"/>
    <n v="16134.63"/>
    <x v="172"/>
    <x v="1"/>
    <s v="Returned"/>
    <s v=""/>
    <s v=""/>
    <n v="-0.10880696539805437"/>
    <n v="23997.221999999998"/>
    <n v="7862.5919999999987"/>
    <n v="0.32764592501582057"/>
    <n v="8"/>
    <x v="1"/>
    <n v="2025"/>
    <s v="CLEAN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x v="173"/>
    <n v="1386.07"/>
    <x v="173"/>
    <x v="0"/>
    <s v="Completed"/>
    <s v=""/>
    <s v=""/>
    <n v="1.3271856563895552"/>
    <n v="1734.1875"/>
    <n v="348.11750000000006"/>
    <n v="0.20073809781237614"/>
    <n v="6"/>
    <x v="3"/>
    <n v="2024"/>
    <s v="CLEAN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x v="174"/>
    <n v="4768.75"/>
    <x v="174"/>
    <x v="2"/>
    <s v="Returned"/>
    <s v=""/>
    <s v=""/>
    <n v="0.3698572418644821"/>
    <n v="8264.7029999999995"/>
    <n v="3495.9529999999995"/>
    <n v="0.42299801940856191"/>
    <n v="6"/>
    <x v="6"/>
    <n v="2025"/>
    <s v="CLEAN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x v="175"/>
    <n v="11014.46"/>
    <x v="175"/>
    <x v="0"/>
    <s v="Returned"/>
    <s v=""/>
    <s v=""/>
    <n v="0.3698572418644821"/>
    <n v="15906.849000000002"/>
    <n v="4892.3890000000029"/>
    <n v="0.30756493633654297"/>
    <n v="7"/>
    <x v="8"/>
    <n v="2024"/>
    <s v="CLEAN"/>
  </r>
  <r>
    <s v="ORD-2025-10177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x v="176"/>
    <n v="13910.64"/>
    <x v="176"/>
    <x v="0"/>
    <s v="Completed"/>
    <s v=""/>
    <s v=""/>
    <n v="0.3698572418644821"/>
    <n v="24229.011999999999"/>
    <n v="10318.371999999999"/>
    <n v="0.42586845885420338"/>
    <n v="8"/>
    <x v="9"/>
    <n v="2025"/>
    <s v="CLEAN"/>
  </r>
  <r>
    <s v="ORD-2024-10178"/>
    <d v="2024-06-01T00:00:00"/>
    <d v="2024-03-06T00:00:00"/>
    <s v="CUST-4399"/>
    <s v="Sneha Kapoor"/>
    <x v="3"/>
    <x v="4"/>
    <s v="Bihar"/>
    <s v="Patna"/>
    <x v="0"/>
    <x v="2"/>
    <s v="Classic Art 573"/>
    <x v="1"/>
    <n v="8"/>
    <n v="3879.95"/>
    <n v="0"/>
    <x v="177"/>
    <n v="20866.72"/>
    <x v="177"/>
    <x v="0"/>
    <s v="Completed"/>
    <s v=""/>
    <s v="Invalid Shipping Record"/>
    <n v="-1.0661353799231277"/>
    <n v="31039.599999999999"/>
    <n v="10172.879999999997"/>
    <n v="0.32773875952009685"/>
    <e v="#NUM!"/>
    <x v="10"/>
    <n v="2024"/>
    <s v="INVALID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x v="178"/>
    <n v="10732.44"/>
    <x v="178"/>
    <x v="0"/>
    <s v="Completed"/>
    <s v=""/>
    <s v=""/>
    <n v="-1.0661353799231277"/>
    <n v="13126.96"/>
    <n v="2394.5199999999986"/>
    <n v="0.18241237879905162"/>
    <n v="0"/>
    <x v="6"/>
    <n v="2024"/>
    <s v="CLEAN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x v="179"/>
    <n v="5516.76"/>
    <x v="179"/>
    <x v="1"/>
    <s v="Returned"/>
    <s v=""/>
    <s v=""/>
    <n v="1.3271856563895552"/>
    <n v="9558.9000000000015"/>
    <n v="4042.1400000000012"/>
    <n v="0.42286664783604816"/>
    <n v="4"/>
    <x v="9"/>
    <n v="2024"/>
    <s v="CLEAN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x v="180"/>
    <n v="3041.5"/>
    <x v="180"/>
    <x v="0"/>
    <s v="Completed"/>
    <s v=""/>
    <s v=""/>
    <n v="-0.10880696539805437"/>
    <n v="5320.9170000000004"/>
    <n v="2279.4170000000004"/>
    <n v="0.42838800154183954"/>
    <n v="0"/>
    <x v="1"/>
    <n v="2024"/>
    <s v="CLEAN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x v="181"/>
    <n v="5986.31"/>
    <x v="181"/>
    <x v="0"/>
    <s v="Completed"/>
    <s v=""/>
    <s v=""/>
    <n v="-1.0661353799231277"/>
    <n v="10205.799999999999"/>
    <n v="4219.4899999999989"/>
    <n v="0.41344039663720622"/>
    <n v="1"/>
    <x v="6"/>
    <n v="2025"/>
    <s v="CLEAN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x v="182"/>
    <n v="3707.66"/>
    <x v="182"/>
    <x v="0"/>
    <s v="Completed"/>
    <s v=""/>
    <s v=""/>
    <n v="-1.0661353799231277"/>
    <n v="5430.3899999999994"/>
    <n v="1722.7299999999996"/>
    <n v="0.31723872502711586"/>
    <n v="0"/>
    <x v="4"/>
    <n v="2024"/>
    <s v="CLEAN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x v="183"/>
    <n v="8327.89"/>
    <x v="183"/>
    <x v="0"/>
    <s v="Returned"/>
    <s v=""/>
    <s v=""/>
    <n v="0.84852144912701888"/>
    <n v="12907.216"/>
    <n v="4579.3260000000009"/>
    <n v="0.3547880503433119"/>
    <n v="3"/>
    <x v="10"/>
    <n v="2025"/>
    <s v="CLEAN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x v="184"/>
    <n v="1021.16"/>
    <x v="184"/>
    <x v="1"/>
    <s v="Returned"/>
    <s v=""/>
    <s v=""/>
    <n v="-1.0661353799231277"/>
    <n v="1777.96"/>
    <n v="756.80000000000007"/>
    <n v="0.42565637022205227"/>
    <n v="4"/>
    <x v="11"/>
    <n v="2024"/>
    <s v="CLEAN"/>
  </r>
  <r>
    <s v="ORD-2024-10186"/>
    <d v="2024-05-11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x v="185"/>
    <n v="1337.28"/>
    <x v="185"/>
    <x v="0"/>
    <s v="Completed"/>
    <s v=""/>
    <s v=""/>
    <n v="0.84852144912701888"/>
    <n v="1605.0720000000001"/>
    <n v="267.79200000000014"/>
    <n v="0.16684111366966722"/>
    <n v="186"/>
    <x v="3"/>
    <n v="2024"/>
    <s v="CLEAN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x v="186"/>
    <n v="20167.28"/>
    <x v="186"/>
    <x v="0"/>
    <s v="Completed"/>
    <s v=""/>
    <s v=""/>
    <n v="-0.58747117266059101"/>
    <n v="23996.059499999996"/>
    <n v="3828.7794999999969"/>
    <n v="0.15955867670689838"/>
    <n v="1"/>
    <x v="0"/>
    <n v="2024"/>
    <s v="CLEAN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x v="187"/>
    <n v="6215.96"/>
    <x v="187"/>
    <x v="0"/>
    <s v="Returned"/>
    <s v=""/>
    <s v=""/>
    <n v="-1.0661353799231277"/>
    <n v="8717.2199999999993"/>
    <n v="2501.2599999999993"/>
    <n v="0.28693321953558582"/>
    <n v="1"/>
    <x v="3"/>
    <n v="2025"/>
    <s v="CLEAN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x v="188"/>
    <n v="4923.09"/>
    <x v="188"/>
    <x v="0"/>
    <s v="Completed"/>
    <s v=""/>
    <s v=""/>
    <n v="-0.10880696539805437"/>
    <n v="6407.2260000000006"/>
    <n v="1484.1360000000004"/>
    <n v="0.23163471992403581"/>
    <n v="7"/>
    <x v="3"/>
    <n v="2025"/>
    <s v="CLEAN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x v="189"/>
    <n v="16872.39"/>
    <x v="189"/>
    <x v="0"/>
    <s v="Completed"/>
    <s v=""/>
    <s v=""/>
    <n v="-1.0661353799231277"/>
    <n v="29864.159999999996"/>
    <n v="12991.769999999997"/>
    <n v="0.43502881045373448"/>
    <n v="1"/>
    <x v="3"/>
    <n v="2025"/>
    <s v="CLEAN"/>
  </r>
  <r>
    <s v="ORD-2025-10191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x v="190"/>
    <n v="943.32"/>
    <x v="190"/>
    <x v="0"/>
    <s v="Completed"/>
    <s v=""/>
    <s v=""/>
    <n v="-0.10880696539805437"/>
    <n v="1458.2429999999999"/>
    <n v="514.92299999999989"/>
    <n v="0.35311192990468659"/>
    <n v="1"/>
    <x v="11"/>
    <n v="2025"/>
    <s v="CLEAN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x v="191"/>
    <n v="19397.68"/>
    <x v="191"/>
    <x v="0"/>
    <s v="Completed"/>
    <s v="Invalid Discount"/>
    <s v=""/>
    <n v="5.1564993144898486"/>
    <n v="9047.64"/>
    <n v="-10350.040000000001"/>
    <n v="-1.1439491403283069"/>
    <n v="5"/>
    <x v="4"/>
    <n v="2024"/>
    <s v="INVALID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x v="192"/>
    <n v="7220.05"/>
    <x v="192"/>
    <x v="0"/>
    <s v="Completed"/>
    <s v=""/>
    <s v=""/>
    <n v="-1.0661353799231277"/>
    <n v="8764.1200000000008"/>
    <n v="1544.0700000000006"/>
    <n v="0.17618083732308554"/>
    <n v="7"/>
    <x v="7"/>
    <n v="2024"/>
    <s v="CLEAN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x v="193"/>
    <n v="6013.22"/>
    <x v="193"/>
    <x v="1"/>
    <s v="Returned"/>
    <s v=""/>
    <s v=""/>
    <n v="0.84852144912701888"/>
    <n v="9391.8240000000005"/>
    <n v="3378.6040000000003"/>
    <n v="0.35973885370935399"/>
    <n v="5"/>
    <x v="10"/>
    <n v="2024"/>
    <s v="CLEAN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x v="194"/>
    <n v="5434.12"/>
    <x v="194"/>
    <x v="2"/>
    <s v="Returned"/>
    <s v=""/>
    <s v=""/>
    <n v="-0.58747117266059101"/>
    <n v="7339.2344999999996"/>
    <n v="1905.1144999999997"/>
    <n v="0.25957945614082772"/>
    <n v="3"/>
    <x v="8"/>
    <n v="2025"/>
    <s v="CLEAN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x v="195"/>
    <n v="7576.84"/>
    <x v="195"/>
    <x v="0"/>
    <s v="Completed"/>
    <s v=""/>
    <s v=""/>
    <n v="-1.0661353799231277"/>
    <n v="9614.15"/>
    <n v="2037.3099999999995"/>
    <n v="0.21190744891644084"/>
    <n v="2"/>
    <x v="0"/>
    <n v="2025"/>
    <s v="CLEAN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x v="196"/>
    <n v="2517.44"/>
    <x v="196"/>
    <x v="0"/>
    <s v="Completed"/>
    <s v=""/>
    <s v=""/>
    <n v="-0.10880696539805437"/>
    <n v="3272.4810000000002"/>
    <n v="755.04100000000017"/>
    <n v="0.23072433422837293"/>
    <n v="3"/>
    <x v="8"/>
    <n v="2024"/>
    <s v="CLEAN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x v="197"/>
    <n v="14076.25"/>
    <x v="197"/>
    <x v="0"/>
    <s v="Completed"/>
    <s v=""/>
    <s v=""/>
    <n v="0.3698572418644821"/>
    <n v="17409.869999999995"/>
    <n v="3333.6199999999953"/>
    <n v="0.19147874165631312"/>
    <n v="7"/>
    <x v="9"/>
    <n v="2025"/>
    <s v="CLEAN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x v="198"/>
    <n v="676.97"/>
    <x v="198"/>
    <x v="3"/>
    <s v="Cancelled"/>
    <s v=""/>
    <s v=""/>
    <n v="-0.58747117266059101"/>
    <n v="1125.3509999999999"/>
    <n v="448.38099999999986"/>
    <n v="0.39843657667696558"/>
    <n v="1"/>
    <x v="10"/>
    <n v="2024"/>
    <s v="WARNING"/>
  </r>
  <r>
    <s v="ORD-2024-10200"/>
    <d v="2024-12-03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x v="199"/>
    <n v="5437.64"/>
    <x v="199"/>
    <x v="0"/>
    <s v="Completed"/>
    <s v=""/>
    <s v="Invalid Shipping Record"/>
    <n v="1.3271856563895552"/>
    <n v="9835.11"/>
    <n v="4397.47"/>
    <n v="0.44711955433136996"/>
    <e v="#NUM!"/>
    <x v="7"/>
    <n v="2024"/>
    <s v="INVALID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x v="200"/>
    <n v="9197.08"/>
    <x v="200"/>
    <x v="2"/>
    <s v="Cancelled"/>
    <s v=""/>
    <s v=""/>
    <n v="-0.10880696539805437"/>
    <n v="12907.980000000001"/>
    <n v="3710.9000000000015"/>
    <n v="0.28748882474252369"/>
    <n v="8"/>
    <x v="10"/>
    <n v="2025"/>
    <s v="WARNING"/>
  </r>
  <r>
    <s v="ORD-2025-10202"/>
    <d v="2025-07-26T00:00:00"/>
    <d v="2025-03-08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x v="201"/>
    <n v="2954.86"/>
    <x v="201"/>
    <x v="1"/>
    <s v="Cancelled"/>
    <s v="Invalid Discount"/>
    <s v="Invalid Shipping Record"/>
    <n v="-2.5978608431632444"/>
    <n v="5808.1895999999997"/>
    <n v="2853.3295999999996"/>
    <n v="0.49125972058487893"/>
    <e v="#NUM!"/>
    <x v="0"/>
    <n v="2025"/>
    <s v="INVALID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x v="202"/>
    <n v="11290.06"/>
    <x v="202"/>
    <x v="0"/>
    <s v="Completed"/>
    <s v=""/>
    <s v=""/>
    <n v="-0.58747117266059101"/>
    <n v="13231.144"/>
    <n v="1941.0840000000007"/>
    <n v="0.14670568168557463"/>
    <n v="0"/>
    <x v="9"/>
    <n v="2025"/>
    <s v="CLEAN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x v="203"/>
    <n v="333.54"/>
    <x v="203"/>
    <x v="0"/>
    <s v="Completed"/>
    <s v=""/>
    <s v=""/>
    <n v="0.3698572418644821"/>
    <n v="484.78899999999999"/>
    <n v="151.24899999999997"/>
    <n v="0.3119893396921134"/>
    <n v="2"/>
    <x v="9"/>
    <n v="2024"/>
    <s v="CLEAN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x v="204"/>
    <n v="1217.99"/>
    <x v="204"/>
    <x v="0"/>
    <s v="Completed"/>
    <s v=""/>
    <s v=""/>
    <n v="0.3698572418644821"/>
    <n v="1624.146"/>
    <n v="406.15599999999995"/>
    <n v="0.25007357712914968"/>
    <n v="3"/>
    <x v="0"/>
    <n v="2025"/>
    <s v="CLEAN"/>
  </r>
  <r>
    <s v="ORD-2025-10206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x v="205"/>
    <n v="3329.99"/>
    <x v="205"/>
    <x v="0"/>
    <s v="Completed"/>
    <s v=""/>
    <s v=""/>
    <n v="0.84852144912701888"/>
    <n v="4193.232"/>
    <n v="863.24200000000019"/>
    <n v="0.2058655471483572"/>
    <n v="5"/>
    <x v="11"/>
    <n v="2025"/>
    <s v="CLEAN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x v="206"/>
    <n v="286.38"/>
    <x v="206"/>
    <x v="0"/>
    <s v="Completed"/>
    <s v=""/>
    <s v=""/>
    <n v="-1.0661353799231277"/>
    <n v="430.26"/>
    <n v="143.88"/>
    <n v="0.33440245432994004"/>
    <n v="2"/>
    <x v="3"/>
    <n v="2025"/>
    <s v="CLEAN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x v="207"/>
    <n v="996.41"/>
    <x v="207"/>
    <x v="0"/>
    <s v="Completed"/>
    <s v=""/>
    <s v=""/>
    <n v="0.84852144912701888"/>
    <n v="1752.7200000000003"/>
    <n v="756.31000000000029"/>
    <n v="0.43150645853302305"/>
    <n v="6"/>
    <x v="0"/>
    <n v="2024"/>
    <s v="CLEAN"/>
  </r>
  <r>
    <s v="ORD-2025-10209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x v="208"/>
    <n v="634.91"/>
    <x v="208"/>
    <x v="0"/>
    <s v="Completed"/>
    <s v=""/>
    <s v=""/>
    <n v="-1.0661353799231277"/>
    <n v="999.83"/>
    <n v="364.92000000000007"/>
    <n v="0.3649820469479812"/>
    <n v="6"/>
    <x v="10"/>
    <n v="2025"/>
    <s v="CLEAN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x v="209"/>
    <n v="4640.88"/>
    <x v="209"/>
    <x v="0"/>
    <s v="Completed"/>
    <s v=""/>
    <s v=""/>
    <n v="-0.10880696539805437"/>
    <n v="7006.3379999999997"/>
    <n v="2365.4579999999996"/>
    <n v="0.33761688345609359"/>
    <n v="1"/>
    <x v="1"/>
    <n v="2025"/>
    <s v="CLEAN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x v="210"/>
    <n v="2937.07"/>
    <x v="210"/>
    <x v="3"/>
    <s v="Returned"/>
    <s v=""/>
    <s v=""/>
    <n v="-1.0661353799231277"/>
    <n v="4131.3599999999997"/>
    <n v="1194.2899999999995"/>
    <n v="0.28907914100925591"/>
    <n v="3"/>
    <x v="9"/>
    <n v="2024"/>
    <s v="CLEAN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x v="211"/>
    <n v="22885.24"/>
    <x v="211"/>
    <x v="0"/>
    <s v="Completed"/>
    <s v=""/>
    <s v=""/>
    <n v="0.84852144912701888"/>
    <n v="27020.48"/>
    <n v="4135.239999999998"/>
    <n v="0.15304095264036752"/>
    <n v="1"/>
    <x v="3"/>
    <n v="2024"/>
    <s v="CLEAN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x v="212"/>
    <n v="280.74"/>
    <x v="212"/>
    <x v="0"/>
    <s v="Completed"/>
    <s v=""/>
    <s v=""/>
    <n v="0.3698572418644821"/>
    <n v="364.65"/>
    <n v="83.909999999999968"/>
    <n v="0.23011106540518297"/>
    <n v="0"/>
    <x v="6"/>
    <n v="2024"/>
    <s v="CLEAN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x v="213"/>
    <n v="11294.06"/>
    <x v="213"/>
    <x v="0"/>
    <s v="Completed"/>
    <s v=""/>
    <s v=""/>
    <n v="0.84852144912701888"/>
    <n v="13864.735999999999"/>
    <n v="2570.6759999999995"/>
    <n v="0.18541110339208763"/>
    <n v="6"/>
    <x v="3"/>
    <n v="2024"/>
    <s v="CLEAN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x v="214"/>
    <n v="569"/>
    <x v="214"/>
    <x v="0"/>
    <s v="Completed"/>
    <s v=""/>
    <s v=""/>
    <n v="-0.58747117266059101"/>
    <n v="707.31299999999999"/>
    <n v="138.31299999999999"/>
    <n v="0.19554709159876885"/>
    <n v="6"/>
    <x v="9"/>
    <n v="2024"/>
    <s v="CLEAN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x v="215"/>
    <n v="10916.01"/>
    <x v="215"/>
    <x v="0"/>
    <s v="Completed"/>
    <s v=""/>
    <s v=""/>
    <n v="1.3271856563895552"/>
    <n v="19214.400000000001"/>
    <n v="8298.3900000000012"/>
    <n v="0.43188389957531853"/>
    <n v="3"/>
    <x v="9"/>
    <n v="2024"/>
    <s v="CLEAN"/>
  </r>
  <r>
    <s v="ORD-2025-10217"/>
    <d v="2025-10-04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x v="216"/>
    <n v="7642.91"/>
    <x v="216"/>
    <x v="3"/>
    <s v="Returned"/>
    <s v=""/>
    <s v="Invalid Shipping Record"/>
    <n v="1.3271856563895552"/>
    <n v="11039.22"/>
    <n v="3396.3099999999995"/>
    <n v="0.30765851210502188"/>
    <e v="#NUM!"/>
    <x v="4"/>
    <n v="2025"/>
    <s v="INVALID"/>
  </r>
  <r>
    <s v="ORD-2025-10218"/>
    <d v="2025-04-01T00:00:00"/>
    <d v="2025-08-04T00:00:00"/>
    <s v="CUST-4533"/>
    <s v="Aditi Sen"/>
    <x v="0"/>
    <x v="1"/>
    <s v="Odisha"/>
    <s v="Bhubaneswar"/>
    <x v="1"/>
    <x v="10"/>
    <s v="Basic Bookcases 405"/>
    <x v="0"/>
    <n v="5"/>
    <n v="1021.28"/>
    <n v="0.1"/>
    <x v="217"/>
    <n v="3396.8"/>
    <x v="217"/>
    <x v="1"/>
    <s v="Cancelled"/>
    <s v=""/>
    <s v=""/>
    <n v="-0.10880696539805437"/>
    <n v="4595.76"/>
    <n v="1198.96"/>
    <n v="0.26088394520166414"/>
    <n v="125"/>
    <x v="11"/>
    <n v="2025"/>
    <s v="WARNING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x v="218"/>
    <n v="756.93"/>
    <x v="218"/>
    <x v="0"/>
    <s v="Completed"/>
    <s v=""/>
    <s v=""/>
    <n v="-1.0661353799231277"/>
    <n v="1291.3999999999999"/>
    <n v="534.46999999999991"/>
    <n v="0.41386866966083319"/>
    <n v="1"/>
    <x v="5"/>
    <n v="2025"/>
    <s v="CLEAN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x v="219"/>
    <n v="161.41999999999999"/>
    <x v="219"/>
    <x v="0"/>
    <s v="Completed"/>
    <s v="Invalid Discount"/>
    <s v=""/>
    <n v="7.0711561435399943"/>
    <n v="36.447000000000003"/>
    <n v="-124.97299999999998"/>
    <n v="-3.4288967541910162"/>
    <n v="1"/>
    <x v="10"/>
    <n v="2024"/>
    <s v="INVALID"/>
  </r>
  <r>
    <s v="ORD-2024-10221"/>
    <d v="2024-03-09T00:00:00"/>
    <d v="2024-03-09T00:00:00"/>
    <s v="CUST-1031"/>
    <s v="Sneha Kapoor"/>
    <x v="0"/>
    <x v="2"/>
    <s v="Kerala"/>
    <s v="Kochi"/>
    <x v="0"/>
    <x v="8"/>
    <s v="Elite Storage 925"/>
    <x v="2"/>
    <n v="4"/>
    <n v="2810.17"/>
    <n v="0.15"/>
    <x v="220"/>
    <n v="6068.47"/>
    <x v="220"/>
    <x v="1"/>
    <s v="Cancelled"/>
    <s v=""/>
    <s v=""/>
    <n v="0.3698572418644821"/>
    <n v="9554.5779999999995"/>
    <n v="3486.1079999999993"/>
    <n v="0.36486258210462036"/>
    <n v="0"/>
    <x v="9"/>
    <n v="2024"/>
    <s v="WARNING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x v="221"/>
    <n v="3552.69"/>
    <x v="221"/>
    <x v="0"/>
    <s v="Completed"/>
    <s v=""/>
    <s v=""/>
    <n v="0.84852144912701888"/>
    <n v="4900.8959999999997"/>
    <n v="1348.2059999999997"/>
    <n v="0.27509377877024932"/>
    <n v="3"/>
    <x v="8"/>
    <n v="2025"/>
    <s v="CLEAN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x v="222"/>
    <n v="17729.09"/>
    <x v="222"/>
    <x v="0"/>
    <s v="Completed"/>
    <s v=""/>
    <s v=""/>
    <n v="-1.0661353799231277"/>
    <n v="25848.54"/>
    <n v="8119.4500000000007"/>
    <n v="0.31411638723115504"/>
    <n v="3"/>
    <x v="11"/>
    <n v="2025"/>
    <s v="CLEAN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x v="223"/>
    <n v="654.33000000000004"/>
    <x v="223"/>
    <x v="2"/>
    <s v="Returned"/>
    <s v=""/>
    <s v=""/>
    <n v="0.84852144912701888"/>
    <n v="1176.72"/>
    <n v="522.39"/>
    <n v="0.44393738527432181"/>
    <n v="7"/>
    <x v="5"/>
    <n v="2025"/>
    <s v="CLEAN"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x v="224"/>
    <n v="6682.92"/>
    <x v="224"/>
    <x v="0"/>
    <s v="Cancelled"/>
    <s v=""/>
    <s v=""/>
    <n v="1.3271856563895552"/>
    <n v="11833.92"/>
    <n v="5151"/>
    <n v="0.43527419485681834"/>
    <n v="240"/>
    <x v="5"/>
    <n v="2025"/>
    <s v="WARNING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x v="225"/>
    <n v="4293.1099999999997"/>
    <x v="225"/>
    <x v="0"/>
    <s v="Completed"/>
    <s v=""/>
    <s v=""/>
    <n v="0.3698572418644821"/>
    <n v="5265.5969999999998"/>
    <n v="972.48700000000008"/>
    <n v="0.18468694053114967"/>
    <n v="8"/>
    <x v="6"/>
    <n v="2024"/>
    <s v="CLEAN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x v="226"/>
    <n v="1110.23"/>
    <x v="226"/>
    <x v="0"/>
    <s v="Completed"/>
    <s v=""/>
    <s v=""/>
    <n v="-0.10880696539805437"/>
    <n v="1987.443"/>
    <n v="877.21299999999997"/>
    <n v="0.44137768982556985"/>
    <n v="5"/>
    <x v="11"/>
    <n v="2025"/>
    <s v="CLEAN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x v="227"/>
    <n v="899.86"/>
    <x v="227"/>
    <x v="0"/>
    <s v="Completed"/>
    <s v=""/>
    <s v=""/>
    <n v="0.3698572418644821"/>
    <n v="1473.2625"/>
    <n v="573.40250000000003"/>
    <n v="0.38920592901808065"/>
    <n v="7"/>
    <x v="0"/>
    <n v="2024"/>
    <s v="CLEAN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x v="228"/>
    <n v="1551.55"/>
    <x v="228"/>
    <x v="0"/>
    <s v="Completed"/>
    <s v=""/>
    <s v=""/>
    <n v="0.3698572418644821"/>
    <n v="2715.2145"/>
    <n v="1163.6645000000001"/>
    <n v="0.42857184948003191"/>
    <n v="4"/>
    <x v="11"/>
    <n v="2024"/>
    <s v="CLEAN"/>
  </r>
  <r>
    <s v="ORD-2025-10230"/>
    <d v="2025-06-28T00:00:00"/>
    <d v="2025-04-07T00:00:00"/>
    <s v="CUST-1943"/>
    <s v="Rohan Mehta"/>
    <x v="0"/>
    <x v="2"/>
    <s v="Telangana"/>
    <s v="Hyderabad"/>
    <x v="1"/>
    <x v="10"/>
    <s v="Smart Bookcases 662"/>
    <x v="2"/>
    <n v="3"/>
    <n v="2886.23"/>
    <n v="0"/>
    <x v="229"/>
    <n v="5535.94"/>
    <x v="229"/>
    <x v="1"/>
    <s v="Returned"/>
    <s v=""/>
    <s v="Invalid Shipping Record"/>
    <n v="-1.0661353799231277"/>
    <n v="8658.69"/>
    <n v="3122.7500000000009"/>
    <n v="0.36064924370776652"/>
    <e v="#NUM!"/>
    <x v="10"/>
    <n v="2025"/>
    <s v="INVALID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x v="230"/>
    <n v="8840.9500000000007"/>
    <x v="230"/>
    <x v="0"/>
    <s v="Completed"/>
    <s v=""/>
    <s v=""/>
    <n v="-0.10880696539805437"/>
    <n v="11090.376"/>
    <n v="2249.4259999999995"/>
    <n v="0.20282684734944958"/>
    <n v="6"/>
    <x v="3"/>
    <n v="2024"/>
    <s v="CLEAN"/>
  </r>
  <r>
    <s v="ORD-2024-10232"/>
    <d v="2024-05-02T00:00:00"/>
    <d v="2024-02-05T00:00:00"/>
    <s v="CUST-9139"/>
    <s v="Ananya Rao"/>
    <x v="2"/>
    <x v="0"/>
    <s v="Rajasthan"/>
    <s v="Jaipur"/>
    <x v="0"/>
    <x v="7"/>
    <s v="Max Labels 370"/>
    <x v="2"/>
    <n v="7"/>
    <n v="2183.38"/>
    <n v="0.25"/>
    <x v="231"/>
    <n v="7163.54"/>
    <x v="231"/>
    <x v="1"/>
    <s v="Cancelled"/>
    <s v=""/>
    <s v="Invalid Shipping Record"/>
    <n v="1.3271856563895552"/>
    <n v="11462.744999999999"/>
    <n v="4299.204999999999"/>
    <n v="0.37505894094302888"/>
    <e v="#NUM!"/>
    <x v="3"/>
    <n v="2024"/>
    <s v="INVALID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x v="232"/>
    <n v="559.57000000000005"/>
    <x v="232"/>
    <x v="0"/>
    <s v="Completed"/>
    <s v=""/>
    <s v=""/>
    <n v="1.3271856563895552"/>
    <n v="670.11"/>
    <n v="110.53999999999996"/>
    <n v="0.16495799197146732"/>
    <n v="6"/>
    <x v="10"/>
    <n v="2025"/>
    <s v="CLEAN"/>
  </r>
  <r>
    <s v="ORD-2024-10234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x v="233"/>
    <n v="26377.7"/>
    <x v="233"/>
    <x v="0"/>
    <s v="Completed"/>
    <s v=""/>
    <s v=""/>
    <n v="-1.0661353799231277"/>
    <n v="31236.720000000001"/>
    <n v="4859.0200000000004"/>
    <n v="0.15555474454424154"/>
    <n v="0"/>
    <x v="4"/>
    <n v="2024"/>
    <s v="CLEAN"/>
  </r>
  <r>
    <s v="ORD-2024-10235"/>
    <d v="2024-02-09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x v="234"/>
    <n v="9262.4699999999993"/>
    <x v="234"/>
    <x v="0"/>
    <s v="Completed"/>
    <s v=""/>
    <s v=""/>
    <n v="-0.10880696539805437"/>
    <n v="10964.241"/>
    <n v="1701.7710000000006"/>
    <n v="0.15521101734265058"/>
    <n v="207"/>
    <x v="5"/>
    <n v="2024"/>
    <s v="CLEAN"/>
  </r>
  <r>
    <s v="ORD-2024-10236"/>
    <d v="2024-02-11T00:00:00"/>
    <d v="2024-03-11T00:00:00"/>
    <s v="CUST-6256"/>
    <s v="Rahul Verma"/>
    <x v="1"/>
    <x v="3"/>
    <s v="Rajasthan"/>
    <s v="Udaipur"/>
    <x v="0"/>
    <x v="8"/>
    <s v="Basic Storage 195"/>
    <x v="3"/>
    <n v="6"/>
    <n v="2671.29"/>
    <n v="0.05"/>
    <x v="235"/>
    <n v="11145.28"/>
    <x v="235"/>
    <x v="0"/>
    <s v="Completed"/>
    <s v=""/>
    <s v=""/>
    <n v="-0.58747117266059101"/>
    <n v="15226.352999999999"/>
    <n v="4081.0729999999985"/>
    <n v="0.26802695300706603"/>
    <n v="29"/>
    <x v="5"/>
    <n v="2024"/>
    <s v="CLEAN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x v="236"/>
    <n v="18533.39"/>
    <x v="236"/>
    <x v="0"/>
    <s v="Completed"/>
    <s v=""/>
    <s v=""/>
    <n v="-1.0661353799231277"/>
    <n v="24376.68"/>
    <n v="5843.2900000000009"/>
    <n v="0.23970819652224998"/>
    <n v="7"/>
    <x v="4"/>
    <n v="2024"/>
    <s v="CLEAN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x v="237"/>
    <n v="13504.88"/>
    <x v="237"/>
    <x v="0"/>
    <s v="Completed"/>
    <s v=""/>
    <s v=""/>
    <n v="-1.0661353799231277"/>
    <n v="20972.7"/>
    <n v="7467.8200000000015"/>
    <n v="0.35607337157352181"/>
    <n v="0"/>
    <x v="1"/>
    <n v="2024"/>
    <s v="CLEAN"/>
  </r>
  <r>
    <s v="ORD-2024-10239"/>
    <d v="2024-12-01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x v="238"/>
    <n v="18838.75"/>
    <x v="238"/>
    <x v="0"/>
    <s v="Completed"/>
    <s v="Invalid Discount"/>
    <s v="Invalid Shipping Record"/>
    <n v="4.1991708999647752"/>
    <n v="12615.907499999999"/>
    <n v="-6222.8425000000007"/>
    <n v="-0.4932536561480021"/>
    <e v="#NUM!"/>
    <x v="7"/>
    <n v="2024"/>
    <s v="INVALID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x v="239"/>
    <n v="2279.4899999999998"/>
    <x v="239"/>
    <x v="0"/>
    <s v="Completed"/>
    <s v=""/>
    <s v=""/>
    <n v="0.84852144912701888"/>
    <n v="3136.096"/>
    <n v="856.60600000000022"/>
    <n v="0.273144061916472"/>
    <n v="0"/>
    <x v="6"/>
    <n v="2024"/>
    <s v="CLEAN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x v="240"/>
    <n v="13928.19"/>
    <x v="240"/>
    <x v="0"/>
    <s v="Completed"/>
    <s v=""/>
    <s v=""/>
    <n v="-1.0661353799231277"/>
    <n v="20835.899999999998"/>
    <n v="6907.7099999999973"/>
    <n v="0.33152923559817421"/>
    <n v="6"/>
    <x v="7"/>
    <n v="2024"/>
    <s v="CLEAN"/>
  </r>
  <r>
    <s v="ORD-2025-10242"/>
    <d v="2025-06-07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x v="241"/>
    <n v="690.52"/>
    <x v="241"/>
    <x v="2"/>
    <s v="Returned"/>
    <s v=""/>
    <s v=""/>
    <n v="1.3271856563895552"/>
    <n v="1212.9000000000001"/>
    <n v="522.38000000000011"/>
    <n v="0.4306867837414462"/>
    <n v="29"/>
    <x v="10"/>
    <n v="2025"/>
    <s v="CLEAN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x v="242"/>
    <n v="4251.5"/>
    <x v="242"/>
    <x v="0"/>
    <s v="Completed"/>
    <s v=""/>
    <s v=""/>
    <n v="-0.58747117266059101"/>
    <n v="5697.8339999999998"/>
    <n v="1446.3339999999998"/>
    <n v="0.25383926593860051"/>
    <n v="0"/>
    <x v="5"/>
    <n v="2025"/>
    <s v="CLEAN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x v="243"/>
    <n v="2509.1999999999998"/>
    <x v="243"/>
    <x v="0"/>
    <s v="Completed"/>
    <s v=""/>
    <s v=""/>
    <n v="-0.10880696539805437"/>
    <n v="4049.5140000000001"/>
    <n v="1540.3140000000003"/>
    <n v="0.38037008885510715"/>
    <n v="4"/>
    <x v="0"/>
    <n v="2025"/>
    <s v="CLEAN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x v="244"/>
    <n v="4060.88"/>
    <x v="244"/>
    <x v="0"/>
    <s v="Completed"/>
    <s v=""/>
    <s v=""/>
    <n v="-1.0661353799231277"/>
    <n v="6131.34"/>
    <n v="2070.46"/>
    <n v="0.33768474754295147"/>
    <n v="1"/>
    <x v="1"/>
    <n v="2024"/>
    <s v="CLEAN"/>
  </r>
  <r>
    <s v="ORD-2024-10246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x v="245"/>
    <n v="5478.28"/>
    <x v="245"/>
    <x v="0"/>
    <s v="Completed"/>
    <s v=""/>
    <s v=""/>
    <n v="-1.0661353799231277"/>
    <n v="9827.7899999999991"/>
    <n v="4349.5099999999993"/>
    <n v="0.44257254174132737"/>
    <n v="6"/>
    <x v="4"/>
    <n v="2024"/>
    <s v="CLEAN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x v="246"/>
    <n v="444.52"/>
    <x v="246"/>
    <x v="1"/>
    <s v="Cancelled"/>
    <s v=""/>
    <s v=""/>
    <n v="1.3271856563895552"/>
    <n v="521.88749999999993"/>
    <n v="77.36749999999995"/>
    <n v="0.14824555100476627"/>
    <n v="5"/>
    <x v="3"/>
    <n v="2024"/>
    <s v="WARNING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x v="247"/>
    <n v="12500.84"/>
    <x v="247"/>
    <x v="0"/>
    <s v="Completed"/>
    <s v=""/>
    <s v=""/>
    <n v="1.3271856563895552"/>
    <n v="14960.400000000001"/>
    <n v="2459.5600000000013"/>
    <n v="0.16440469506162944"/>
    <n v="7"/>
    <x v="0"/>
    <n v="2024"/>
    <s v="CLEAN"/>
  </r>
  <r>
    <s v="ORD-2024-10249"/>
    <d v="2024-02-06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x v="248"/>
    <n v="4883.82"/>
    <x v="248"/>
    <x v="0"/>
    <s v="Completed"/>
    <s v=""/>
    <s v=""/>
    <n v="0.3698572418644821"/>
    <n v="6027.5114999999996"/>
    <n v="1143.6914999999999"/>
    <n v="0.18974522072666306"/>
    <n v="122"/>
    <x v="5"/>
    <n v="2024"/>
    <s v="CLEAN"/>
  </r>
  <r>
    <s v="ORD-2025-10250"/>
    <d v="2025-01-08T00:00:00"/>
    <d v="2025-02-08T00:00:00"/>
    <s v="CUST-2305"/>
    <s v="Mira Das"/>
    <x v="2"/>
    <x v="0"/>
    <s v="Rajasthan"/>
    <s v="Jaipur"/>
    <x v="1"/>
    <x v="3"/>
    <s v="Classic Furnishings 378"/>
    <x v="2"/>
    <n v="4"/>
    <n v="2790.29"/>
    <n v="0.2"/>
    <x v="249"/>
    <n v="5634.38"/>
    <x v="249"/>
    <x v="0"/>
    <s v="Completed"/>
    <s v=""/>
    <s v=""/>
    <n v="0.84852144912701888"/>
    <n v="8928.9279999999999"/>
    <n v="3294.5479999999998"/>
    <n v="0.36897464062875185"/>
    <n v="31"/>
    <x v="8"/>
    <n v="2025"/>
    <s v="CLEAN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x v="250"/>
    <n v="11897.65"/>
    <x v="250"/>
    <x v="2"/>
    <s v="Returned"/>
    <s v=""/>
    <s v=""/>
    <n v="0.3698572418644821"/>
    <n v="14338.904999999999"/>
    <n v="2441.2549999999992"/>
    <n v="0.17025393501107647"/>
    <n v="6"/>
    <x v="5"/>
    <n v="2024"/>
    <s v="CLEAN"/>
  </r>
  <r>
    <s v="ORD-2025-10252"/>
    <d v="2025-04-06T00:00:00"/>
    <d v="2025-10-04T00:00:00"/>
    <s v="CUST-6268"/>
    <s v="Ananya Rao"/>
    <x v="2"/>
    <x v="3"/>
    <s v="Gujarat"/>
    <s v="Ahmedabad"/>
    <x v="1"/>
    <x v="1"/>
    <s v="Prime Tables 263"/>
    <x v="0"/>
    <n v="6"/>
    <n v="1022.16"/>
    <n v="0"/>
    <x v="251"/>
    <n v="4881.1000000000004"/>
    <x v="251"/>
    <x v="0"/>
    <s v="Completed"/>
    <s v=""/>
    <s v=""/>
    <n v="-1.0661353799231277"/>
    <n v="6132.96"/>
    <n v="1251.8599999999997"/>
    <n v="0.20412003339333692"/>
    <n v="181"/>
    <x v="11"/>
    <n v="2025"/>
    <s v="CLEAN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x v="252"/>
    <n v="1603.62"/>
    <x v="252"/>
    <x v="2"/>
    <s v="Returned"/>
    <s v=""/>
    <s v=""/>
    <n v="0.84852144912701888"/>
    <n v="2329.4720000000002"/>
    <n v="725.85200000000032"/>
    <n v="0.31159507390515973"/>
    <n v="3"/>
    <x v="10"/>
    <n v="2025"/>
    <s v="CLEAN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x v="253"/>
    <n v="2825.38"/>
    <x v="32"/>
    <x v="1"/>
    <s v="Cancelled"/>
    <s v=""/>
    <s v=""/>
    <n v="-0.58747117266059101"/>
    <n v="4746.9029999999993"/>
    <n v="1921.5229999999992"/>
    <n v="0.40479508428969363"/>
    <n v="1"/>
    <x v="6"/>
    <n v="2024"/>
    <s v="WARNING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x v="254"/>
    <n v="3132.52"/>
    <x v="253"/>
    <x v="0"/>
    <s v="Returned"/>
    <s v=""/>
    <s v=""/>
    <n v="0.84852144912701888"/>
    <n v="5603.08"/>
    <n v="2470.56"/>
    <n v="0.44092891766671188"/>
    <n v="2"/>
    <x v="8"/>
    <n v="2025"/>
    <s v="CLEAN"/>
  </r>
  <r>
    <s v="ORD-2025-10256"/>
    <d v="2025-02-04T00:00:00"/>
    <d v="2025-10-02T00:00:00"/>
    <s v="CUST-1549"/>
    <s v="Isha Nair"/>
    <x v="2"/>
    <x v="3"/>
    <s v="Maharashtra"/>
    <s v="Mumbai"/>
    <x v="2"/>
    <x v="11"/>
    <s v="Eco Phones 132"/>
    <x v="2"/>
    <n v="7"/>
    <n v="1830"/>
    <n v="0"/>
    <x v="255"/>
    <n v="9334.1200000000008"/>
    <x v="254"/>
    <x v="0"/>
    <s v="Completed"/>
    <s v=""/>
    <s v=""/>
    <n v="-1.0661353799231277"/>
    <n v="12810"/>
    <n v="3475.8799999999992"/>
    <n v="0.27134113973458229"/>
    <n v="240"/>
    <x v="5"/>
    <n v="2025"/>
    <s v="CLEAN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x v="256"/>
    <n v="12039.5"/>
    <x v="255"/>
    <x v="0"/>
    <s v="Completed"/>
    <s v=""/>
    <s v="Invalid Shipping Record"/>
    <n v="-0.58747117266059101"/>
    <n v="19328.215500000002"/>
    <n v="7288.7155000000021"/>
    <n v="0.3771023507058891"/>
    <e v="#NUM!"/>
    <x v="2"/>
    <n v="2024"/>
    <s v="INVALID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x v="257"/>
    <n v="5095.91"/>
    <x v="256"/>
    <x v="0"/>
    <s v="Cancelled"/>
    <s v=""/>
    <s v=""/>
    <n v="-1.0661353799231277"/>
    <n v="6474.54"/>
    <n v="1378.63"/>
    <n v="0.21293095725719513"/>
    <n v="3"/>
    <x v="1"/>
    <n v="2025"/>
    <s v="WARNING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x v="258"/>
    <n v="4307.01"/>
    <x v="257"/>
    <x v="0"/>
    <s v="Completed"/>
    <s v=""/>
    <s v=""/>
    <n v="1.3271856563895552"/>
    <n v="5580.1050000000005"/>
    <n v="1273.0950000000003"/>
    <n v="0.22814893268137429"/>
    <n v="5"/>
    <x v="7"/>
    <n v="2024"/>
    <s v="CLEAN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x v="259"/>
    <n v="10437.14"/>
    <x v="258"/>
    <x v="0"/>
    <s v="Completed"/>
    <s v=""/>
    <s v=""/>
    <n v="0.84852144912701888"/>
    <n v="18265.088"/>
    <n v="7827.9480000000003"/>
    <n v="0.42857433810338064"/>
    <n v="8"/>
    <x v="10"/>
    <n v="2024"/>
    <s v="CLEAN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x v="260"/>
    <n v="10891.15"/>
    <x v="259"/>
    <x v="3"/>
    <s v="Returned"/>
    <s v=""/>
    <s v=""/>
    <n v="1.3271856563895552"/>
    <n v="15209.880000000001"/>
    <n v="4318.7300000000014"/>
    <n v="0.28394241111698454"/>
    <n v="4"/>
    <x v="6"/>
    <n v="2025"/>
    <s v="CLEAN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x v="261"/>
    <n v="987.91"/>
    <x v="260"/>
    <x v="3"/>
    <s v="Cancelled"/>
    <s v=""/>
    <s v=""/>
    <n v="0.84852144912701888"/>
    <n v="1648.1760000000004"/>
    <n v="660.26600000000042"/>
    <n v="0.40060406170214846"/>
    <n v="6"/>
    <x v="10"/>
    <n v="2025"/>
    <s v="WARNING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x v="262"/>
    <n v="8581.35"/>
    <x v="261"/>
    <x v="2"/>
    <s v="Returned"/>
    <s v=""/>
    <s v=""/>
    <n v="-1.0661353799231277"/>
    <n v="13399.44"/>
    <n v="4818.09"/>
    <n v="0.3595739821962709"/>
    <n v="6"/>
    <x v="3"/>
    <n v="2025"/>
    <s v="CLEAN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x v="263"/>
    <n v="22452.05"/>
    <x v="262"/>
    <x v="2"/>
    <s v="Returned"/>
    <s v=""/>
    <s v=""/>
    <n v="-0.10880696539805437"/>
    <n v="32743.844999999998"/>
    <n v="10291.794999999998"/>
    <n v="0.314312353970647"/>
    <n v="4"/>
    <x v="1"/>
    <n v="2025"/>
    <s v="CLEAN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x v="264"/>
    <n v="3927.64"/>
    <x v="263"/>
    <x v="0"/>
    <s v="Completed"/>
    <s v=""/>
    <s v=""/>
    <n v="-1.0661353799231277"/>
    <n v="6012.28"/>
    <n v="2084.64"/>
    <n v="0.34673035853286938"/>
    <n v="5"/>
    <x v="3"/>
    <n v="2024"/>
    <s v="CLEAN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x v="265"/>
    <n v="285.13"/>
    <x v="264"/>
    <x v="1"/>
    <s v="Cancelled"/>
    <s v=""/>
    <s v=""/>
    <n v="0.3698572418644821"/>
    <n v="495.0145"/>
    <n v="209.8845"/>
    <n v="0.42399667080459258"/>
    <n v="8"/>
    <x v="2"/>
    <n v="2024"/>
    <s v="WARNING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x v="266"/>
    <n v="10170.57"/>
    <x v="265"/>
    <x v="0"/>
    <s v="Completed"/>
    <s v=""/>
    <s v=""/>
    <n v="-1.0661353799231277"/>
    <n v="13017.72"/>
    <n v="2847.1499999999996"/>
    <n v="0.21871341525244051"/>
    <n v="7"/>
    <x v="3"/>
    <n v="2025"/>
    <s v="CLEAN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x v="267"/>
    <n v="557.22"/>
    <x v="266"/>
    <x v="0"/>
    <s v="Completed"/>
    <s v=""/>
    <s v=""/>
    <n v="1.3271856563895552"/>
    <n v="785.40000000000009"/>
    <n v="228.18000000000006"/>
    <n v="0.29052711993888469"/>
    <n v="7"/>
    <x v="3"/>
    <n v="2025"/>
    <s v="CLEAN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x v="268"/>
    <n v="2124.6"/>
    <x v="267"/>
    <x v="0"/>
    <s v="Completed"/>
    <s v=""/>
    <s v=""/>
    <n v="1.3271856563895552"/>
    <n v="3319.05"/>
    <n v="1194.4500000000003"/>
    <n v="0.35987707325891449"/>
    <n v="0"/>
    <x v="1"/>
    <n v="2025"/>
    <s v="CLEAN"/>
  </r>
  <r>
    <s v="ORD-2025-10270"/>
    <d v="2025-10-02T00:00:00"/>
    <d v="2025-12-02T00:00:00"/>
    <s v="CUST-1586"/>
    <s v="Rahul Verma"/>
    <x v="1"/>
    <x v="3"/>
    <s v="Rajasthan"/>
    <s v="Udaipur"/>
    <x v="1"/>
    <x v="1"/>
    <s v="Max Tables 526"/>
    <x v="1"/>
    <n v="1"/>
    <n v="1925.86"/>
    <n v="0"/>
    <x v="269"/>
    <n v="1321.89"/>
    <x v="268"/>
    <x v="0"/>
    <s v="Completed"/>
    <s v=""/>
    <s v=""/>
    <n v="-1.0661353799231277"/>
    <n v="1925.86"/>
    <n v="603.9699999999998"/>
    <n v="0.31361054282242729"/>
    <n v="61"/>
    <x v="4"/>
    <n v="2025"/>
    <s v="CLEAN"/>
  </r>
  <r>
    <s v="ORD-2024-10271"/>
    <d v="2024-12-01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x v="270"/>
    <n v="1520.21"/>
    <x v="269"/>
    <x v="0"/>
    <s v="Completed"/>
    <s v=""/>
    <s v="Invalid Shipping Record"/>
    <n v="-1.0661353799231277"/>
    <n v="2482.3200000000002"/>
    <n v="962.11000000000013"/>
    <n v="0.38758500112797706"/>
    <e v="#NUM!"/>
    <x v="7"/>
    <n v="2024"/>
    <s v="INVALID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x v="271"/>
    <n v="9621.19"/>
    <x v="270"/>
    <x v="3"/>
    <s v="Cancelled"/>
    <s v=""/>
    <s v=""/>
    <n v="-1.0661353799231277"/>
    <n v="11674.25"/>
    <n v="2053.0599999999995"/>
    <n v="0.17586226095894808"/>
    <n v="4"/>
    <x v="7"/>
    <n v="2024"/>
    <s v="WARNING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x v="272"/>
    <n v="2191.5"/>
    <x v="271"/>
    <x v="0"/>
    <s v="Completed"/>
    <s v=""/>
    <s v=""/>
    <n v="-0.10880696539805437"/>
    <n v="3510.4230000000002"/>
    <n v="1318.9230000000002"/>
    <n v="0.37571625983535323"/>
    <n v="6"/>
    <x v="1"/>
    <n v="2024"/>
    <s v="CLEAN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x v="273"/>
    <n v="15405.36"/>
    <x v="272"/>
    <x v="0"/>
    <s v="Returned"/>
    <s v=""/>
    <s v=""/>
    <n v="-1.0661353799231277"/>
    <n v="22694.670000000002"/>
    <n v="7289.3100000000013"/>
    <n v="0.32119039404406413"/>
    <n v="0"/>
    <x v="5"/>
    <n v="2025"/>
    <s v="CLEAN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x v="274"/>
    <n v="15490.69"/>
    <x v="273"/>
    <x v="3"/>
    <s v="Returned"/>
    <s v=""/>
    <s v=""/>
    <n v="0.3698572418644821"/>
    <n v="21658.221000000001"/>
    <n v="6167.5310000000009"/>
    <n v="0.28476627881856043"/>
    <n v="7"/>
    <x v="11"/>
    <n v="2024"/>
    <s v="CLEAN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x v="275"/>
    <n v="660.92"/>
    <x v="274"/>
    <x v="0"/>
    <s v="Completed"/>
    <s v=""/>
    <s v=""/>
    <n v="-1.0661353799231277"/>
    <n v="980.51"/>
    <n v="319.59000000000003"/>
    <n v="0.32594262169687205"/>
    <n v="7"/>
    <x v="5"/>
    <n v="2024"/>
    <s v="CLEAN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x v="276"/>
    <n v="8413.5300000000007"/>
    <x v="275"/>
    <x v="0"/>
    <s v="Completed"/>
    <s v="Invalid Discount"/>
    <s v=""/>
    <n v="-2.4063951602582305"/>
    <n v="23198.065200000005"/>
    <n v="14784.535200000004"/>
    <n v="0.63731759836591895"/>
    <n v="1"/>
    <x v="8"/>
    <n v="2024"/>
    <s v="INVALID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x v="277"/>
    <n v="1002.57"/>
    <x v="276"/>
    <x v="2"/>
    <s v="Cancelled"/>
    <s v=""/>
    <s v=""/>
    <n v="0.3698572418644821"/>
    <n v="1813.6704999999999"/>
    <n v="811.1004999999999"/>
    <n v="0.4472149158295291"/>
    <n v="0"/>
    <x v="10"/>
    <n v="2025"/>
    <s v="WARNING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x v="278"/>
    <n v="2148.31"/>
    <x v="277"/>
    <x v="0"/>
    <s v="Returned"/>
    <s v=""/>
    <s v=""/>
    <n v="-0.58747117266059101"/>
    <n v="3780.6579999999999"/>
    <n v="1632.348"/>
    <n v="0.43176293650470365"/>
    <n v="7"/>
    <x v="9"/>
    <n v="2025"/>
    <s v="CLEAN"/>
  </r>
  <r>
    <s v="ORD-2024-10280"/>
    <d v="2024-09-04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x v="279"/>
    <n v="2754.17"/>
    <x v="278"/>
    <x v="0"/>
    <s v="Completed"/>
    <s v=""/>
    <s v="Invalid Shipping Record"/>
    <n v="-0.58747117266059101"/>
    <n v="4141.1639999999998"/>
    <n v="1386.9939999999997"/>
    <n v="0.33492853700070796"/>
    <e v="#NUM!"/>
    <x v="6"/>
    <n v="2024"/>
    <s v="INVALID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x v="280"/>
    <n v="5165.38"/>
    <x v="279"/>
    <x v="0"/>
    <s v="Completed"/>
    <s v=""/>
    <s v=""/>
    <n v="-1.0661353799231277"/>
    <n v="8943.0299999999988"/>
    <n v="3777.6499999999987"/>
    <n v="0.42241276167026154"/>
    <n v="3"/>
    <x v="7"/>
    <n v="2024"/>
    <s v="CLEAN"/>
  </r>
  <r>
    <s v="ORD-2025-10282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x v="281"/>
    <n v="11262.71"/>
    <x v="280"/>
    <x v="0"/>
    <s v="Completed"/>
    <s v=""/>
    <s v=""/>
    <n v="0.84852144912701888"/>
    <n v="16504.223999999998"/>
    <n v="5241.5139999999992"/>
    <n v="0.31758621308096641"/>
    <n v="2"/>
    <x v="0"/>
    <n v="2025"/>
    <s v="CLEAN"/>
  </r>
  <r>
    <s v="ORD-2024-10283"/>
    <d v="2024-10-01T00:00:00"/>
    <d v="2024-02-10T00:00:00"/>
    <s v="CUST-9445"/>
    <s v="Karan Malhotra"/>
    <x v="3"/>
    <x v="1"/>
    <s v="Assam"/>
    <s v="Guwahati"/>
    <x v="1"/>
    <x v="1"/>
    <s v="Classic Tables 811"/>
    <x v="0"/>
    <n v="2"/>
    <n v="2298"/>
    <n v="0"/>
    <x v="282"/>
    <n v="3220.33"/>
    <x v="281"/>
    <x v="0"/>
    <s v="Completed"/>
    <s v=""/>
    <s v="Invalid Shipping Record"/>
    <n v="-1.0661353799231277"/>
    <n v="4596"/>
    <n v="1375.67"/>
    <n v="0.29931897302001742"/>
    <e v="#NUM!"/>
    <x v="4"/>
    <n v="2024"/>
    <s v="INVALID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x v="283"/>
    <n v="1033.47"/>
    <x v="282"/>
    <x v="0"/>
    <s v="Completed"/>
    <s v=""/>
    <s v=""/>
    <n v="-1.0661353799231277"/>
    <n v="1814.01"/>
    <n v="780.54"/>
    <n v="0.43028428729720342"/>
    <n v="7"/>
    <x v="9"/>
    <n v="2025"/>
    <s v="CLEAN"/>
  </r>
  <r>
    <s v="ORD-2024-10285"/>
    <d v="2024-08-12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x v="284"/>
    <n v="3139.73"/>
    <x v="283"/>
    <x v="0"/>
    <s v="Returned"/>
    <s v=""/>
    <s v=""/>
    <n v="-1.0661353799231277"/>
    <n v="4730.76"/>
    <n v="1591.0300000000002"/>
    <n v="0.33631594077907145"/>
    <n v="124"/>
    <x v="1"/>
    <n v="2024"/>
    <s v="CLEAN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x v="285"/>
    <n v="30820.84"/>
    <x v="284"/>
    <x v="0"/>
    <s v="Completed"/>
    <s v=""/>
    <s v=""/>
    <n v="-1.0661353799231277"/>
    <n v="36735.93"/>
    <n v="5915.09"/>
    <n v="0.16101647624001897"/>
    <n v="5"/>
    <x v="1"/>
    <n v="2025"/>
    <s v="CLEAN"/>
  </r>
  <r>
    <s v="ORD-2024-10287"/>
    <d v="2024-02-28T00:00:00"/>
    <d v="2024-02-03T00:00:00"/>
    <s v="CUST-5823"/>
    <s v="Priya Menon"/>
    <x v="1"/>
    <x v="0"/>
    <s v="Delhi"/>
    <s v="New Delhi"/>
    <x v="1"/>
    <x v="3"/>
    <s v="Pro Furnishings 848"/>
    <x v="2"/>
    <n v="7"/>
    <n v="701.8"/>
    <n v="0.1"/>
    <x v="286"/>
    <n v="2489.98"/>
    <x v="285"/>
    <x v="2"/>
    <s v="Returned"/>
    <s v=""/>
    <s v="Invalid Shipping Record"/>
    <n v="-0.10880696539805437"/>
    <n v="4421.3399999999992"/>
    <n v="1931.3599999999992"/>
    <n v="0.43682684435035524"/>
    <e v="#NUM!"/>
    <x v="5"/>
    <n v="2024"/>
    <s v="INVALID"/>
  </r>
  <r>
    <s v="ORD-2024-10288"/>
    <d v="2024-05-09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x v="287"/>
    <n v="4511.54"/>
    <x v="286"/>
    <x v="0"/>
    <s v="Cancelled"/>
    <s v=""/>
    <s v=""/>
    <n v="0.3698572418644821"/>
    <n v="6516.9329999999991"/>
    <n v="2005.3929999999991"/>
    <n v="0.30772036477895343"/>
    <n v="121"/>
    <x v="3"/>
    <n v="2024"/>
    <s v="WARNING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x v="288"/>
    <n v="4904.63"/>
    <x v="287"/>
    <x v="0"/>
    <s v="Completed"/>
    <s v=""/>
    <s v=""/>
    <n v="0.3698572418644821"/>
    <n v="7411.829999999999"/>
    <n v="2507.1999999999989"/>
    <n v="0.3382700358750807"/>
    <n v="0"/>
    <x v="10"/>
    <n v="2024"/>
    <s v="CLEAN"/>
  </r>
  <r>
    <s v="ORD-2025-10290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x v="289"/>
    <n v="7018.97"/>
    <x v="288"/>
    <x v="0"/>
    <s v="Completed"/>
    <s v=""/>
    <s v=""/>
    <n v="-0.58747117266059101"/>
    <n v="8258.7109999999993"/>
    <n v="1239.7409999999991"/>
    <n v="0.15011313508851432"/>
    <n v="8"/>
    <x v="10"/>
    <n v="2025"/>
    <s v="CLEAN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x v="290"/>
    <n v="971.12"/>
    <x v="289"/>
    <x v="0"/>
    <s v="Completed"/>
    <s v=""/>
    <s v=""/>
    <n v="-0.10880696539805437"/>
    <n v="1658.3670000000002"/>
    <n v="687.24700000000018"/>
    <n v="0.41441188832146331"/>
    <n v="4"/>
    <x v="1"/>
    <n v="2025"/>
    <s v="CLEAN"/>
  </r>
  <r>
    <s v="ORD-2024-10292"/>
    <d v="2024-05-04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x v="291"/>
    <n v="7730.04"/>
    <x v="290"/>
    <x v="0"/>
    <s v="Completed"/>
    <s v=""/>
    <s v="Invalid Shipping Record"/>
    <n v="1.3271856563895552"/>
    <n v="9685.98"/>
    <n v="1955.9399999999996"/>
    <n v="0.20193516815025425"/>
    <e v="#NUM!"/>
    <x v="3"/>
    <n v="2024"/>
    <s v="INVALID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x v="292"/>
    <n v="24621.89"/>
    <x v="291"/>
    <x v="2"/>
    <s v="Cancelled"/>
    <s v=""/>
    <s v=""/>
    <n v="-1.0661353799231277"/>
    <n v="33740.549999999996"/>
    <n v="9118.6599999999962"/>
    <n v="0.2702581908119458"/>
    <n v="3"/>
    <x v="5"/>
    <n v="2025"/>
    <s v="WARNING"/>
  </r>
  <r>
    <s v="ORD-2024-10294"/>
    <d v="2024-07-03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x v="293"/>
    <n v="6541.04"/>
    <x v="292"/>
    <x v="0"/>
    <s v="Completed"/>
    <s v="Invalid Discount"/>
    <s v="Invalid Shipping Record"/>
    <n v="5.1564993144898486"/>
    <n v="3081.0569999999998"/>
    <n v="-3459.9830000000002"/>
    <n v="-1.1229857156164267"/>
    <e v="#NUM!"/>
    <x v="0"/>
    <n v="2024"/>
    <s v="INVALID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x v="294"/>
    <n v="12282.43"/>
    <x v="293"/>
    <x v="0"/>
    <s v="Returned"/>
    <s v=""/>
    <s v=""/>
    <n v="1.3271856563895552"/>
    <n v="18716.985000000001"/>
    <n v="6434.5550000000003"/>
    <n v="0.34378159730319813"/>
    <n v="6"/>
    <x v="0"/>
    <n v="2025"/>
    <s v="CLEAN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x v="295"/>
    <n v="5828.54"/>
    <x v="294"/>
    <x v="0"/>
    <s v="Completed"/>
    <s v=""/>
    <s v=""/>
    <n v="-0.10880696539805437"/>
    <n v="9385.3350000000009"/>
    <n v="3556.795000000001"/>
    <n v="0.37897368607513748"/>
    <n v="3"/>
    <x v="10"/>
    <n v="2025"/>
    <s v="CLEAN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x v="296"/>
    <n v="10855.35"/>
    <x v="295"/>
    <x v="0"/>
    <s v="Completed"/>
    <s v=""/>
    <s v=""/>
    <n v="0.3698572418644821"/>
    <n v="17826.591"/>
    <n v="6971.241"/>
    <n v="0.39105855965394615"/>
    <n v="2"/>
    <x v="3"/>
    <n v="2025"/>
    <s v="CLEAN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x v="297"/>
    <n v="3994.72"/>
    <x v="296"/>
    <x v="0"/>
    <s v="Completed"/>
    <s v=""/>
    <s v=""/>
    <n v="0.3698572418644821"/>
    <n v="5966.5920000000006"/>
    <n v="1971.8720000000008"/>
    <n v="0.33048547646629778"/>
    <n v="8"/>
    <x v="4"/>
    <n v="2024"/>
    <s v="CLEAN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x v="298"/>
    <n v="1609.95"/>
    <x v="297"/>
    <x v="3"/>
    <s v="Returned"/>
    <s v=""/>
    <s v=""/>
    <n v="0.84852144912701888"/>
    <n v="1951.5440000000003"/>
    <n v="341.59400000000028"/>
    <n v="0.17503781621116421"/>
    <n v="3"/>
    <x v="8"/>
    <n v="2025"/>
    <s v="CLEAN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x v="299"/>
    <n v="7055.31"/>
    <x v="298"/>
    <x v="0"/>
    <s v="Completed"/>
    <s v=""/>
    <s v=""/>
    <n v="-0.10880696539805437"/>
    <n v="10830.015000000001"/>
    <n v="3774.7050000000008"/>
    <n v="0.34854106850267524"/>
    <n v="6"/>
    <x v="2"/>
    <n v="2024"/>
    <s v="CLEAN"/>
  </r>
  <r>
    <s v="ORD-2024-10301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x v="300"/>
    <n v="22100.14"/>
    <x v="299"/>
    <x v="0"/>
    <s v="Completed"/>
    <s v=""/>
    <s v=""/>
    <n v="-0.10880696539805437"/>
    <n v="31539.293999999998"/>
    <n v="9439.1539999999986"/>
    <n v="0.29928234918638313"/>
    <n v="8"/>
    <x v="11"/>
    <n v="2024"/>
    <s v="CLEAN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x v="301"/>
    <n v="3705.38"/>
    <x v="300"/>
    <x v="0"/>
    <s v="Completed"/>
    <s v=""/>
    <s v=""/>
    <n v="-0.58747117266059101"/>
    <n v="6285.6179999999995"/>
    <n v="2580.2379999999994"/>
    <n v="0.41049869718458865"/>
    <n v="4"/>
    <x v="3"/>
    <n v="2025"/>
    <s v="CLEAN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x v="302"/>
    <n v="2424.83"/>
    <x v="301"/>
    <x v="0"/>
    <s v="Completed"/>
    <s v=""/>
    <s v=""/>
    <n v="1.3271856563895552"/>
    <n v="4054.92"/>
    <n v="1630.0900000000001"/>
    <n v="0.40200299882611745"/>
    <n v="8"/>
    <x v="10"/>
    <n v="2025"/>
    <s v="CLEAN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x v="303"/>
    <n v="1876.1"/>
    <x v="302"/>
    <x v="2"/>
    <s v="Returned"/>
    <s v=""/>
    <s v=""/>
    <n v="-0.10880696539805437"/>
    <n v="2363.652"/>
    <n v="487.55200000000013"/>
    <n v="0.20627063544041174"/>
    <n v="5"/>
    <x v="10"/>
    <n v="2024"/>
    <s v="CLEAN"/>
  </r>
  <r>
    <s v="ORD-2024-10305"/>
    <d v="2024-06-03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x v="304"/>
    <n v="10019.98"/>
    <x v="303"/>
    <x v="0"/>
    <s v="Completed"/>
    <s v=""/>
    <s v="Invalid Shipping Record"/>
    <n v="-0.10880696539805437"/>
    <n v="12976.470000000001"/>
    <n v="2956.4900000000016"/>
    <n v="0.22783468847845378"/>
    <e v="#NUM!"/>
    <x v="10"/>
    <n v="2024"/>
    <s v="INVALID"/>
  </r>
  <r>
    <s v="ORD-2024-10306"/>
    <d v="2024-05-01T00:00:00"/>
    <d v="2024-02-05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x v="305"/>
    <n v="9851.91"/>
    <x v="304"/>
    <x v="0"/>
    <s v="Cancelled"/>
    <s v="Invalid Discount"/>
    <s v="Invalid Shipping Record"/>
    <n v="4.1991708999647752"/>
    <n v="7480.9080000000004"/>
    <n v="-2371.0019999999995"/>
    <n v="-0.31694040349112695"/>
    <e v="#NUM!"/>
    <x v="3"/>
    <n v="2024"/>
    <s v="INVALID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x v="306"/>
    <n v="10082.19"/>
    <x v="305"/>
    <x v="0"/>
    <s v="Completed"/>
    <s v=""/>
    <s v=""/>
    <n v="-1.0661353799231277"/>
    <n v="14692.44"/>
    <n v="4610.25"/>
    <n v="0.31378382351740075"/>
    <n v="3"/>
    <x v="5"/>
    <n v="2025"/>
    <s v="CLEAN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x v="307"/>
    <n v="18935.509999999998"/>
    <x v="306"/>
    <x v="2"/>
    <s v="Cancelled"/>
    <s v=""/>
    <s v=""/>
    <n v="0.84852144912701888"/>
    <n v="29469.888000000003"/>
    <n v="10534.378000000004"/>
    <n v="0.3574624375905332"/>
    <n v="7"/>
    <x v="0"/>
    <n v="2025"/>
    <s v="WARNING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x v="308"/>
    <n v="1565.49"/>
    <x v="307"/>
    <x v="0"/>
    <s v="Completed"/>
    <s v=""/>
    <s v=""/>
    <n v="0.84852144912701888"/>
    <n v="2341.0240000000003"/>
    <n v="775.53400000000033"/>
    <n v="0.33127981601213835"/>
    <n v="6"/>
    <x v="10"/>
    <n v="2025"/>
    <s v="CLEAN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x v="309"/>
    <n v="7246.36"/>
    <x v="308"/>
    <x v="0"/>
    <s v="Cancelled"/>
    <s v=""/>
    <s v=""/>
    <n v="-0.10880696539805437"/>
    <n v="12982.599"/>
    <n v="5736.2390000000005"/>
    <n v="0.441840574448922"/>
    <n v="2"/>
    <x v="0"/>
    <n v="2024"/>
    <s v="WARNING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x v="310"/>
    <n v="9424.25"/>
    <x v="309"/>
    <x v="0"/>
    <s v="Completed"/>
    <s v=""/>
    <s v=""/>
    <n v="-1.0661353799231277"/>
    <n v="16274"/>
    <n v="6849.75"/>
    <n v="0.42090143787636719"/>
    <n v="4"/>
    <x v="0"/>
    <n v="2024"/>
    <s v="CLEAN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x v="311"/>
    <n v="1764"/>
    <x v="310"/>
    <x v="0"/>
    <s v="Completed"/>
    <s v=""/>
    <s v=""/>
    <n v="-0.10880696539805437"/>
    <n v="2493.1799999999998"/>
    <n v="729.17999999999984"/>
    <n v="0.29246985777200196"/>
    <n v="5"/>
    <x v="11"/>
    <n v="2024"/>
    <s v="CLEAN"/>
  </r>
  <r>
    <s v="ORD-2024-10313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x v="312"/>
    <n v="10047.33"/>
    <x v="311"/>
    <x v="0"/>
    <s v="Cancelled"/>
    <s v=""/>
    <s v=""/>
    <n v="-1.0661353799231277"/>
    <n v="20917.919999999998"/>
    <n v="10870.589999999998"/>
    <n v="0.5196783427797792"/>
    <n v="4"/>
    <x v="0"/>
    <n v="2024"/>
    <s v="WARNING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x v="313"/>
    <n v="10717.4"/>
    <x v="312"/>
    <x v="1"/>
    <s v="Cancelled"/>
    <s v=""/>
    <s v=""/>
    <n v="1.3271856563895552"/>
    <n v="12488.579999999998"/>
    <n v="1771.1799999999985"/>
    <n v="0.14182397037933847"/>
    <n v="1"/>
    <x v="3"/>
    <n v="2025"/>
    <s v="WARNING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x v="314"/>
    <n v="5376.17"/>
    <x v="313"/>
    <x v="3"/>
    <s v="Returned"/>
    <s v=""/>
    <s v=""/>
    <n v="0.3698572418644821"/>
    <n v="6485.3639999999996"/>
    <n v="1109.1939999999995"/>
    <n v="0.17103033846673826"/>
    <n v="2"/>
    <x v="3"/>
    <n v="2025"/>
    <s v="CLEAN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x v="315"/>
    <n v="17989.68"/>
    <x v="314"/>
    <x v="2"/>
    <s v="Returned"/>
    <s v=""/>
    <s v=""/>
    <n v="-0.58747117266059101"/>
    <n v="29500.920000000002"/>
    <n v="11511.240000000002"/>
    <n v="0.39019935649464493"/>
    <n v="6"/>
    <x v="0"/>
    <n v="2024"/>
    <s v="CLEAN"/>
  </r>
  <r>
    <s v="ORD-2024-10317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x v="316"/>
    <n v="1956.63"/>
    <x v="315"/>
    <x v="0"/>
    <s v="Cancelled"/>
    <s v=""/>
    <s v=""/>
    <n v="0.84852144912701888"/>
    <n v="3116.0480000000002"/>
    <n v="1159.4180000000001"/>
    <n v="0.37207963420332424"/>
    <n v="2"/>
    <x v="5"/>
    <n v="2024"/>
    <s v="WARNING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x v="317"/>
    <n v="14621.59"/>
    <x v="316"/>
    <x v="0"/>
    <s v="Completed"/>
    <s v=""/>
    <s v=""/>
    <n v="0.3698572418644821"/>
    <n v="22926.820499999998"/>
    <n v="8305.2304999999978"/>
    <n v="0.36224955396671765"/>
    <n v="6"/>
    <x v="1"/>
    <n v="2025"/>
    <s v="CLEAN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x v="318"/>
    <n v="8452.93"/>
    <x v="317"/>
    <x v="0"/>
    <s v="Completed"/>
    <s v=""/>
    <s v=""/>
    <n v="-0.10880696539805437"/>
    <n v="11203.542000000001"/>
    <n v="2750.612000000001"/>
    <n v="0.24551271374713468"/>
    <n v="5"/>
    <x v="11"/>
    <n v="2024"/>
    <s v="CLEAN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x v="319"/>
    <n v="156.34"/>
    <x v="318"/>
    <x v="0"/>
    <s v="Completed"/>
    <s v=""/>
    <s v=""/>
    <n v="-1.0661353799231277"/>
    <n v="270.27999999999997"/>
    <n v="113.93999999999997"/>
    <n v="0.42156282373834536"/>
    <n v="4"/>
    <x v="1"/>
    <n v="2024"/>
    <s v="CLEAN"/>
  </r>
  <r>
    <s v="ORD-2024-10321"/>
    <d v="2024-04-12T00:00:00"/>
    <d v="2024-06-12T00:00:00"/>
    <s v="CUST-4667"/>
    <s v="Aarav Sharma"/>
    <x v="3"/>
    <x v="1"/>
    <s v="West Bengal"/>
    <s v="Kolkata"/>
    <x v="0"/>
    <x v="2"/>
    <s v="Classic Art 299"/>
    <x v="0"/>
    <n v="3"/>
    <n v="876.14"/>
    <s v="70%"/>
    <x v="320"/>
    <n v="1541.54"/>
    <x v="319"/>
    <x v="2"/>
    <s v="Returned"/>
    <s v="Invalid Discount"/>
    <s v=""/>
    <n v="5.6351635217523848"/>
    <n v="788.52600000000018"/>
    <n v="-753.01399999999978"/>
    <n v="-0.95496407220560842"/>
    <n v="61"/>
    <x v="11"/>
    <n v="2024"/>
    <s v="INVALID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x v="321"/>
    <n v="1759.76"/>
    <x v="320"/>
    <x v="3"/>
    <s v="Cancelled"/>
    <s v=""/>
    <s v=""/>
    <n v="-1.0661353799231277"/>
    <n v="2699.28"/>
    <n v="939.52000000000021"/>
    <n v="0.34806318722029583"/>
    <n v="7"/>
    <x v="10"/>
    <n v="2024"/>
    <s v="WARNING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x v="322"/>
    <n v="4023.63"/>
    <x v="321"/>
    <x v="0"/>
    <s v="Completed"/>
    <s v=""/>
    <s v=""/>
    <n v="0.3698572418644821"/>
    <n v="6984.3480000000009"/>
    <n v="2960.7180000000008"/>
    <n v="0.42390757161584736"/>
    <n v="0"/>
    <x v="2"/>
    <n v="2024"/>
    <s v="CLEAN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x v="323"/>
    <n v="6479.31"/>
    <x v="322"/>
    <x v="0"/>
    <s v="Completed"/>
    <s v=""/>
    <s v=""/>
    <n v="0.3698572418644821"/>
    <n v="10185.669"/>
    <n v="3706.3589999999995"/>
    <n v="0.36387978050337189"/>
    <n v="4"/>
    <x v="5"/>
    <n v="2024"/>
    <s v="CLEAN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x v="324"/>
    <n v="1354.8"/>
    <x v="323"/>
    <x v="0"/>
    <s v="Returned"/>
    <s v=""/>
    <s v=""/>
    <n v="0.3698572418644821"/>
    <n v="1655.6980000000001"/>
    <n v="300.89800000000014"/>
    <n v="0.1817348332848141"/>
    <n v="2"/>
    <x v="0"/>
    <n v="2025"/>
    <s v="CLEAN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x v="325"/>
    <n v="11908.52"/>
    <x v="324"/>
    <x v="0"/>
    <s v="Completed"/>
    <s v=""/>
    <s v=""/>
    <n v="0.3698572418644821"/>
    <n v="15602.6"/>
    <n v="3694.08"/>
    <n v="0.236760539910015"/>
    <n v="6"/>
    <x v="6"/>
    <n v="2025"/>
    <s v="CLEAN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x v="326"/>
    <n v="11235.72"/>
    <x v="325"/>
    <x v="0"/>
    <s v="Completed"/>
    <s v=""/>
    <s v=""/>
    <n v="-0.58747117266059101"/>
    <n v="15138.487499999999"/>
    <n v="3902.7674999999999"/>
    <n v="0.25780432160082045"/>
    <n v="0"/>
    <x v="0"/>
    <n v="2025"/>
    <s v="CLEAN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x v="327"/>
    <n v="2993.94"/>
    <x v="326"/>
    <x v="2"/>
    <s v="Cancelled"/>
    <s v=""/>
    <s v=""/>
    <n v="0.84852144912701888"/>
    <n v="4402.92"/>
    <n v="1408.98"/>
    <n v="0.32001035676323897"/>
    <n v="3"/>
    <x v="0"/>
    <n v="2024"/>
    <s v="WARNING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x v="328"/>
    <n v="15834.3"/>
    <x v="327"/>
    <x v="0"/>
    <s v="Completed"/>
    <s v=""/>
    <s v=""/>
    <n v="-1.0661353799231277"/>
    <n v="18604.079999999998"/>
    <n v="2769.7799999999988"/>
    <n v="0.1488802456235406"/>
    <n v="6"/>
    <x v="3"/>
    <n v="2025"/>
    <s v="CLEAN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x v="329"/>
    <n v="8650.42"/>
    <x v="328"/>
    <x v="0"/>
    <s v="Completed"/>
    <s v=""/>
    <s v=""/>
    <n v="-0.58747117266059101"/>
    <n v="15401.513999999999"/>
    <n v="6751.0939999999991"/>
    <n v="0.43833963336331738"/>
    <n v="6"/>
    <x v="3"/>
    <n v="2025"/>
    <s v="CLEAN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x v="330"/>
    <n v="503.89"/>
    <x v="329"/>
    <x v="3"/>
    <s v="Cancelled"/>
    <s v=""/>
    <s v=""/>
    <n v="-1.0661353799231277"/>
    <n v="783.09"/>
    <n v="279.20000000000005"/>
    <n v="0.3565362857398256"/>
    <n v="8"/>
    <x v="3"/>
    <n v="2024"/>
    <s v="WARNING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x v="331"/>
    <n v="6477.37"/>
    <x v="330"/>
    <x v="0"/>
    <s v="Returned"/>
    <s v=""/>
    <s v=""/>
    <n v="-1.0661353799231277"/>
    <n v="10742.64"/>
    <n v="4265.2699999999995"/>
    <n v="0.39704113700170535"/>
    <n v="2"/>
    <x v="7"/>
    <n v="2024"/>
    <s v="CLEAN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x v="332"/>
    <n v="6034.63"/>
    <x v="331"/>
    <x v="0"/>
    <s v="Completed"/>
    <s v=""/>
    <s v=""/>
    <n v="-1.0661353799231277"/>
    <n v="7823.92"/>
    <n v="1789.29"/>
    <n v="0.22869482305545047"/>
    <n v="1"/>
    <x v="3"/>
    <n v="2025"/>
    <s v="CLEAN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x v="333"/>
    <n v="1923.1"/>
    <x v="332"/>
    <x v="0"/>
    <s v="Completed"/>
    <s v=""/>
    <s v=""/>
    <n v="-1.0661353799231277"/>
    <n v="2936.1"/>
    <n v="1013"/>
    <n v="0.34501549674738602"/>
    <n v="5"/>
    <x v="10"/>
    <n v="2025"/>
    <s v="CLEAN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x v="334"/>
    <n v="9398.4599999999991"/>
    <x v="333"/>
    <x v="0"/>
    <s v="Completed"/>
    <s v=""/>
    <s v=""/>
    <n v="1.3271856563895552"/>
    <n v="12969.922500000001"/>
    <n v="3571.4625000000015"/>
    <n v="0.27536498386941027"/>
    <n v="5"/>
    <x v="6"/>
    <n v="2024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x v="335"/>
    <n v="6829.43"/>
    <x v="334"/>
    <x v="0"/>
    <s v="Completed"/>
    <s v=""/>
    <s v=""/>
    <n v="-0.10880696539805437"/>
    <n v="11581.299000000001"/>
    <n v="4751.8690000000006"/>
    <n v="0.41030535521101735"/>
    <n v="2"/>
    <x v="10"/>
    <n v="2025"/>
    <s v="CLEAN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x v="336"/>
    <n v="12347.15"/>
    <x v="335"/>
    <x v="0"/>
    <s v="Completed"/>
    <s v=""/>
    <s v=""/>
    <n v="-1.0661353799231277"/>
    <n v="15940.56"/>
    <n v="3593.41"/>
    <n v="0.2254255810335396"/>
    <n v="4"/>
    <x v="9"/>
    <n v="2024"/>
    <s v="CLEAN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x v="337"/>
    <n v="5672.27"/>
    <x v="336"/>
    <x v="0"/>
    <s v="Completed"/>
    <s v=""/>
    <s v=""/>
    <n v="-1.0661353799231277"/>
    <n v="7090.4400000000005"/>
    <n v="1418.17"/>
    <n v="0.20001156486762456"/>
    <n v="6"/>
    <x v="1"/>
    <n v="2024"/>
    <s v="CLEAN"/>
  </r>
  <r>
    <s v="ORD-2024-10339"/>
    <d v="2024-12-08T00:00:00"/>
    <d v="2024-08-12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x v="338"/>
    <n v="21822.53"/>
    <x v="337"/>
    <x v="0"/>
    <s v="Completed"/>
    <s v=""/>
    <s v="Invalid Shipping Record"/>
    <n v="1.3271856563895552"/>
    <n v="26414.159999999996"/>
    <n v="4591.6299999999974"/>
    <n v="0.17383214154832097"/>
    <e v="#NUM!"/>
    <x v="7"/>
    <n v="2024"/>
    <s v="INVALID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x v="339"/>
    <n v="12513.14"/>
    <x v="338"/>
    <x v="0"/>
    <s v="Completed"/>
    <s v=""/>
    <s v=""/>
    <n v="0.84852144912701888"/>
    <n v="20900.864000000001"/>
    <n v="8387.724000000002"/>
    <n v="0.40130991714026759"/>
    <n v="2"/>
    <x v="5"/>
    <n v="2025"/>
    <s v="CLEAN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x v="340"/>
    <n v="11399.94"/>
    <x v="339"/>
    <x v="0"/>
    <s v="Completed"/>
    <s v=""/>
    <s v=""/>
    <n v="-0.10880696539805437"/>
    <n v="18261.36"/>
    <n v="6861.42"/>
    <n v="0.3757343374206521"/>
    <n v="8"/>
    <x v="8"/>
    <n v="2024"/>
    <s v="CLEAN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x v="341"/>
    <n v="6229.6"/>
    <x v="340"/>
    <x v="0"/>
    <s v="Completed"/>
    <s v=""/>
    <s v=""/>
    <n v="-0.58747117266059101"/>
    <n v="7524.6269999999995"/>
    <n v="1295.0269999999991"/>
    <n v="0.17210514222166751"/>
    <n v="1"/>
    <x v="6"/>
    <n v="2025"/>
    <s v="CLEAN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x v="342"/>
    <n v="8766.9"/>
    <x v="341"/>
    <x v="0"/>
    <s v="Completed"/>
    <s v=""/>
    <s v=""/>
    <n v="-1.0661353799231277"/>
    <n v="12231.36"/>
    <n v="3464.4600000000009"/>
    <n v="0.28324405462679547"/>
    <n v="8"/>
    <x v="0"/>
    <n v="2025"/>
    <s v="CLEAN"/>
  </r>
  <r>
    <s v="ORD-2025-10344"/>
    <d v="2025-03-10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x v="343"/>
    <n v="17758.25"/>
    <x v="342"/>
    <x v="0"/>
    <s v="Completed"/>
    <s v=""/>
    <s v=""/>
    <n v="-0.10880696539805437"/>
    <n v="31079.7"/>
    <n v="13321.45"/>
    <n v="0.4286222196481948"/>
    <n v="212"/>
    <x v="9"/>
    <n v="2025"/>
    <s v="CLEAN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x v="344"/>
    <n v="20146.66"/>
    <x v="343"/>
    <x v="2"/>
    <s v="Returned"/>
    <s v=""/>
    <s v=""/>
    <n v="-1.0661353799231277"/>
    <n v="31107.420000000002"/>
    <n v="10960.760000000002"/>
    <n v="0.3523519468988428"/>
    <n v="0"/>
    <x v="9"/>
    <n v="2024"/>
    <s v="CLEAN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x v="345"/>
    <n v="4453.1099999999997"/>
    <x v="344"/>
    <x v="0"/>
    <s v="Completed"/>
    <s v=""/>
    <s v=""/>
    <n v="-1.0661353799231277"/>
    <n v="5530.6"/>
    <n v="1077.4900000000007"/>
    <n v="0.19482334647235391"/>
    <n v="8"/>
    <x v="6"/>
    <n v="2024"/>
    <s v="CLEAN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x v="346"/>
    <n v="4258.42"/>
    <x v="345"/>
    <x v="0"/>
    <s v="Completed"/>
    <s v=""/>
    <s v=""/>
    <n v="0.84852144912701888"/>
    <n v="7715.8080000000009"/>
    <n v="3457.3880000000008"/>
    <n v="0.4480915025360922"/>
    <n v="6"/>
    <x v="0"/>
    <n v="2025"/>
    <s v="CLEAN"/>
  </r>
  <r>
    <s v="ORD-2024-10348"/>
    <d v="2024-12-01T00:00:00"/>
    <d v="2024-08-12T00:00:00"/>
    <s v="CUST-1172"/>
    <s v="Aarav Sharma"/>
    <x v="1"/>
    <x v="3"/>
    <s v="Goa"/>
    <s v="Panaji"/>
    <x v="1"/>
    <x v="4"/>
    <s v="Max Chairs 487"/>
    <x v="0"/>
    <n v="5"/>
    <n v="2981.49"/>
    <n v="0.2"/>
    <x v="347"/>
    <n v="10103.51"/>
    <x v="346"/>
    <x v="1"/>
    <s v="Returned"/>
    <s v=""/>
    <s v="Invalid Shipping Record"/>
    <n v="0.84852144912701888"/>
    <n v="11925.96"/>
    <n v="1822.4499999999989"/>
    <n v="0.15281369382422874"/>
    <e v="#NUM!"/>
    <x v="7"/>
    <n v="2024"/>
    <s v="INVALID"/>
  </r>
  <r>
    <s v="ORD-2024-10349"/>
    <d v="2024-02-06T00:00:00"/>
    <d v="2024-07-06T00:00:00"/>
    <s v="CUST-9517"/>
    <s v="Aarav Sharma"/>
    <x v="2"/>
    <x v="2"/>
    <s v="Karnataka"/>
    <s v="Bengaluru"/>
    <x v="2"/>
    <x v="11"/>
    <s v="Classic Phones 989"/>
    <x v="1"/>
    <n v="9"/>
    <n v="2860.26"/>
    <n v="0.25"/>
    <x v="348"/>
    <n v="14442.38"/>
    <x v="347"/>
    <x v="0"/>
    <s v="Completed"/>
    <s v=""/>
    <s v=""/>
    <n v="1.3271856563895552"/>
    <n v="19306.755000000005"/>
    <n v="4864.3750000000055"/>
    <n v="0.25195197225012717"/>
    <n v="151"/>
    <x v="5"/>
    <n v="2024"/>
    <s v="CLEAN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x v="349"/>
    <n v="15012.45"/>
    <x v="348"/>
    <x v="0"/>
    <s v="Completed"/>
    <s v=""/>
    <s v=""/>
    <n v="1.3271856563895552"/>
    <n v="19355.962500000001"/>
    <n v="4343.5125000000007"/>
    <n v="0.22440178317146461"/>
    <n v="2"/>
    <x v="6"/>
    <n v="2025"/>
    <s v="CLEAN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x v="350"/>
    <n v="9771.24"/>
    <x v="349"/>
    <x v="1"/>
    <s v="Returned"/>
    <s v=""/>
    <s v=""/>
    <n v="-0.10880696539805437"/>
    <n v="11914.344000000001"/>
    <n v="2143.1040000000012"/>
    <n v="0.17987595456367561"/>
    <n v="7"/>
    <x v="8"/>
    <n v="2024"/>
    <s v="CLEAN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x v="351"/>
    <n v="2118.34"/>
    <x v="350"/>
    <x v="2"/>
    <s v="Cancelled"/>
    <s v=""/>
    <s v=""/>
    <n v="1.3271856563895552"/>
    <n v="3237.4800000000005"/>
    <n v="1119.1400000000003"/>
    <n v="0.34568244437031276"/>
    <n v="4"/>
    <x v="3"/>
    <n v="2025"/>
    <s v="WARNING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x v="352"/>
    <n v="6475.73"/>
    <x v="351"/>
    <x v="0"/>
    <s v="Completed"/>
    <s v=""/>
    <s v=""/>
    <n v="1.3271856563895552"/>
    <n v="10734.75"/>
    <n v="4259.0200000000004"/>
    <n v="0.39675073942103917"/>
    <n v="2"/>
    <x v="1"/>
    <n v="2025"/>
    <s v="CLEAN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x v="353"/>
    <n v="5822.31"/>
    <x v="352"/>
    <x v="0"/>
    <s v="Completed"/>
    <s v=""/>
    <s v=""/>
    <n v="0.84852144912701888"/>
    <n v="10308.024000000001"/>
    <n v="4485.7140000000009"/>
    <n v="0.4351672056642476"/>
    <n v="6"/>
    <x v="5"/>
    <n v="2025"/>
    <s v="CLEAN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x v="354"/>
    <n v="12908.84"/>
    <x v="353"/>
    <x v="2"/>
    <s v="Cancelled"/>
    <s v="Invalid Discount"/>
    <s v=""/>
    <n v="-1.6405324286381717"/>
    <n v="21285.520800000002"/>
    <n v="8376.6808000000019"/>
    <n v="0.39353891683965753"/>
    <n v="4"/>
    <x v="7"/>
    <n v="2024"/>
    <s v="INVALID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x v="355"/>
    <n v="9557.7999999999993"/>
    <x v="354"/>
    <x v="2"/>
    <s v="Cancelled"/>
    <s v=""/>
    <s v="Invalid Shipping Record"/>
    <n v="-1.0661353799231277"/>
    <n v="16017.4"/>
    <n v="6459.6"/>
    <n v="0.40328642601171227"/>
    <e v="#NUM!"/>
    <x v="3"/>
    <n v="2024"/>
    <s v="INVALID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x v="356"/>
    <n v="2131.73"/>
    <x v="355"/>
    <x v="2"/>
    <s v="Returned"/>
    <s v=""/>
    <s v=""/>
    <n v="0.84852144912701888"/>
    <n v="2486.8000000000002"/>
    <n v="355.07000000000016"/>
    <n v="0.1427818883705968"/>
    <n v="2"/>
    <x v="10"/>
    <n v="2025"/>
    <s v="CLEAN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x v="357"/>
    <n v="3716.88"/>
    <x v="356"/>
    <x v="0"/>
    <s v="Cancelled"/>
    <s v=""/>
    <s v=""/>
    <n v="-1.0661353799231277"/>
    <n v="4369.04"/>
    <n v="652.15999999999985"/>
    <n v="0.14926848918755603"/>
    <n v="8"/>
    <x v="8"/>
    <n v="2025"/>
    <s v="WARNING"/>
  </r>
  <r>
    <s v="ORD-2025-10359"/>
    <d v="2025-09-08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x v="358"/>
    <n v="4379.18"/>
    <x v="357"/>
    <x v="2"/>
    <s v="Returned"/>
    <s v=""/>
    <s v="Invalid Shipping Record"/>
    <n v="-0.58747117266059101"/>
    <n v="5956.12"/>
    <n v="1576.9399999999996"/>
    <n v="0.26475960860425907"/>
    <e v="#NUM!"/>
    <x v="6"/>
    <n v="2025"/>
    <s v="INVALID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x v="359"/>
    <n v="2971.39"/>
    <x v="358"/>
    <x v="0"/>
    <s v="Completed"/>
    <s v=""/>
    <s v=""/>
    <n v="-0.10880696539805437"/>
    <n v="4997.3760000000002"/>
    <n v="2025.9860000000003"/>
    <n v="0.40540995914656014"/>
    <n v="1"/>
    <x v="1"/>
    <n v="2024"/>
    <s v="CLEAN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x v="360"/>
    <n v="13718.77"/>
    <x v="359"/>
    <x v="1"/>
    <s v="Cancelled"/>
    <s v=""/>
    <s v=""/>
    <n v="0.84852144912701888"/>
    <n v="17669.400000000001"/>
    <n v="3950.630000000001"/>
    <n v="0.2235859734908939"/>
    <n v="3"/>
    <x v="10"/>
    <n v="2024"/>
    <s v="WARNING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x v="361"/>
    <n v="20389.71"/>
    <x v="360"/>
    <x v="2"/>
    <s v="Returned"/>
    <s v=""/>
    <s v=""/>
    <n v="-0.58747117266059101"/>
    <n v="35615.709000000003"/>
    <n v="15225.999000000003"/>
    <n v="0.42750795723314122"/>
    <n v="1"/>
    <x v="11"/>
    <n v="2025"/>
    <s v="CLEAN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x v="362"/>
    <n v="1576.49"/>
    <x v="361"/>
    <x v="0"/>
    <s v="Completed"/>
    <s v=""/>
    <s v=""/>
    <n v="-0.58747117266059101"/>
    <n v="1866.4079999999999"/>
    <n v="289.91799999999989"/>
    <n v="0.15533473924243782"/>
    <n v="2"/>
    <x v="1"/>
    <n v="2024"/>
    <s v="CLEAN"/>
  </r>
  <r>
    <s v="ORD-2025-10364"/>
    <d v="2025-07-07T00:00:00"/>
    <d v="2025-12-07T00:00:00"/>
    <s v="CUST-1832"/>
    <s v="Diya Patel"/>
    <x v="2"/>
    <x v="1"/>
    <s v="West Bengal"/>
    <s v="Kolkata"/>
    <x v="1"/>
    <x v="1"/>
    <s v="Smart Tables 943"/>
    <x v="0"/>
    <n v="5"/>
    <n v="1831.37"/>
    <n v="0.25"/>
    <x v="363"/>
    <n v="5205.3599999999997"/>
    <x v="362"/>
    <x v="0"/>
    <s v="Completed"/>
    <s v=""/>
    <s v=""/>
    <n v="1.3271856563895552"/>
    <n v="6867.6374999999989"/>
    <n v="1662.2774999999992"/>
    <n v="0.24204502640100028"/>
    <n v="153"/>
    <x v="0"/>
    <n v="2025"/>
    <s v="CLEAN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x v="364"/>
    <n v="3967.02"/>
    <x v="363"/>
    <x v="0"/>
    <s v="Completed"/>
    <s v=""/>
    <s v=""/>
    <n v="-1.0661353799231277"/>
    <n v="6195.75"/>
    <n v="2228.73"/>
    <n v="0.35971916232901585"/>
    <n v="3"/>
    <x v="9"/>
    <n v="2025"/>
    <s v="CLEAN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x v="365"/>
    <n v="10119.61"/>
    <x v="364"/>
    <x v="0"/>
    <s v="Completed"/>
    <s v=""/>
    <s v=""/>
    <n v="-1.0661353799231277"/>
    <n v="13651.2"/>
    <n v="3531.59"/>
    <n v="0.2587017991092358"/>
    <n v="6"/>
    <x v="10"/>
    <n v="2024"/>
    <s v="CLEAN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x v="366"/>
    <n v="5867.75"/>
    <x v="365"/>
    <x v="0"/>
    <s v="Completed"/>
    <s v=""/>
    <s v=""/>
    <n v="-1.0661353799231277"/>
    <n v="8836.56"/>
    <n v="2968.8099999999995"/>
    <n v="0.33596897435201023"/>
    <n v="6"/>
    <x v="8"/>
    <n v="2025"/>
    <s v="CLEAN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x v="367"/>
    <n v="14520.06"/>
    <x v="366"/>
    <x v="3"/>
    <s v="Cancelled"/>
    <s v=""/>
    <s v=""/>
    <n v="0.3698572418644821"/>
    <n v="19456.958999999999"/>
    <n v="4936.8989999999994"/>
    <n v="0.25373435797443988"/>
    <n v="1"/>
    <x v="9"/>
    <n v="2024"/>
    <s v="WARNING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x v="368"/>
    <n v="1512.17"/>
    <x v="367"/>
    <x v="1"/>
    <s v="Returned"/>
    <s v=""/>
    <s v=""/>
    <n v="-0.58747117266059101"/>
    <n v="2079.2745"/>
    <n v="567.10449999999992"/>
    <n v="0.27274152595051782"/>
    <n v="0"/>
    <x v="0"/>
    <n v="2025"/>
    <s v="CLEAN"/>
  </r>
  <r>
    <s v="ORD-2025-10370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x v="369"/>
    <n v="6740.35"/>
    <x v="368"/>
    <x v="0"/>
    <s v="Completed"/>
    <s v=""/>
    <s v=""/>
    <n v="0.3698572418644821"/>
    <n v="8945.6804999999986"/>
    <n v="2205.3304999999982"/>
    <n v="0.24652462157574245"/>
    <n v="7"/>
    <x v="8"/>
    <n v="2025"/>
    <s v="CLEAN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x v="370"/>
    <n v="8768.59"/>
    <x v="369"/>
    <x v="0"/>
    <s v="Completed"/>
    <s v=""/>
    <s v=""/>
    <n v="0.84852144912701888"/>
    <n v="13069.336000000001"/>
    <n v="4300.746000000001"/>
    <n v="0.32907149988339124"/>
    <n v="6"/>
    <x v="1"/>
    <n v="2024"/>
    <s v="CLEAN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x v="371"/>
    <n v="2981.94"/>
    <x v="370"/>
    <x v="1"/>
    <s v="Cancelled"/>
    <s v=""/>
    <s v=""/>
    <n v="-1.0661353799231277"/>
    <n v="6156.36"/>
    <n v="3174.4199999999996"/>
    <n v="0.51563261407714944"/>
    <n v="2"/>
    <x v="8"/>
    <n v="2024"/>
    <s v="WARNING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x v="372"/>
    <n v="5171.78"/>
    <x v="371"/>
    <x v="0"/>
    <s v="Completed"/>
    <s v=""/>
    <s v=""/>
    <n v="-1.0661353799231277"/>
    <n v="7651.7999999999993"/>
    <n v="2480.0199999999995"/>
    <n v="0.32410935988917638"/>
    <n v="2"/>
    <x v="1"/>
    <n v="2025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x v="373"/>
    <n v="8595.3700000000008"/>
    <x v="372"/>
    <x v="0"/>
    <s v="Completed"/>
    <s v=""/>
    <s v=""/>
    <n v="-1.0661353799231277"/>
    <n v="10068.120000000001"/>
    <n v="1472.75"/>
    <n v="0.14627855051389932"/>
    <n v="0"/>
    <x v="11"/>
    <n v="2025"/>
    <s v="CLEAN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x v="374"/>
    <n v="8117.71"/>
    <x v="373"/>
    <x v="0"/>
    <s v="Completed"/>
    <s v=""/>
    <s v=""/>
    <n v="-1.0661353799231277"/>
    <n v="14359.5"/>
    <n v="6241.79"/>
    <n v="0.43468017688638183"/>
    <n v="1"/>
    <x v="5"/>
    <n v="2025"/>
    <s v="CLEAN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x v="375"/>
    <n v="2253.88"/>
    <x v="374"/>
    <x v="0"/>
    <s v="Completed"/>
    <s v=""/>
    <s v=""/>
    <n v="1.3271856563895552"/>
    <n v="2624.8724999999999"/>
    <n v="370.99249999999984"/>
    <n v="0.14133734114704613"/>
    <n v="4"/>
    <x v="7"/>
    <n v="2024"/>
    <s v="CLEAN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x v="376"/>
    <n v="7433.95"/>
    <x v="375"/>
    <x v="0"/>
    <s v="Completed"/>
    <s v=""/>
    <s v=""/>
    <n v="0.84852144912701888"/>
    <n v="8854.9440000000013"/>
    <n v="1420.9940000000015"/>
    <n v="0.1604746455765278"/>
    <n v="2"/>
    <x v="7"/>
    <n v="2024"/>
    <s v="CLEAN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x v="377"/>
    <n v="1754.58"/>
    <x v="376"/>
    <x v="0"/>
    <s v="Completed"/>
    <s v=""/>
    <s v=""/>
    <n v="-1.0661353799231277"/>
    <n v="2564.7399999999998"/>
    <n v="810.15999999999985"/>
    <n v="0.31588387126960232"/>
    <n v="6"/>
    <x v="3"/>
    <n v="2025"/>
    <s v="CLEAN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x v="378"/>
    <n v="4994.46"/>
    <x v="377"/>
    <x v="0"/>
    <s v="Completed"/>
    <s v=""/>
    <s v=""/>
    <n v="-1.0661353799231277"/>
    <n v="7821.22"/>
    <n v="2826.76"/>
    <n v="0.36142187535959863"/>
    <n v="0"/>
    <x v="3"/>
    <n v="2025"/>
    <s v="CLEAN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x v="379"/>
    <n v="4799.54"/>
    <x v="378"/>
    <x v="0"/>
    <s v="Completed"/>
    <s v=""/>
    <s v=""/>
    <n v="-1.0661353799231277"/>
    <n v="7956.76"/>
    <n v="3157.2200000000003"/>
    <n v="0.39679718880549369"/>
    <n v="4"/>
    <x v="6"/>
    <n v="2024"/>
    <s v="CLEAN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x v="380"/>
    <n v="4765.96"/>
    <x v="379"/>
    <x v="0"/>
    <s v="Returned"/>
    <s v=""/>
    <s v=""/>
    <n v="1.3271856563895552"/>
    <n v="8384.4375"/>
    <n v="3618.4775"/>
    <n v="0.43157069272685256"/>
    <n v="7"/>
    <x v="11"/>
    <n v="2024"/>
    <s v="CLEAN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x v="381"/>
    <n v="10833.19"/>
    <x v="380"/>
    <x v="3"/>
    <s v="Cancelled"/>
    <s v=""/>
    <s v=""/>
    <n v="-0.58747117266059101"/>
    <n v="16671.169999999998"/>
    <n v="5837.9799999999977"/>
    <n v="0.35018418023450054"/>
    <n v="4"/>
    <x v="6"/>
    <n v="2025"/>
    <s v="WARNING"/>
  </r>
  <r>
    <s v="ORD-2025-10383"/>
    <d v="2025-03-04T00:00:00"/>
    <d v="2025-08-03T00:00:00"/>
    <s v="CUST-7098"/>
    <s v="Arjun Bose"/>
    <x v="1"/>
    <x v="1"/>
    <s v="Bihar"/>
    <s v="Patna"/>
    <x v="2"/>
    <x v="11"/>
    <s v="Pro Phones 538"/>
    <x v="2"/>
    <n v="3"/>
    <n v="4361.8500000000004"/>
    <n v="0.2"/>
    <x v="382"/>
    <n v="8399.8700000000008"/>
    <x v="381"/>
    <x v="0"/>
    <s v="Completed"/>
    <s v=""/>
    <s v=""/>
    <n v="0.84852144912701888"/>
    <n v="10468.440000000002"/>
    <n v="2068.5700000000015"/>
    <n v="0.19760059760575607"/>
    <n v="152"/>
    <x v="9"/>
    <n v="2025"/>
    <s v="CLEAN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x v="383"/>
    <n v="3131.86"/>
    <x v="382"/>
    <x v="0"/>
    <s v="Cancelled"/>
    <s v=""/>
    <s v=""/>
    <n v="-1.0661353799231277"/>
    <n v="4485.5"/>
    <n v="1353.6399999999999"/>
    <n v="0.30178129528480657"/>
    <n v="7"/>
    <x v="10"/>
    <n v="2025"/>
    <s v="WARNING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x v="384"/>
    <n v="1624.57"/>
    <x v="383"/>
    <x v="0"/>
    <s v="Returned"/>
    <s v=""/>
    <s v=""/>
    <n v="1.3271856563895552"/>
    <n v="2822.1000000000004"/>
    <n v="1197.5300000000004"/>
    <n v="0.42434003047376079"/>
    <n v="5"/>
    <x v="9"/>
    <n v="2024"/>
    <s v="CLEAN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x v="385"/>
    <n v="1115.3499999999999"/>
    <x v="384"/>
    <x v="0"/>
    <s v="Completed"/>
    <s v=""/>
    <s v=""/>
    <n v="-0.10880696539805437"/>
    <n v="1975.104"/>
    <n v="859.75400000000013"/>
    <n v="0.4352955591199249"/>
    <n v="6"/>
    <x v="10"/>
    <n v="2025"/>
    <s v="CLEAN"/>
  </r>
  <r>
    <s v="ORD-2025-10387"/>
    <d v="2025-12-0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x v="386"/>
    <n v="14363.38"/>
    <x v="385"/>
    <x v="0"/>
    <s v="Completed"/>
    <s v=""/>
    <s v="Invalid Shipping Record"/>
    <n v="-0.10880696539805437"/>
    <n v="20063.952000000001"/>
    <n v="5700.5720000000019"/>
    <n v="0.2841200975759911"/>
    <e v="#NUM!"/>
    <x v="7"/>
    <n v="2025"/>
    <s v="INVALID"/>
  </r>
  <r>
    <s v="ORD-2025-10388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x v="387"/>
    <n v="1332.49"/>
    <x v="386"/>
    <x v="2"/>
    <s v="Cancelled"/>
    <s v=""/>
    <s v=""/>
    <n v="-1.0661353799231277"/>
    <n v="1764.3000000000002"/>
    <n v="431.81000000000017"/>
    <n v="0.24474862551720236"/>
    <n v="3"/>
    <x v="1"/>
    <n v="2025"/>
    <s v="WARNING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x v="388"/>
    <n v="6872.44"/>
    <x v="387"/>
    <x v="0"/>
    <s v="Completed"/>
    <s v=""/>
    <s v=""/>
    <n v="-1.0661353799231277"/>
    <n v="9385.77"/>
    <n v="2513.3300000000008"/>
    <n v="0.26778090662779941"/>
    <n v="5"/>
    <x v="3"/>
    <n v="2024"/>
    <s v="CLEAN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x v="389"/>
    <n v="5434.3"/>
    <x v="388"/>
    <x v="2"/>
    <s v="Cancelled"/>
    <s v=""/>
    <s v=""/>
    <n v="0.84852144912701888"/>
    <n v="7750.1600000000008"/>
    <n v="2315.8600000000006"/>
    <n v="0.29881447608823564"/>
    <n v="8"/>
    <x v="11"/>
    <n v="2024"/>
    <s v="WARNING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x v="390"/>
    <n v="3439.79"/>
    <x v="389"/>
    <x v="0"/>
    <s v="Completed"/>
    <s v=""/>
    <s v=""/>
    <n v="0.84852144912701888"/>
    <n v="6135.232"/>
    <n v="2695.442"/>
    <n v="0.43933823529411764"/>
    <n v="5"/>
    <x v="2"/>
    <n v="2024"/>
    <s v="CLEAN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x v="391"/>
    <n v="565.44000000000005"/>
    <x v="390"/>
    <x v="0"/>
    <s v="Completed"/>
    <s v=""/>
    <s v=""/>
    <n v="-1.0661353799231277"/>
    <n v="714.43"/>
    <n v="148.9899999999999"/>
    <n v="0.20854387413742412"/>
    <n v="0"/>
    <x v="5"/>
    <n v="2025"/>
    <s v="CLEAN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x v="392"/>
    <n v="24525.48"/>
    <x v="391"/>
    <x v="0"/>
    <s v="Completed"/>
    <s v=""/>
    <s v=""/>
    <n v="-1.0661353799231277"/>
    <n v="36477.090000000004"/>
    <n v="11951.610000000004"/>
    <n v="0.32764702447481425"/>
    <n v="3"/>
    <x v="5"/>
    <n v="2024"/>
    <s v="CLEAN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x v="393"/>
    <n v="2967.46"/>
    <x v="392"/>
    <x v="0"/>
    <s v="Completed"/>
    <s v=""/>
    <s v=""/>
    <n v="-0.58747117266059101"/>
    <n v="3680.1289999999999"/>
    <n v="712.66899999999987"/>
    <n v="0.19365326595888346"/>
    <n v="6"/>
    <x v="1"/>
    <n v="2024"/>
    <s v="CLEAN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x v="394"/>
    <n v="21225.26"/>
    <x v="393"/>
    <x v="0"/>
    <s v="Completed"/>
    <s v=""/>
    <s v=""/>
    <n v="-1.0661353799231277"/>
    <n v="27616.47"/>
    <n v="6391.2100000000028"/>
    <n v="0.23142747787823725"/>
    <n v="1"/>
    <x v="11"/>
    <n v="2024"/>
    <s v="CLEAN"/>
  </r>
  <r>
    <s v="ORD-2024-10396"/>
    <d v="2024-06-06T00:00:00"/>
    <d v="2024-07-06T00:00:00"/>
    <s v="CUST-4765"/>
    <s v="Rahul Verma"/>
    <x v="3"/>
    <x v="2"/>
    <s v="Tamil Nadu"/>
    <s v="Chennai"/>
    <x v="1"/>
    <x v="1"/>
    <s v="Pro Tables 142"/>
    <x v="1"/>
    <n v="7"/>
    <n v="861.91"/>
    <n v="0.05"/>
    <x v="395"/>
    <n v="4115.5600000000004"/>
    <x v="394"/>
    <x v="0"/>
    <s v="Completed"/>
    <s v=""/>
    <s v=""/>
    <n v="-0.58747117266059101"/>
    <n v="5731.7014999999992"/>
    <n v="1616.1414999999988"/>
    <n v="0.28196539893084088"/>
    <n v="30"/>
    <x v="10"/>
    <n v="2024"/>
    <s v="CLEAN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x v="396"/>
    <n v="956.22"/>
    <x v="395"/>
    <x v="0"/>
    <s v="Completed"/>
    <s v=""/>
    <s v=""/>
    <n v="-0.58747117266059101"/>
    <n v="1213.587"/>
    <n v="257.36699999999996"/>
    <n v="0.21207132245154239"/>
    <n v="8"/>
    <x v="11"/>
    <n v="2025"/>
    <s v="CLEAN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x v="397"/>
    <n v="2143.7399999999998"/>
    <x v="396"/>
    <x v="0"/>
    <s v="Completed"/>
    <s v=""/>
    <s v=""/>
    <n v="-1.0661353799231277"/>
    <n v="3463.76"/>
    <n v="1320.0200000000004"/>
    <n v="0.38109453310852959"/>
    <n v="1"/>
    <x v="10"/>
    <n v="2025"/>
    <s v="CLEAN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x v="398"/>
    <n v="1355.22"/>
    <x v="397"/>
    <x v="0"/>
    <s v="Completed"/>
    <s v=""/>
    <s v=""/>
    <n v="0.84852144912701888"/>
    <n v="2021.8400000000001"/>
    <n v="666.62000000000012"/>
    <n v="0.32970957147944452"/>
    <n v="7"/>
    <x v="0"/>
    <n v="2024"/>
    <s v="CLEAN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x v="399"/>
    <n v="1993.74"/>
    <x v="398"/>
    <x v="0"/>
    <s v="Completed"/>
    <s v=""/>
    <s v=""/>
    <n v="1.3271856563895552"/>
    <n v="3268.875"/>
    <n v="1275.135"/>
    <n v="0.39008374440747962"/>
    <n v="5"/>
    <x v="11"/>
    <n v="2025"/>
    <s v="CLEAN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x v="400"/>
    <n v="4877.38"/>
    <x v="399"/>
    <x v="0"/>
    <s v="Completed"/>
    <s v="Invalid Discount"/>
    <s v=""/>
    <n v="-2.0234637944482006"/>
    <n v="6761.2930000000006"/>
    <n v="1883.9130000000005"/>
    <n v="0.27863206046535777"/>
    <n v="5"/>
    <x v="10"/>
    <n v="2025"/>
    <s v="INVALID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x v="401"/>
    <n v="5562.77"/>
    <x v="400"/>
    <x v="0"/>
    <s v="Completed"/>
    <s v=""/>
    <s v=""/>
    <n v="-1.0661353799231277"/>
    <n v="7877.5499999999993"/>
    <n v="2314.7799999999988"/>
    <n v="0.29384516759652418"/>
    <n v="7"/>
    <x v="9"/>
    <n v="2025"/>
    <s v="CLEAN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x v="402"/>
    <n v="2807.77"/>
    <x v="401"/>
    <x v="0"/>
    <s v="Completed"/>
    <s v=""/>
    <s v=""/>
    <n v="-1.0661353799231277"/>
    <n v="4095.7799999999997"/>
    <n v="1288.0099999999998"/>
    <n v="0.31447245701673426"/>
    <n v="0"/>
    <x v="9"/>
    <n v="2024"/>
    <s v="CLEAN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x v="403"/>
    <n v="10301.16"/>
    <x v="402"/>
    <x v="0"/>
    <s v="Returned"/>
    <s v=""/>
    <s v=""/>
    <n v="-0.58747117266059101"/>
    <n v="16683.1875"/>
    <n v="6382.0275000000001"/>
    <n v="0.38254245479168775"/>
    <n v="4"/>
    <x v="6"/>
    <n v="2024"/>
    <s v="CLEAN"/>
  </r>
  <r>
    <s v="ORD-2024-10405"/>
    <d v="2024-01-27T00:00:00"/>
    <d v="2024-03-02T00:00:00"/>
    <s v="CUST-2904"/>
    <s v="Aditi Sen"/>
    <x v="2"/>
    <x v="3"/>
    <s v="Rajasthan"/>
    <s v="Udaipur"/>
    <x v="1"/>
    <x v="4"/>
    <s v="Prime Chairs 891"/>
    <x v="1"/>
    <n v="3"/>
    <n v="359.61"/>
    <n v="0"/>
    <x v="404"/>
    <n v="926.35"/>
    <x v="403"/>
    <x v="0"/>
    <s v="Completed"/>
    <s v=""/>
    <s v=""/>
    <n v="-1.0661353799231277"/>
    <n v="1078.83"/>
    <n v="152.4799999999999"/>
    <n v="0.14133830167867034"/>
    <n v="35"/>
    <x v="8"/>
    <n v="2024"/>
    <s v="CLEAN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x v="405"/>
    <n v="18202.36"/>
    <x v="404"/>
    <x v="0"/>
    <s v="Completed"/>
    <s v=""/>
    <s v=""/>
    <n v="-0.10880696539805437"/>
    <n v="24431.463"/>
    <n v="6229.1029999999992"/>
    <n v="0.25496234097810677"/>
    <n v="1"/>
    <x v="6"/>
    <n v="2024"/>
    <s v="CLEAN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x v="406"/>
    <n v="3621.76"/>
    <x v="405"/>
    <x v="2"/>
    <s v="Returned"/>
    <s v=""/>
    <s v=""/>
    <n v="1.3271856563895552"/>
    <n v="5886.2999999999993"/>
    <n v="2264.5399999999991"/>
    <n v="0.38471365713606159"/>
    <n v="0"/>
    <x v="5"/>
    <n v="2025"/>
    <s v="CLEAN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x v="407"/>
    <n v="5698.42"/>
    <x v="406"/>
    <x v="0"/>
    <s v="Completed"/>
    <s v=""/>
    <s v=""/>
    <n v="-1.0661353799231277"/>
    <n v="7933.6500000000005"/>
    <n v="2235.2300000000005"/>
    <n v="0.2817404347305465"/>
    <n v="1"/>
    <x v="3"/>
    <n v="2024"/>
    <s v="CLEAN"/>
  </r>
  <r>
    <s v="ORD-2025-10409"/>
    <d v="2025-01-08T00:00:00"/>
    <d v="2025-03-08T00:00:00"/>
    <s v="CUST-5036"/>
    <s v="Sneha Kapoor"/>
    <x v="0"/>
    <x v="3"/>
    <s v="Maharashtra"/>
    <s v="Mumbai"/>
    <x v="1"/>
    <x v="4"/>
    <s v="Max Chairs 765"/>
    <x v="2"/>
    <n v="4"/>
    <n v="1773.46"/>
    <n v="0"/>
    <x v="408"/>
    <n v="4587.49"/>
    <x v="407"/>
    <x v="3"/>
    <s v="Returned"/>
    <s v=""/>
    <s v=""/>
    <n v="-1.0661353799231277"/>
    <n v="7093.84"/>
    <n v="2506.3500000000004"/>
    <n v="0.35331357910525191"/>
    <n v="59"/>
    <x v="8"/>
    <n v="2025"/>
    <s v="CLEAN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x v="409"/>
    <n v="1593.59"/>
    <x v="408"/>
    <x v="1"/>
    <s v="Returned"/>
    <s v=""/>
    <s v=""/>
    <n v="1.3271856563895552"/>
    <n v="2269.0950000000003"/>
    <n v="675.50500000000034"/>
    <n v="0.29769798091309541"/>
    <n v="2"/>
    <x v="5"/>
    <n v="2025"/>
    <s v="CLEAN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x v="410"/>
    <n v="6774.48"/>
    <x v="409"/>
    <x v="0"/>
    <s v="Completed"/>
    <s v=""/>
    <s v=""/>
    <n v="0.84852144912701888"/>
    <n v="9378.7919999999995"/>
    <n v="2604.3119999999999"/>
    <n v="0.27768096360384154"/>
    <n v="8"/>
    <x v="11"/>
    <n v="2024"/>
    <s v="CLEAN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x v="411"/>
    <n v="2768.77"/>
    <x v="410"/>
    <x v="3"/>
    <s v="Returned"/>
    <s v=""/>
    <s v=""/>
    <n v="0.84852144912701888"/>
    <n v="3334.2480000000005"/>
    <n v="565.47800000000052"/>
    <n v="0.16959686262089696"/>
    <n v="5"/>
    <x v="1"/>
    <n v="2025"/>
    <s v="CLEAN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x v="412"/>
    <n v="1014.19"/>
    <x v="411"/>
    <x v="0"/>
    <s v="Completed"/>
    <s v=""/>
    <s v=""/>
    <n v="1.3271856563895552"/>
    <n v="1583.5425"/>
    <n v="569.35249999999996"/>
    <n v="0.35954355503562424"/>
    <n v="8"/>
    <x v="8"/>
    <n v="2024"/>
    <s v="CLEAN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x v="413"/>
    <n v="10735.33"/>
    <x v="412"/>
    <x v="2"/>
    <s v="Cancelled"/>
    <s v=""/>
    <s v=""/>
    <n v="-1.0661353799231277"/>
    <n v="15345.84"/>
    <n v="4610.51"/>
    <n v="0.30044037993358463"/>
    <n v="4"/>
    <x v="1"/>
    <n v="2025"/>
    <s v="WARNING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x v="414"/>
    <n v="5519.39"/>
    <x v="413"/>
    <x v="0"/>
    <s v="Completed"/>
    <s v=""/>
    <s v=""/>
    <n v="-0.58747117266059101"/>
    <n v="9439.503999999999"/>
    <n v="3920.1139999999987"/>
    <n v="0.41528813378330037"/>
    <n v="1"/>
    <x v="1"/>
    <n v="2024"/>
    <s v="CLEAN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x v="415"/>
    <n v="7906.5"/>
    <x v="414"/>
    <x v="0"/>
    <s v="Returned"/>
    <s v=""/>
    <s v=""/>
    <n v="0.3698572418644821"/>
    <n v="10277.197"/>
    <n v="2370.6970000000001"/>
    <n v="0.23067544584384245"/>
    <n v="2"/>
    <x v="8"/>
    <n v="2024"/>
    <s v="CLEAN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x v="416"/>
    <n v="2886.35"/>
    <x v="415"/>
    <x v="0"/>
    <s v="Completed"/>
    <s v=""/>
    <s v=""/>
    <n v="1.3271856563895552"/>
    <n v="3833.7000000000003"/>
    <n v="947.35000000000036"/>
    <n v="0.24711114589039318"/>
    <n v="8"/>
    <x v="8"/>
    <n v="2025"/>
    <s v="CLEAN"/>
  </r>
  <r>
    <s v="ORD-2025-10418"/>
    <d v="2025-01-29T00:00:00"/>
    <d v="2025-05-02T00:00:00"/>
    <s v="CUST-5269"/>
    <s v="Mira Das"/>
    <x v="0"/>
    <x v="3"/>
    <s v="Gujarat"/>
    <s v="Ahmedabad"/>
    <x v="0"/>
    <x v="2"/>
    <s v="Max Art 736"/>
    <x v="2"/>
    <n v="6"/>
    <n v="3863"/>
    <n v="0.2"/>
    <x v="417"/>
    <n v="11193.75"/>
    <x v="416"/>
    <x v="0"/>
    <s v="Completed"/>
    <s v=""/>
    <s v=""/>
    <n v="0.84852144912701888"/>
    <n v="18542.400000000001"/>
    <n v="7348.6500000000015"/>
    <n v="0.39631601087237905"/>
    <n v="93"/>
    <x v="8"/>
    <n v="2025"/>
    <s v="CLEAN"/>
  </r>
  <r>
    <s v="ORD-2024-10419"/>
    <d v="2024-09-11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x v="418"/>
    <n v="15331.99"/>
    <x v="417"/>
    <x v="3"/>
    <s v="Cancelled"/>
    <s v=""/>
    <s v=""/>
    <n v="-1.0661353799231277"/>
    <n v="21962.400000000001"/>
    <n v="6630.4100000000017"/>
    <n v="0.3018982442720286"/>
    <n v="67"/>
    <x v="6"/>
    <n v="2024"/>
    <s v="WARNING"/>
  </r>
  <r>
    <s v="ORD-2025-10420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x v="419"/>
    <n v="843"/>
    <x v="418"/>
    <x v="0"/>
    <s v="Completed"/>
    <s v=""/>
    <s v=""/>
    <n v="-0.58747117266059101"/>
    <n v="1308.777"/>
    <n v="465.77700000000004"/>
    <n v="0.35588721378813964"/>
    <n v="4"/>
    <x v="6"/>
    <n v="2025"/>
    <s v="CLEAN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x v="420"/>
    <n v="1120.06"/>
    <x v="419"/>
    <x v="2"/>
    <s v="Cancelled"/>
    <s v=""/>
    <s v=""/>
    <n v="1.3271856563895552"/>
    <n v="1814.9850000000001"/>
    <n v="694.92500000000018"/>
    <n v="0.38288195219244242"/>
    <n v="1"/>
    <x v="9"/>
    <n v="2025"/>
    <s v="WARNING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x v="421"/>
    <n v="1707.52"/>
    <x v="420"/>
    <x v="2"/>
    <s v="Returned"/>
    <s v=""/>
    <s v=""/>
    <n v="0.84852144912701888"/>
    <n v="2489.8800000000006"/>
    <n v="782.36000000000058"/>
    <n v="0.31421594615001541"/>
    <n v="5"/>
    <x v="10"/>
    <n v="2025"/>
    <s v="CLEAN"/>
  </r>
  <r>
    <s v="ORD-2025-10423"/>
    <d v="2025-03-09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x v="422"/>
    <n v="2678.06"/>
    <x v="421"/>
    <x v="0"/>
    <s v="Completed"/>
    <s v=""/>
    <s v=""/>
    <n v="0.3698572418644821"/>
    <n v="4098.6574999999993"/>
    <n v="1420.5974999999994"/>
    <n v="0.34660068571233377"/>
    <n v="181"/>
    <x v="9"/>
    <n v="2025"/>
    <s v="CLEAN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x v="423"/>
    <n v="17940.43"/>
    <x v="422"/>
    <x v="0"/>
    <s v="Completed"/>
    <s v=""/>
    <s v=""/>
    <n v="0.84852144912701888"/>
    <n v="27211.032000000003"/>
    <n v="9270.6020000000026"/>
    <n v="0.34069277490100347"/>
    <n v="7"/>
    <x v="5"/>
    <n v="2024"/>
    <s v="CLEAN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x v="424"/>
    <n v="4263.83"/>
    <x v="423"/>
    <x v="0"/>
    <s v="Completed"/>
    <s v=""/>
    <s v=""/>
    <n v="-1.0661353799231277"/>
    <n v="6436.16"/>
    <n v="2172.33"/>
    <n v="0.33751957689056827"/>
    <n v="3"/>
    <x v="10"/>
    <n v="2024"/>
    <s v="CLEAN"/>
  </r>
  <r>
    <s v="ORD-2024-10426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x v="425"/>
    <n v="1373.52"/>
    <x v="424"/>
    <x v="1"/>
    <s v="Cancelled"/>
    <s v=""/>
    <s v=""/>
    <n v="-0.10880696539805437"/>
    <n v="1918.2420000000002"/>
    <n v="544.72200000000021"/>
    <n v="0.2839693844676533"/>
    <n v="1"/>
    <x v="6"/>
    <n v="2024"/>
    <s v="WARNING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x v="426"/>
    <n v="18431.330000000002"/>
    <x v="425"/>
    <x v="0"/>
    <s v="Completed"/>
    <s v=""/>
    <s v=""/>
    <n v="-0.10880696539805437"/>
    <n v="27047.952000000001"/>
    <n v="8616.6219999999994"/>
    <n v="0.31856837072174626"/>
    <n v="1"/>
    <x v="10"/>
    <n v="2024"/>
    <s v="CLEAN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x v="427"/>
    <n v="17630.25"/>
    <x v="426"/>
    <x v="0"/>
    <s v="Completed"/>
    <s v=""/>
    <s v=""/>
    <n v="-1.0661353799231277"/>
    <n v="26454.959999999999"/>
    <n v="8824.7099999999991"/>
    <n v="0.33357487594008833"/>
    <n v="2"/>
    <x v="11"/>
    <n v="2025"/>
    <s v="CLEAN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x v="428"/>
    <n v="1101.23"/>
    <x v="427"/>
    <x v="2"/>
    <s v="Cancelled"/>
    <s v=""/>
    <s v=""/>
    <n v="1.3271856563895552"/>
    <n v="1853.895"/>
    <n v="752.66499999999996"/>
    <n v="0.40599116994220275"/>
    <n v="7"/>
    <x v="9"/>
    <n v="2025"/>
    <s v="WARNING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x v="429"/>
    <n v="13842.48"/>
    <x v="428"/>
    <x v="0"/>
    <s v="Completed"/>
    <s v=""/>
    <s v=""/>
    <n v="1.3271856563895552"/>
    <n v="17658.599999999999"/>
    <n v="3816.119999999999"/>
    <n v="0.2161054670245659"/>
    <n v="7"/>
    <x v="9"/>
    <n v="2025"/>
    <s v="CLEAN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x v="430"/>
    <n v="2714.23"/>
    <x v="429"/>
    <x v="0"/>
    <s v="Completed"/>
    <s v=""/>
    <s v=""/>
    <n v="0.3698572418644821"/>
    <n v="3672.7139999999999"/>
    <n v="958.48399999999992"/>
    <n v="0.26097430946161337"/>
    <n v="3"/>
    <x v="1"/>
    <n v="2024"/>
    <s v="CLEAN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x v="431"/>
    <n v="4520.75"/>
    <x v="430"/>
    <x v="0"/>
    <s v="Completed"/>
    <s v=""/>
    <s v=""/>
    <n v="1.3271856563895552"/>
    <n v="6177.6749999999993"/>
    <n v="1656.9249999999993"/>
    <n v="0.26821174632851347"/>
    <n v="3"/>
    <x v="5"/>
    <n v="2024"/>
    <s v="CLEAN"/>
  </r>
  <r>
    <s v="ORD-2024-10433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x v="432"/>
    <n v="844.48"/>
    <x v="431"/>
    <x v="0"/>
    <s v="Completed"/>
    <s v=""/>
    <s v=""/>
    <n v="-0.58747117266059101"/>
    <n v="985.07400000000007"/>
    <n v="140.59400000000005"/>
    <n v="0.14272430294576857"/>
    <n v="4"/>
    <x v="1"/>
    <n v="2024"/>
    <s v="CLEAN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x v="433"/>
    <n v="4938.7"/>
    <x v="432"/>
    <x v="1"/>
    <s v="Returned"/>
    <s v=""/>
    <s v=""/>
    <n v="-1.0661353799231277"/>
    <n v="6160.88"/>
    <n v="1222.1800000000003"/>
    <n v="0.19837750451234243"/>
    <n v="1"/>
    <x v="11"/>
    <n v="2024"/>
    <s v="CLEAN"/>
  </r>
  <r>
    <s v="ORD-2025-10435"/>
    <d v="2025-11-04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x v="434"/>
    <n v="2068.44"/>
    <x v="433"/>
    <x v="0"/>
    <s v="Completed"/>
    <s v=""/>
    <s v="Invalid Shipping Record"/>
    <n v="-1.0661353799231277"/>
    <n v="3263.8999999999996"/>
    <n v="1195.4599999999996"/>
    <n v="0.3662673488771101"/>
    <e v="#NUM!"/>
    <x v="2"/>
    <n v="2025"/>
    <s v="INVALID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x v="435"/>
    <n v="1919.42"/>
    <x v="434"/>
    <x v="0"/>
    <s v="Cancelled"/>
    <s v=""/>
    <s v=""/>
    <n v="0.3698572418644821"/>
    <n v="2327.0535"/>
    <n v="407.63349999999991"/>
    <n v="0.17517152055163318"/>
    <n v="8"/>
    <x v="11"/>
    <n v="2025"/>
    <s v="WARNING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x v="436"/>
    <n v="4359.3900000000003"/>
    <x v="435"/>
    <x v="0"/>
    <s v="Returned"/>
    <s v=""/>
    <s v=""/>
    <n v="-0.58747117266059101"/>
    <n v="6593.6459999999997"/>
    <n v="2234.2559999999994"/>
    <n v="0.33884985636171544"/>
    <n v="5"/>
    <x v="10"/>
    <n v="2024"/>
    <s v="CLEAN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x v="437"/>
    <n v="1588.23"/>
    <x v="436"/>
    <x v="3"/>
    <s v="Returned"/>
    <s v=""/>
    <s v=""/>
    <n v="-0.58747117266059101"/>
    <n v="2886.6319999999996"/>
    <n v="1298.4019999999996"/>
    <n v="0.44979824238073984"/>
    <n v="3"/>
    <x v="5"/>
    <n v="2024"/>
    <s v="CLEAN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x v="438"/>
    <n v="1363.64"/>
    <x v="437"/>
    <x v="0"/>
    <s v="Completed"/>
    <s v=""/>
    <s v="Invalid Shipping Record"/>
    <n v="0.84852144912701888"/>
    <n v="1813.1759999999999"/>
    <n v="449.53599999999983"/>
    <n v="0.24792739370033567"/>
    <e v="#NUM!"/>
    <x v="3"/>
    <n v="2025"/>
    <s v="INVALID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x v="439"/>
    <n v="2689.36"/>
    <x v="438"/>
    <x v="1"/>
    <s v="Returned"/>
    <s v=""/>
    <s v=""/>
    <n v="-1.0661353799231277"/>
    <n v="3326.25"/>
    <n v="636.88999999999987"/>
    <n v="0.19147388199924836"/>
    <n v="3"/>
    <x v="10"/>
    <n v="2025"/>
    <s v="CLEAN"/>
  </r>
  <r>
    <s v="ORD-2024-10441"/>
    <d v="2024-02-04T00:00:00"/>
    <d v="2024-08-04T00:00:00"/>
    <s v="CUST-9039"/>
    <s v="Vikram Iyer"/>
    <x v="2"/>
    <x v="1"/>
    <s v="Odisha"/>
    <s v="Bhubaneswar"/>
    <x v="2"/>
    <x v="12"/>
    <s v="Basic Machines 610"/>
    <x v="0"/>
    <n v="6"/>
    <n v="3722.84"/>
    <n v="0.2"/>
    <x v="440"/>
    <n v="12163.8"/>
    <x v="439"/>
    <x v="0"/>
    <s v="Completed"/>
    <s v=""/>
    <s v=""/>
    <n v="0.84852144912701888"/>
    <n v="17869.632000000001"/>
    <n v="5705.8320000000022"/>
    <n v="0.31930327384469931"/>
    <n v="182"/>
    <x v="5"/>
    <n v="2024"/>
    <s v="CLEAN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x v="441"/>
    <n v="20771.95"/>
    <x v="440"/>
    <x v="0"/>
    <s v="Cancelled"/>
    <s v=""/>
    <s v=""/>
    <n v="-1.0661353799231277"/>
    <n v="25304.94"/>
    <n v="4532.989999999998"/>
    <n v="0.17913458795002077"/>
    <n v="0"/>
    <x v="4"/>
    <n v="2024"/>
    <s v="WARNING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x v="442"/>
    <n v="1019.17"/>
    <x v="441"/>
    <x v="0"/>
    <s v="Completed"/>
    <s v=""/>
    <s v=""/>
    <n v="-1.0661353799231277"/>
    <n v="1842.31"/>
    <n v="823.14"/>
    <n v="0.44679777019068451"/>
    <n v="7"/>
    <x v="8"/>
    <n v="2025"/>
    <s v="CLEAN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x v="443"/>
    <n v="2347.6799999999998"/>
    <x v="442"/>
    <x v="0"/>
    <s v="Completed"/>
    <s v=""/>
    <s v=""/>
    <n v="-0.10880696539805437"/>
    <n v="3315.375"/>
    <n v="967.69500000000016"/>
    <n v="0.29188100893564084"/>
    <n v="3"/>
    <x v="11"/>
    <n v="2024"/>
    <s v="CLEAN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x v="444"/>
    <n v="12407.51"/>
    <x v="443"/>
    <x v="0"/>
    <s v="Completed"/>
    <s v=""/>
    <s v=""/>
    <n v="-0.58747117266059101"/>
    <n v="20342.501999999997"/>
    <n v="7934.9919999999966"/>
    <n v="0.39006961877157481"/>
    <n v="4"/>
    <x v="1"/>
    <n v="2025"/>
    <s v="CLEAN"/>
  </r>
  <r>
    <s v="ORD-2024-10446"/>
    <d v="2024-09-05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x v="445"/>
    <n v="2496.29"/>
    <x v="444"/>
    <x v="0"/>
    <s v="Completed"/>
    <s v=""/>
    <s v="Invalid Shipping Record"/>
    <n v="0.84852144912701888"/>
    <n v="3377.9680000000003"/>
    <n v="881.67800000000034"/>
    <n v="0.26100839321154029"/>
    <e v="#NUM!"/>
    <x v="6"/>
    <n v="2024"/>
    <s v="INVALID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x v="446"/>
    <n v="23754.19"/>
    <x v="445"/>
    <x v="0"/>
    <s v="Completed"/>
    <s v=""/>
    <s v=""/>
    <n v="-1.0661353799231277"/>
    <n v="33940.080000000002"/>
    <n v="10185.890000000003"/>
    <n v="0.30011390662603044"/>
    <n v="1"/>
    <x v="6"/>
    <n v="2025"/>
    <s v="CLEAN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x v="447"/>
    <n v="13829.5"/>
    <x v="446"/>
    <x v="2"/>
    <s v="Returned"/>
    <s v=""/>
    <s v=""/>
    <n v="0.3698572418644821"/>
    <n v="21872.369999999995"/>
    <n v="8042.8699999999953"/>
    <n v="0.36771826738483288"/>
    <n v="0"/>
    <x v="1"/>
    <n v="2025"/>
    <s v="CLEAN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x v="448"/>
    <n v="244.57"/>
    <x v="447"/>
    <x v="0"/>
    <s v="Completed"/>
    <s v=""/>
    <s v=""/>
    <n v="0.3698572418644821"/>
    <n v="342.05700000000002"/>
    <n v="97.487000000000023"/>
    <n v="0.28500220723446684"/>
    <n v="3"/>
    <x v="8"/>
    <n v="2024"/>
    <s v="CLEAN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x v="449"/>
    <n v="14271.27"/>
    <x v="448"/>
    <x v="0"/>
    <s v="Completed"/>
    <s v=""/>
    <s v=""/>
    <n v="-1.0661353799231277"/>
    <n v="19622.16"/>
    <n v="5350.8899999999994"/>
    <n v="0.27269627808559299"/>
    <n v="7"/>
    <x v="10"/>
    <n v="2024"/>
    <s v="CLEAN"/>
  </r>
  <r>
    <s v="ORD-2025-10451"/>
    <d v="2025-12-06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x v="450"/>
    <n v="9907.3700000000008"/>
    <x v="449"/>
    <x v="0"/>
    <s v="Completed"/>
    <s v=""/>
    <s v="Invalid Shipping Record"/>
    <n v="1.3271856563895552"/>
    <n v="15380.3475"/>
    <n v="5472.9774999999991"/>
    <n v="0.35584225258889624"/>
    <e v="#NUM!"/>
    <x v="7"/>
    <n v="2025"/>
    <s v="INVALID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x v="451"/>
    <n v="11127.82"/>
    <x v="450"/>
    <x v="0"/>
    <s v="Cancelled"/>
    <s v=""/>
    <s v=""/>
    <n v="0.3698572418644821"/>
    <n v="13039.952000000001"/>
    <n v="1912.1320000000014"/>
    <n v="0.1466364293365498"/>
    <n v="2"/>
    <x v="9"/>
    <n v="2024"/>
    <s v="WARNING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x v="452"/>
    <n v="5628.93"/>
    <x v="451"/>
    <x v="0"/>
    <s v="Completed"/>
    <s v=""/>
    <s v=""/>
    <n v="0.84852144912701888"/>
    <n v="9663.9840000000004"/>
    <n v="4035.0540000000001"/>
    <n v="0.41753525254180884"/>
    <n v="6"/>
    <x v="3"/>
    <n v="2024"/>
    <s v="CLEAN"/>
  </r>
  <r>
    <s v="ORD-2025-10454"/>
    <d v="2025-03-05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x v="453"/>
    <n v="4955.8599999999997"/>
    <x v="452"/>
    <x v="0"/>
    <s v="Completed"/>
    <s v=""/>
    <s v=""/>
    <n v="-1.0661353799231277"/>
    <n v="7417.6"/>
    <n v="2461.7400000000007"/>
    <n v="0.3318782355478862"/>
    <n v="67"/>
    <x v="9"/>
    <n v="2025"/>
    <s v="CLEAN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x v="454"/>
    <n v="20170.43"/>
    <x v="453"/>
    <x v="0"/>
    <s v="Completed"/>
    <s v=""/>
    <s v=""/>
    <n v="0.3698572418644821"/>
    <n v="25229.7"/>
    <n v="5059.2700000000004"/>
    <n v="0.20052834556098567"/>
    <n v="5"/>
    <x v="9"/>
    <n v="2025"/>
    <s v="CLEAN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x v="455"/>
    <n v="1848.6"/>
    <x v="454"/>
    <x v="0"/>
    <s v="Completed"/>
    <s v=""/>
    <s v=""/>
    <n v="-1.0661353799231277"/>
    <n v="3235.08"/>
    <n v="1386.48"/>
    <n v="0.42857672762342819"/>
    <n v="4"/>
    <x v="0"/>
    <n v="2024"/>
    <s v="CLEAN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x v="456"/>
    <n v="6623.61"/>
    <x v="455"/>
    <x v="0"/>
    <s v="Returned"/>
    <s v=""/>
    <s v=""/>
    <n v="0.3698572418644821"/>
    <n v="11070.867499999998"/>
    <n v="4447.2574999999988"/>
    <n v="0.40170813172499803"/>
    <n v="0"/>
    <x v="5"/>
    <n v="2024"/>
    <s v="CLEAN"/>
  </r>
  <r>
    <s v="ORD-2024-10458"/>
    <d v="2024-04-05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x v="457"/>
    <n v="16603.599999999999"/>
    <x v="456"/>
    <x v="0"/>
    <s v="Completed"/>
    <s v=""/>
    <s v=""/>
    <n v="-1.0661353799231277"/>
    <n v="19960.57"/>
    <n v="3356.9700000000012"/>
    <n v="0.1681800670020947"/>
    <n v="29"/>
    <x v="11"/>
    <n v="2024"/>
    <s v="CLEAN"/>
  </r>
  <r>
    <s v="ORD-2024-10459"/>
    <d v="2024-02-10T00:00:00"/>
    <d v="2024-11-02T00:00:00"/>
    <s v="CUST-1263"/>
    <s v="Karan Malhotra"/>
    <x v="2"/>
    <x v="0"/>
    <s v="Rajasthan"/>
    <s v="Jaipur"/>
    <x v="2"/>
    <x v="11"/>
    <s v="Pro Phones 907"/>
    <x v="0"/>
    <n v="3"/>
    <n v="3183.72"/>
    <n v="0.1"/>
    <x v="458"/>
    <n v="5378.16"/>
    <x v="457"/>
    <x v="0"/>
    <s v="Completed"/>
    <s v=""/>
    <s v=""/>
    <n v="-0.10880696539805437"/>
    <n v="8596.0439999999999"/>
    <n v="3217.884"/>
    <n v="0.37434475672762962"/>
    <n v="266"/>
    <x v="5"/>
    <n v="2024"/>
    <s v="CLEAN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x v="459"/>
    <n v="2077.96"/>
    <x v="458"/>
    <x v="0"/>
    <s v="Completed"/>
    <s v=""/>
    <s v=""/>
    <n v="-1.0661353799231277"/>
    <n v="3452.76"/>
    <n v="1374.8000000000002"/>
    <n v="0.39817421425178701"/>
    <n v="7"/>
    <x v="9"/>
    <n v="2024"/>
    <s v="CLEAN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x v="460"/>
    <n v="7394.07"/>
    <x v="459"/>
    <x v="0"/>
    <s v="Completed"/>
    <s v=""/>
    <s v=""/>
    <n v="-0.58747117266059101"/>
    <n v="11626.974000000002"/>
    <n v="4232.9040000000023"/>
    <n v="0.36405895463428417"/>
    <n v="6"/>
    <x v="6"/>
    <n v="2025"/>
    <s v="CLEAN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x v="461"/>
    <n v="7052.08"/>
    <x v="460"/>
    <x v="0"/>
    <s v="Completed"/>
    <s v=""/>
    <s v=""/>
    <n v="0.3698572418644821"/>
    <n v="8614.2825000000012"/>
    <n v="1562.2025000000012"/>
    <n v="0.18135027496486225"/>
    <n v="1"/>
    <x v="3"/>
    <n v="2025"/>
    <s v="CLEAN"/>
  </r>
  <r>
    <s v="ORD-2024-10463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x v="462"/>
    <n v="1395.71"/>
    <x v="461"/>
    <x v="0"/>
    <s v="Completed"/>
    <s v=""/>
    <s v=""/>
    <n v="0.84852144912701888"/>
    <n v="2040.2240000000002"/>
    <n v="644.51400000000012"/>
    <n v="0.31590354784572677"/>
    <n v="2"/>
    <x v="6"/>
    <n v="2024"/>
    <s v="CLEAN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x v="463"/>
    <n v="2132.37"/>
    <x v="462"/>
    <x v="0"/>
    <s v="Completed"/>
    <s v=""/>
    <s v=""/>
    <n v="0.84852144912701888"/>
    <n v="2846.4"/>
    <n v="714.0300000000002"/>
    <n v="0.25085370994940986"/>
    <n v="1"/>
    <x v="5"/>
    <n v="2025"/>
    <s v="CLEAN"/>
  </r>
  <r>
    <s v="ORD-2025-10465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x v="464"/>
    <n v="7131.91"/>
    <x v="463"/>
    <x v="2"/>
    <s v="Cancelled"/>
    <s v=""/>
    <s v=""/>
    <n v="-0.58747117266059101"/>
    <n v="10331.477999999999"/>
    <n v="3199.5679999999993"/>
    <n v="0.30969121746181905"/>
    <n v="4"/>
    <x v="9"/>
    <n v="2025"/>
    <s v="WARNING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x v="465"/>
    <n v="1478.54"/>
    <x v="464"/>
    <x v="0"/>
    <s v="Completed"/>
    <s v=""/>
    <s v=""/>
    <n v="-1.0661353799231277"/>
    <n v="2517.8000000000002"/>
    <n v="1039.2600000000002"/>
    <n v="0.41276511239971408"/>
    <n v="8"/>
    <x v="8"/>
    <n v="2024"/>
    <s v="CLEAN"/>
  </r>
  <r>
    <s v="ORD-2024-10467"/>
    <d v="2024-01-04T00:00:00"/>
    <d v="2024-08-01T00:00:00"/>
    <s v="CUST-2725"/>
    <s v="Mira Das"/>
    <x v="1"/>
    <x v="1"/>
    <s v="Bihar"/>
    <s v="Patna"/>
    <x v="2"/>
    <x v="5"/>
    <s v="Max Accessories 486"/>
    <x v="1"/>
    <n v="9"/>
    <n v="1591.96"/>
    <n v="0.2"/>
    <x v="466"/>
    <n v="7105.48"/>
    <x v="465"/>
    <x v="0"/>
    <s v="Completed"/>
    <s v=""/>
    <s v=""/>
    <n v="0.84852144912701888"/>
    <n v="11462.112000000001"/>
    <n v="4356.6320000000014"/>
    <n v="0.38008981241851425"/>
    <n v="210"/>
    <x v="8"/>
    <n v="2024"/>
    <s v="CLEAN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x v="467"/>
    <n v="15451.66"/>
    <x v="466"/>
    <x v="1"/>
    <s v="Cancelled"/>
    <s v=""/>
    <s v=""/>
    <n v="-0.10880696539805437"/>
    <n v="19297.485000000001"/>
    <n v="3845.8250000000007"/>
    <n v="0.1992915138941681"/>
    <n v="1"/>
    <x v="1"/>
    <n v="2024"/>
    <s v="WARNING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x v="468"/>
    <n v="5407.24"/>
    <x v="467"/>
    <x v="0"/>
    <s v="Completed"/>
    <s v=""/>
    <s v="Invalid Shipping Record"/>
    <n v="-1.0661353799231277"/>
    <n v="6564.99"/>
    <n v="1157.75"/>
    <n v="0.17635213458055535"/>
    <e v="#NUM!"/>
    <x v="8"/>
    <n v="2025"/>
    <s v="INVALID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x v="469"/>
    <n v="2282.12"/>
    <x v="468"/>
    <x v="0"/>
    <s v="Completed"/>
    <s v=""/>
    <s v=""/>
    <n v="-0.10880696539805437"/>
    <n v="2812.4820000000004"/>
    <n v="530.36200000000053"/>
    <n v="0.18857436243147527"/>
    <n v="6"/>
    <x v="8"/>
    <n v="2024"/>
    <s v="CLEAN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x v="470"/>
    <n v="4465.91"/>
    <x v="469"/>
    <x v="0"/>
    <s v="Completed"/>
    <s v=""/>
    <s v=""/>
    <n v="0.84852144912701888"/>
    <n v="7079.6480000000001"/>
    <n v="2613.7380000000003"/>
    <n v="0.36919038912669105"/>
    <n v="3"/>
    <x v="0"/>
    <n v="2024"/>
    <s v="CLEAN"/>
  </r>
  <r>
    <s v="ORD-2024-10472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x v="471"/>
    <n v="4985.22"/>
    <x v="470"/>
    <x v="0"/>
    <s v="Completed"/>
    <s v=""/>
    <s v=""/>
    <n v="1.3271856563895552"/>
    <n v="6793.0650000000005"/>
    <n v="1807.8450000000003"/>
    <n v="0.26613097327936652"/>
    <n v="4"/>
    <x v="5"/>
    <n v="2024"/>
    <s v="CLEAN"/>
  </r>
  <r>
    <s v="ORD-2024-10473"/>
    <d v="2024-03-02T00:00:00"/>
    <d v="2024-07-03T00:00:00"/>
    <s v="CUST-7208"/>
    <s v="Rohan Mehta"/>
    <x v="2"/>
    <x v="1"/>
    <s v="Odisha"/>
    <s v="Bhubaneswar"/>
    <x v="0"/>
    <x v="8"/>
    <s v="Pro Storage 756"/>
    <x v="3"/>
    <n v="7"/>
    <n v="263.45999999999998"/>
    <n v="0"/>
    <x v="472"/>
    <n v="1094.21"/>
    <x v="471"/>
    <x v="0"/>
    <s v="Completed"/>
    <s v=""/>
    <s v=""/>
    <n v="-1.0661353799231277"/>
    <n v="1844.2199999999998"/>
    <n v="750.00999999999976"/>
    <n v="0.40668141544934977"/>
    <n v="123"/>
    <x v="9"/>
    <n v="2024"/>
    <s v="CLEAN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x v="473"/>
    <n v="554.17999999999995"/>
    <x v="472"/>
    <x v="0"/>
    <s v="Completed"/>
    <s v=""/>
    <s v=""/>
    <n v="0.84852144912701888"/>
    <n v="918.95999999999992"/>
    <n v="364.78"/>
    <n v="0.39694872464525116"/>
    <n v="0"/>
    <x v="2"/>
    <n v="2024"/>
    <s v="CLEAN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x v="474"/>
    <n v="2713.9"/>
    <x v="473"/>
    <x v="0"/>
    <s v="Completed"/>
    <s v=""/>
    <s v=""/>
    <n v="-1.0661353799231277"/>
    <n v="4900.71"/>
    <n v="2186.81"/>
    <n v="0.44622309828575857"/>
    <n v="7"/>
    <x v="10"/>
    <n v="2024"/>
    <s v="CLEAN"/>
  </r>
  <r>
    <s v="ORD-2025-10476"/>
    <d v="2025-01-03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x v="475"/>
    <n v="15873.38"/>
    <x v="474"/>
    <x v="2"/>
    <s v="Returned"/>
    <s v=""/>
    <s v=""/>
    <n v="1.3271856563895552"/>
    <n v="20272.920000000002"/>
    <n v="4399.5400000000027"/>
    <n v="0.21701560505344086"/>
    <n v="64"/>
    <x v="8"/>
    <n v="2025"/>
    <s v="CLEAN"/>
  </r>
  <r>
    <s v="ORD-2024-10477"/>
    <d v="2024-07-05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x v="476"/>
    <n v="595.41999999999996"/>
    <x v="475"/>
    <x v="0"/>
    <s v="Completed"/>
    <s v=""/>
    <s v="Invalid Shipping Record"/>
    <n v="-0.10880696539805437"/>
    <n v="1035.6659999999999"/>
    <n v="440.24599999999998"/>
    <n v="0.42508492120046426"/>
    <e v="#NUM!"/>
    <x v="0"/>
    <n v="2024"/>
    <s v="INVALID"/>
  </r>
  <r>
    <s v="ORD-2025-10478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x v="477"/>
    <n v="9356.8799999999992"/>
    <x v="476"/>
    <x v="0"/>
    <s v="Cancelled"/>
    <s v=""/>
    <s v=""/>
    <n v="-0.10880696539805437"/>
    <n v="11843.442000000001"/>
    <n v="2486.5620000000017"/>
    <n v="0.20995264721184953"/>
    <n v="5"/>
    <x v="1"/>
    <n v="2025"/>
    <s v="WARNING"/>
  </r>
  <r>
    <s v="ORD-2024-10479"/>
    <d v="2024-09-06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x v="478"/>
    <n v="14571.48"/>
    <x v="477"/>
    <x v="1"/>
    <s v="Returned"/>
    <s v=""/>
    <s v="Invalid Shipping Record"/>
    <n v="-0.10880696539805437"/>
    <n v="25702.173000000003"/>
    <n v="11130.693000000003"/>
    <n v="0.43306427826160854"/>
    <e v="#NUM!"/>
    <x v="6"/>
    <n v="2024"/>
    <s v="INVALID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x v="479"/>
    <n v="1034.57"/>
    <x v="478"/>
    <x v="0"/>
    <s v="Completed"/>
    <s v=""/>
    <s v="Invalid Shipping Record"/>
    <n v="-1.0661353799231277"/>
    <n v="2202.5500000000002"/>
    <n v="1167.9800000000002"/>
    <n v="0.53028535107035035"/>
    <e v="#NUM!"/>
    <x v="5"/>
    <n v="2024"/>
    <s v="INVALID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x v="480"/>
    <n v="2714.51"/>
    <x v="479"/>
    <x v="0"/>
    <s v="Completed"/>
    <s v=""/>
    <s v=""/>
    <n v="-1.0661353799231277"/>
    <n v="4525.8"/>
    <n v="1811.29"/>
    <n v="0.40021432674886204"/>
    <n v="4"/>
    <x v="8"/>
    <n v="2025"/>
    <s v="CLEAN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x v="481"/>
    <n v="6353.59"/>
    <x v="480"/>
    <x v="0"/>
    <s v="Completed"/>
    <s v="Invalid Discount"/>
    <s v=""/>
    <n v="7.0711561435399943"/>
    <n v="1676.3280000000002"/>
    <n v="-4677.2619999999997"/>
    <n v="-2.7901830667983827"/>
    <n v="8"/>
    <x v="10"/>
    <n v="2025"/>
    <s v="INVALID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x v="482"/>
    <n v="1856.03"/>
    <x v="481"/>
    <x v="0"/>
    <s v="Completed"/>
    <s v=""/>
    <s v=""/>
    <n v="1.3271856563895552"/>
    <n v="2893.9949999999999"/>
    <n v="1037.9649999999999"/>
    <n v="0.35866164247001114"/>
    <n v="0"/>
    <x v="0"/>
    <n v="2024"/>
    <s v="CLEAN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x v="483"/>
    <n v="438.32"/>
    <x v="482"/>
    <x v="0"/>
    <s v="Completed"/>
    <s v=""/>
    <s v=""/>
    <n v="0.3698572418644821"/>
    <n v="705.2109999999999"/>
    <n v="266.89099999999991"/>
    <n v="0.37845552607659261"/>
    <n v="0"/>
    <x v="7"/>
    <n v="2024"/>
    <s v="CLEAN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x v="484"/>
    <n v="13679.24"/>
    <x v="483"/>
    <x v="0"/>
    <s v="Completed"/>
    <s v=""/>
    <s v=""/>
    <n v="1.3271856563895552"/>
    <n v="16385.489999999998"/>
    <n v="2706.2499999999982"/>
    <n v="0.16516137143289572"/>
    <n v="3"/>
    <x v="7"/>
    <n v="2024"/>
    <s v="CLEAN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x v="485"/>
    <n v="5595.6"/>
    <x v="484"/>
    <x v="0"/>
    <s v="Completed"/>
    <s v=""/>
    <s v=""/>
    <n v="1.3271856563895552"/>
    <n v="7665.57"/>
    <n v="2069.9699999999993"/>
    <n v="0.27003471366121495"/>
    <n v="1"/>
    <x v="8"/>
    <n v="2025"/>
    <s v="CLEAN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x v="486"/>
    <n v="3166.49"/>
    <x v="485"/>
    <x v="0"/>
    <s v="Completed"/>
    <s v=""/>
    <s v=""/>
    <n v="0.84852144912701888"/>
    <n v="4670.8320000000003"/>
    <n v="1504.3420000000006"/>
    <n v="0.3220715281560117"/>
    <n v="4"/>
    <x v="10"/>
    <n v="2025"/>
    <s v="CLEAN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x v="487"/>
    <n v="4282.09"/>
    <x v="486"/>
    <x v="1"/>
    <s v="Returned"/>
    <s v=""/>
    <s v=""/>
    <n v="-1.0661353799231277"/>
    <n v="6155.5"/>
    <n v="1873.4099999999999"/>
    <n v="0.3043473316546178"/>
    <n v="7"/>
    <x v="10"/>
    <n v="2025"/>
    <s v="CLEAN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x v="488"/>
    <n v="5967.44"/>
    <x v="487"/>
    <x v="0"/>
    <s v="Completed"/>
    <s v=""/>
    <s v=""/>
    <n v="0.84852144912701888"/>
    <n v="8666.56"/>
    <n v="2699.12"/>
    <n v="0.31144075619392242"/>
    <n v="6"/>
    <x v="4"/>
    <n v="2024"/>
    <s v="CLEAN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x v="489"/>
    <n v="262.52999999999997"/>
    <x v="488"/>
    <x v="0"/>
    <s v="Completed"/>
    <s v=""/>
    <s v=""/>
    <n v="0.84852144912701888"/>
    <n v="361.75200000000001"/>
    <n v="99.222000000000037"/>
    <n v="0.27428182843495003"/>
    <n v="5"/>
    <x v="5"/>
    <n v="2024"/>
    <s v="CLEAN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x v="490"/>
    <n v="1613.82"/>
    <x v="489"/>
    <x v="0"/>
    <s v="Completed"/>
    <s v=""/>
    <s v=""/>
    <n v="0.3698572418644821"/>
    <n v="2418.1990000000001"/>
    <n v="804.37900000000013"/>
    <n v="0.33263556886757462"/>
    <n v="3"/>
    <x v="6"/>
    <n v="2024"/>
    <s v="CLEAN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x v="491"/>
    <n v="1207.42"/>
    <x v="490"/>
    <x v="0"/>
    <s v="Completed"/>
    <s v=""/>
    <s v=""/>
    <n v="0.84852144912701888"/>
    <n v="1941.0560000000003"/>
    <n v="733.63600000000019"/>
    <n v="0.37795715321969076"/>
    <n v="1"/>
    <x v="11"/>
    <n v="2025"/>
    <s v="CLEAN"/>
  </r>
  <r>
    <s v="ORD-2025-10493"/>
    <d v="2025-06-28T00:00:00"/>
    <d v="2025-02-07T00:00:00"/>
    <s v="CUST-4679"/>
    <s v="Ananya Rao"/>
    <x v="2"/>
    <x v="2"/>
    <s v="Andhra Pradesh"/>
    <s v="Vijayawada"/>
    <x v="0"/>
    <x v="8"/>
    <s v="Elite Storage 331"/>
    <x v="0"/>
    <n v="2"/>
    <n v="2725.44"/>
    <n v="0.25"/>
    <x v="492"/>
    <n v="3205.68"/>
    <x v="491"/>
    <x v="0"/>
    <s v="Completed"/>
    <s v=""/>
    <s v="Invalid Shipping Record"/>
    <n v="1.3271856563895552"/>
    <n v="4088.16"/>
    <n v="882.48"/>
    <n v="0.21586239286133616"/>
    <e v="#NUM!"/>
    <x v="10"/>
    <n v="2025"/>
    <s v="INVALID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x v="493"/>
    <n v="11088.76"/>
    <x v="492"/>
    <x v="0"/>
    <s v="Completed"/>
    <s v=""/>
    <s v=""/>
    <n v="-0.58747117266059101"/>
    <n v="15273.054999999997"/>
    <n v="4184.2949999999964"/>
    <n v="0.27396581757873573"/>
    <n v="0"/>
    <x v="5"/>
    <n v="2025"/>
    <s v="CLEAN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x v="494"/>
    <n v="1569.38"/>
    <x v="493"/>
    <x v="3"/>
    <s v="Cancelled"/>
    <s v="Invalid Discount"/>
    <s v=""/>
    <n v="-2.3106623188057229"/>
    <n v="2276.9951999999998"/>
    <n v="707.61519999999973"/>
    <n v="0.31076710218800629"/>
    <n v="8"/>
    <x v="2"/>
    <n v="2024"/>
    <s v="INVALID"/>
  </r>
  <r>
    <s v="ORD-2024-10496"/>
    <d v="2024-09-05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x v="495"/>
    <n v="2419.2399999999998"/>
    <x v="494"/>
    <x v="1"/>
    <s v="Returned"/>
    <s v=""/>
    <s v="Invalid Shipping Record"/>
    <n v="-0.58747117266059101"/>
    <n v="3784.7239999999997"/>
    <n v="1365.4839999999999"/>
    <n v="0.36078826355633858"/>
    <e v="#NUM!"/>
    <x v="6"/>
    <n v="2024"/>
    <s v="INVALID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x v="496"/>
    <n v="3652.91"/>
    <x v="495"/>
    <x v="0"/>
    <s v="Completed"/>
    <s v=""/>
    <s v=""/>
    <n v="-0.10880696539805437"/>
    <n v="6635.5560000000005"/>
    <n v="2982.6460000000006"/>
    <n v="0.44949451108543131"/>
    <n v="2"/>
    <x v="0"/>
    <n v="2025"/>
    <s v="CLEAN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x v="497"/>
    <n v="2028.43"/>
    <x v="496"/>
    <x v="0"/>
    <s v="Cancelled"/>
    <s v=""/>
    <s v=""/>
    <n v="0.84852144912701888"/>
    <n v="2485.5040000000004"/>
    <n v="457.0740000000003"/>
    <n v="0.18389590199814615"/>
    <n v="0"/>
    <x v="1"/>
    <n v="2024"/>
    <s v="WARNING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x v="498"/>
    <n v="600.98"/>
    <x v="497"/>
    <x v="1"/>
    <s v="Cancelled"/>
    <s v=""/>
    <s v=""/>
    <n v="-0.58747117266059101"/>
    <n v="850.34500000000003"/>
    <n v="249.36500000000001"/>
    <n v="0.29325156260106194"/>
    <n v="3"/>
    <x v="6"/>
    <n v="2025"/>
    <s v="WARNING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x v="499"/>
    <n v="6059.07"/>
    <x v="498"/>
    <x v="0"/>
    <s v="Cancelled"/>
    <s v=""/>
    <s v=""/>
    <n v="-1.0661353799231277"/>
    <n v="9997.8299999999981"/>
    <n v="3938.7599999999984"/>
    <n v="0.3939614896432525"/>
    <n v="4"/>
    <x v="7"/>
    <n v="2024"/>
    <s v="WARNING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x v="500"/>
    <n v="28577.15"/>
    <x v="499"/>
    <x v="0"/>
    <s v="Completed"/>
    <s v="Invalid Discount"/>
    <s v=""/>
    <n v="7.0711561435399943"/>
    <n v="5124.5865000000003"/>
    <n v="-23452.5635"/>
    <n v="-4.5764791949555343"/>
    <n v="5"/>
    <x v="3"/>
    <n v="2024"/>
    <s v="INVALID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x v="501"/>
    <n v="13627.02"/>
    <x v="500"/>
    <x v="0"/>
    <s v="Completed"/>
    <s v=""/>
    <s v=""/>
    <n v="0.3698572418644821"/>
    <n v="17837.453999999998"/>
    <n v="4210.4339999999975"/>
    <n v="0.23604456106796395"/>
    <n v="6"/>
    <x v="1"/>
    <n v="2024"/>
    <s v="CLEAN"/>
  </r>
  <r>
    <s v="ORD-2024-10503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x v="502"/>
    <n v="3377.1"/>
    <x v="501"/>
    <x v="0"/>
    <s v="Completed"/>
    <s v=""/>
    <s v=""/>
    <n v="-0.10880696539805437"/>
    <n v="4465.4220000000005"/>
    <n v="1088.3220000000006"/>
    <n v="0.24372209390288319"/>
    <n v="96"/>
    <x v="8"/>
    <n v="2024"/>
    <s v="CLEAN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x v="503"/>
    <n v="7160.31"/>
    <x v="502"/>
    <x v="0"/>
    <s v="Completed"/>
    <s v=""/>
    <s v=""/>
    <n v="-0.10880696539805437"/>
    <n v="10594.08"/>
    <n v="3433.7699999999995"/>
    <n v="0.32412158488514337"/>
    <n v="7"/>
    <x v="6"/>
    <n v="2024"/>
    <s v="CLEAN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x v="504"/>
    <n v="14424.22"/>
    <x v="503"/>
    <x v="0"/>
    <s v="Completed"/>
    <s v=""/>
    <s v=""/>
    <n v="-1.0661353799231277"/>
    <n v="17312.48"/>
    <n v="2888.26"/>
    <n v="0.16683109525613893"/>
    <n v="5"/>
    <x v="5"/>
    <n v="2025"/>
    <s v="CLEAN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x v="505"/>
    <n v="13293.2"/>
    <x v="504"/>
    <x v="0"/>
    <s v="Cancelled"/>
    <s v=""/>
    <s v=""/>
    <n v="0.84852144912701888"/>
    <n v="17555.688000000002"/>
    <n v="4262.4880000000012"/>
    <n v="0.24279811762432785"/>
    <n v="5"/>
    <x v="2"/>
    <n v="2024"/>
    <s v="WARNING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x v="506"/>
    <n v="842.07"/>
    <x v="505"/>
    <x v="1"/>
    <s v="Returned"/>
    <s v=""/>
    <s v=""/>
    <n v="-0.10880696539805437"/>
    <n v="1205.6399999999999"/>
    <n v="363.56999999999982"/>
    <n v="0.30155767890912699"/>
    <n v="0"/>
    <x v="7"/>
    <n v="2024"/>
    <s v="CLEAN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x v="507"/>
    <n v="6814.35"/>
    <x v="506"/>
    <x v="0"/>
    <s v="Completed"/>
    <s v=""/>
    <s v=""/>
    <n v="1.3271856563895552"/>
    <n v="8971.26"/>
    <n v="2156.91"/>
    <n v="0.24042442198754688"/>
    <n v="7"/>
    <x v="11"/>
    <n v="2025"/>
    <s v="CLEAN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x v="508"/>
    <n v="4179.63"/>
    <x v="507"/>
    <x v="0"/>
    <s v="Completed"/>
    <s v=""/>
    <s v=""/>
    <n v="-1.0661353799231277"/>
    <n v="7324"/>
    <n v="3144.37"/>
    <n v="0.42932413981430911"/>
    <n v="7"/>
    <x v="9"/>
    <n v="2024"/>
    <s v="CLEAN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x v="509"/>
    <n v="17220.900000000001"/>
    <x v="508"/>
    <x v="0"/>
    <s v="Completed"/>
    <s v=""/>
    <s v=""/>
    <n v="0.84852144912701888"/>
    <n v="23241.216"/>
    <n v="6020.3159999999989"/>
    <n v="0.25903618812371948"/>
    <n v="2"/>
    <x v="3"/>
    <n v="2025"/>
    <s v="CLEAN"/>
  </r>
  <r>
    <s v="ORD-2024-10511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x v="510"/>
    <n v="6884.96"/>
    <x v="509"/>
    <x v="0"/>
    <s v="Completed"/>
    <s v=""/>
    <s v=""/>
    <n v="-1.0661353799231277"/>
    <n v="8477.02"/>
    <n v="1592.0600000000004"/>
    <n v="0.18780892341884298"/>
    <n v="3"/>
    <x v="4"/>
    <n v="2024"/>
    <s v="CLEAN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x v="511"/>
    <n v="2088.15"/>
    <x v="510"/>
    <x v="0"/>
    <s v="Completed"/>
    <s v=""/>
    <s v=""/>
    <n v="1.3271856563895552"/>
    <n v="3673.8225000000002"/>
    <n v="1585.6725000000001"/>
    <n v="0.43161380278987349"/>
    <n v="3"/>
    <x v="4"/>
    <n v="2024"/>
    <s v="CLEAN"/>
  </r>
  <r>
    <s v="ORD-2025-10513"/>
    <d v="2025-02-03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x v="512"/>
    <n v="3368.79"/>
    <x v="511"/>
    <x v="0"/>
    <s v="Completed"/>
    <s v=""/>
    <s v=""/>
    <n v="1.3271856563895552"/>
    <n v="6047.1749999999993"/>
    <n v="2678.3849999999993"/>
    <n v="0.44291508018206843"/>
    <n v="28"/>
    <x v="5"/>
    <n v="2025"/>
    <s v="CLEAN"/>
  </r>
  <r>
    <s v="ORD-2025-10514"/>
    <d v="2025-06-27T00:00:00"/>
    <d v="2025-02-07T00:00:00"/>
    <s v="CUST-8993"/>
    <s v="Aarav Sharma"/>
    <x v="2"/>
    <x v="2"/>
    <s v="Kerala"/>
    <s v="Kochi"/>
    <x v="2"/>
    <x v="5"/>
    <s v="Prime Accessories 849"/>
    <x v="2"/>
    <n v="6"/>
    <n v="1099.49"/>
    <n v="0.1"/>
    <x v="513"/>
    <n v="4088.46"/>
    <x v="512"/>
    <x v="0"/>
    <s v="Completed"/>
    <s v=""/>
    <s v="Invalid Shipping Record"/>
    <n v="-0.10880696539805437"/>
    <n v="5937.246000000001"/>
    <n v="1848.786000000001"/>
    <n v="0.31138780505304997"/>
    <e v="#NUM!"/>
    <x v="10"/>
    <n v="2025"/>
    <s v="INVALID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x v="514"/>
    <n v="11684.68"/>
    <x v="513"/>
    <x v="0"/>
    <s v="Completed"/>
    <s v=""/>
    <s v=""/>
    <n v="-0.10880696539805437"/>
    <n v="20913.876"/>
    <n v="9229.1959999999999"/>
    <n v="0.44129533903710627"/>
    <n v="4"/>
    <x v="2"/>
    <n v="2024"/>
    <s v="CLEAN"/>
  </r>
  <r>
    <s v="ORD-2025-10516"/>
    <d v="2025-11-04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x v="515"/>
    <n v="2083.41"/>
    <x v="514"/>
    <x v="0"/>
    <s v="Completed"/>
    <s v="Invalid Discount"/>
    <s v="Invalid Shipping Record"/>
    <n v="-1.7362652700906791"/>
    <n v="4770.5843000000004"/>
    <n v="2687.1743000000006"/>
    <n v="0.56327991101635089"/>
    <e v="#NUM!"/>
    <x v="2"/>
    <n v="2025"/>
    <s v="INVALID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x v="516"/>
    <n v="1585.82"/>
    <x v="515"/>
    <x v="3"/>
    <s v="Returned"/>
    <s v=""/>
    <s v=""/>
    <n v="-1.0661353799231277"/>
    <n v="2233.1799999999998"/>
    <n v="647.3599999999999"/>
    <n v="0.28988258895386843"/>
    <n v="6"/>
    <x v="6"/>
    <n v="2024"/>
    <s v="CLEAN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x v="517"/>
    <n v="9234.5300000000007"/>
    <x v="516"/>
    <x v="1"/>
    <s v="Returned"/>
    <s v=""/>
    <s v=""/>
    <n v="0.84852144912701888"/>
    <n v="11890.368000000002"/>
    <n v="2655.8380000000016"/>
    <n v="0.22336045444514427"/>
    <n v="2"/>
    <x v="3"/>
    <n v="2025"/>
    <s v="CLEAN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x v="518"/>
    <n v="6534.47"/>
    <x v="517"/>
    <x v="0"/>
    <s v="Cancelled"/>
    <s v=""/>
    <s v="Invalid Shipping Record"/>
    <n v="1.3271856563895552"/>
    <n v="8421.682499999999"/>
    <n v="1887.2124999999987"/>
    <n v="0.22408972316398759"/>
    <e v="#NUM!"/>
    <x v="11"/>
    <n v="2025"/>
    <s v="INVALID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x v="519"/>
    <n v="8857.58"/>
    <x v="518"/>
    <x v="2"/>
    <s v="Cancelled"/>
    <s v=""/>
    <s v=""/>
    <n v="0.84852144912701888"/>
    <n v="13968.672"/>
    <n v="5111.0920000000006"/>
    <n v="0.36589677243477409"/>
    <n v="4"/>
    <x v="0"/>
    <n v="2025"/>
    <s v="WARNING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x v="520"/>
    <n v="895.15"/>
    <x v="519"/>
    <x v="0"/>
    <s v="Completed"/>
    <s v=""/>
    <s v=""/>
    <n v="-0.58747117266059101"/>
    <n v="1611.1144999999999"/>
    <n v="715.96449999999993"/>
    <n v="0.44439082386757739"/>
    <n v="7"/>
    <x v="0"/>
    <n v="2024"/>
    <s v="CLEAN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x v="521"/>
    <n v="9184.52"/>
    <x v="520"/>
    <x v="0"/>
    <s v="Completed"/>
    <s v=""/>
    <s v=""/>
    <n v="-0.58747117266059101"/>
    <n v="12495.027"/>
    <n v="3310.5069999999996"/>
    <n v="0.26494596610315446"/>
    <n v="7"/>
    <x v="9"/>
    <n v="2025"/>
    <s v="CLEAN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x v="522"/>
    <n v="24539.83"/>
    <x v="521"/>
    <x v="0"/>
    <s v="Completed"/>
    <s v=""/>
    <s v=""/>
    <n v="-1.0661353799231277"/>
    <n v="33034.86"/>
    <n v="8495.0299999999988"/>
    <n v="0.25715350390466307"/>
    <n v="8"/>
    <x v="5"/>
    <n v="2025"/>
    <s v="CLEAN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x v="523"/>
    <n v="4654.3599999999997"/>
    <x v="522"/>
    <x v="0"/>
    <s v="Returned"/>
    <s v=""/>
    <s v=""/>
    <n v="-1.0661353799231277"/>
    <n v="5805.26"/>
    <n v="1150.9000000000005"/>
    <n v="0.19825124111581574"/>
    <n v="1"/>
    <x v="11"/>
    <n v="2024"/>
    <s v="CLEAN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x v="524"/>
    <n v="21871.39"/>
    <x v="523"/>
    <x v="0"/>
    <s v="Completed"/>
    <s v=""/>
    <s v=""/>
    <n v="-0.10880696539805437"/>
    <n v="34079.616000000002"/>
    <n v="12208.226000000002"/>
    <n v="0.35822663025311091"/>
    <n v="1"/>
    <x v="2"/>
    <n v="2024"/>
    <s v="CLEAN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x v="525"/>
    <n v="7062.44"/>
    <x v="524"/>
    <x v="0"/>
    <s v="Completed"/>
    <s v=""/>
    <s v=""/>
    <n v="-0.10880696539805437"/>
    <n v="11359.800000000001"/>
    <n v="4297.3600000000015"/>
    <n v="0.37829539252451638"/>
    <n v="0"/>
    <x v="4"/>
    <n v="2024"/>
    <s v="CLEAN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x v="526"/>
    <n v="572.08000000000004"/>
    <x v="525"/>
    <x v="0"/>
    <s v="Completed"/>
    <s v=""/>
    <s v=""/>
    <n v="-1.0661353799231277"/>
    <n v="1136.1600000000001"/>
    <n v="564.08000000000004"/>
    <n v="0.49647936910294327"/>
    <n v="3"/>
    <x v="0"/>
    <n v="2025"/>
    <s v="CLEAN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x v="527"/>
    <n v="10075.93"/>
    <x v="526"/>
    <x v="0"/>
    <s v="Completed"/>
    <s v=""/>
    <s v=""/>
    <n v="0.3698572418644821"/>
    <n v="13802.13"/>
    <n v="3726.1999999999989"/>
    <n v="0.26997282303528508"/>
    <n v="4"/>
    <x v="4"/>
    <n v="2025"/>
    <s v="CLEAN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x v="528"/>
    <n v="21302.13"/>
    <x v="527"/>
    <x v="2"/>
    <s v="Returned"/>
    <s v=""/>
    <s v=""/>
    <n v="-0.58747117266059101"/>
    <n v="29558.119500000001"/>
    <n v="8255.9894999999997"/>
    <n v="0.27931376013281223"/>
    <n v="2"/>
    <x v="4"/>
    <n v="2024"/>
    <s v="CLEAN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x v="529"/>
    <n v="12146.96"/>
    <x v="528"/>
    <x v="0"/>
    <s v="Completed"/>
    <s v=""/>
    <s v=""/>
    <n v="-1.0661353799231277"/>
    <n v="16400.25"/>
    <n v="4253.2900000000009"/>
    <n v="0.25934299782015524"/>
    <n v="2"/>
    <x v="5"/>
    <n v="2024"/>
    <s v="CLEAN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x v="530"/>
    <n v="10742.38"/>
    <x v="529"/>
    <x v="0"/>
    <s v="Completed"/>
    <s v=""/>
    <s v=""/>
    <n v="-0.58747117266059101"/>
    <n v="17053.0605"/>
    <n v="6310.6805000000004"/>
    <n v="0.37006146198801093"/>
    <n v="2"/>
    <x v="3"/>
    <n v="2025"/>
    <s v="CLEAN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x v="531"/>
    <n v="311.66000000000003"/>
    <x v="530"/>
    <x v="0"/>
    <s v="Completed"/>
    <s v=""/>
    <s v=""/>
    <n v="-0.10880696539805437"/>
    <n v="398.67300000000006"/>
    <n v="87.013000000000034"/>
    <n v="0.21825656615822997"/>
    <n v="7"/>
    <x v="1"/>
    <n v="2024"/>
    <s v="CLEAN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x v="532"/>
    <n v="9892.2099999999991"/>
    <x v="531"/>
    <x v="3"/>
    <s v="Cancelled"/>
    <s v=""/>
    <s v=""/>
    <n v="-0.58747117266059101"/>
    <n v="17862.146999999997"/>
    <n v="7969.9369999999981"/>
    <n v="0.44619143488182017"/>
    <n v="5"/>
    <x v="4"/>
    <n v="2025"/>
    <s v="WARNING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x v="533"/>
    <n v="2124.48"/>
    <x v="532"/>
    <x v="0"/>
    <s v="Completed"/>
    <s v=""/>
    <s v=""/>
    <n v="1.3271856563895552"/>
    <n v="2165.8500000000004"/>
    <n v="41.370000000000346"/>
    <n v="1.91010457787937E-2"/>
    <n v="7"/>
    <x v="1"/>
    <n v="2024"/>
    <s v="CLEAN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x v="534"/>
    <n v="11705.3"/>
    <x v="533"/>
    <x v="2"/>
    <s v="Returned"/>
    <s v=""/>
    <s v=""/>
    <n v="-0.10880696539805437"/>
    <n v="14268.204"/>
    <n v="2562.9040000000005"/>
    <n v="0.17962344805274724"/>
    <n v="8"/>
    <x v="11"/>
    <n v="2025"/>
    <s v="CLEAN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x v="535"/>
    <n v="7387.57"/>
    <x v="534"/>
    <x v="0"/>
    <s v="Completed"/>
    <s v=""/>
    <s v=""/>
    <n v="0.84852144912701888"/>
    <n v="9602.3520000000008"/>
    <n v="2214.7820000000011"/>
    <n v="0.23064994909580494"/>
    <n v="2"/>
    <x v="3"/>
    <n v="2024"/>
    <s v="CLEAN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x v="536"/>
    <n v="12295.76"/>
    <x v="535"/>
    <x v="3"/>
    <s v="Cancelled"/>
    <s v=""/>
    <s v=""/>
    <n v="1.3271856563895552"/>
    <n v="19891.724999999999"/>
    <n v="7595.9649999999983"/>
    <n v="0.38186557475533162"/>
    <n v="7"/>
    <x v="11"/>
    <n v="2025"/>
    <s v="WARNING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x v="537"/>
    <n v="1460.6"/>
    <x v="536"/>
    <x v="3"/>
    <s v="Cancelled"/>
    <s v=""/>
    <s v=""/>
    <n v="-0.58747117266059101"/>
    <n v="1927.6545000000001"/>
    <n v="467.05450000000019"/>
    <n v="0.24229160360427668"/>
    <n v="8"/>
    <x v="8"/>
    <n v="2024"/>
    <s v="WARNING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x v="538"/>
    <n v="24650.67"/>
    <x v="537"/>
    <x v="0"/>
    <s v="Completed"/>
    <s v=""/>
    <s v=""/>
    <n v="0.3698572418644821"/>
    <n v="29900.79"/>
    <n v="5250.1200000000026"/>
    <n v="0.17558465846554563"/>
    <n v="6"/>
    <x v="6"/>
    <n v="2024"/>
    <s v="CLEAN"/>
  </r>
  <r>
    <s v="ORD-2025-10540"/>
    <d v="2025-04-07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x v="539"/>
    <n v="1316.54"/>
    <x v="538"/>
    <x v="0"/>
    <s v="Cancelled"/>
    <s v=""/>
    <s v=""/>
    <n v="-0.10880696539805437"/>
    <n v="1904.4450000000002"/>
    <n v="587.9050000000002"/>
    <n v="0.30870148520960183"/>
    <n v="88"/>
    <x v="11"/>
    <n v="2025"/>
    <s v="WARNING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x v="540"/>
    <n v="17118.07"/>
    <x v="539"/>
    <x v="0"/>
    <s v="Completed"/>
    <s v=""/>
    <s v="Invalid Shipping Record"/>
    <n v="0.84852144912701888"/>
    <n v="21571.592000000004"/>
    <n v="4453.5220000000045"/>
    <n v="0.20645309813017063"/>
    <e v="#NUM!"/>
    <x v="5"/>
    <n v="2024"/>
    <s v="INVALID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x v="541"/>
    <n v="5747.09"/>
    <x v="540"/>
    <x v="0"/>
    <s v="Returned"/>
    <s v=""/>
    <s v=""/>
    <n v="-1.0661353799231277"/>
    <n v="8641.68"/>
    <n v="2894.59"/>
    <n v="0.33495686024013849"/>
    <n v="1"/>
    <x v="0"/>
    <n v="2025"/>
    <s v="CLEAN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x v="542"/>
    <n v="8368.24"/>
    <x v="541"/>
    <x v="0"/>
    <s v="Cancelled"/>
    <s v=""/>
    <s v=""/>
    <n v="0.84852144912701888"/>
    <n v="9762.2880000000005"/>
    <n v="1394.0480000000007"/>
    <n v="0.14279931098119628"/>
    <n v="6"/>
    <x v="6"/>
    <n v="2024"/>
    <s v="WARNING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x v="543"/>
    <n v="313.72000000000003"/>
    <x v="542"/>
    <x v="0"/>
    <s v="Completed"/>
    <s v=""/>
    <s v=""/>
    <n v="0.3698572418644821"/>
    <n v="418.76949999999999"/>
    <n v="105.04949999999997"/>
    <n v="0.25085279610859906"/>
    <n v="6"/>
    <x v="0"/>
    <n v="2024"/>
    <s v="CLEAN"/>
  </r>
  <r>
    <s v="ORD-2025-10545"/>
    <d v="2025-01-29T00:00:00"/>
    <d v="2025-05-02T00:00:00"/>
    <s v="CUST-2366"/>
    <s v="Ananya Rao"/>
    <x v="0"/>
    <x v="2"/>
    <s v="Kerala"/>
    <s v="Kochi"/>
    <x v="0"/>
    <x v="2"/>
    <s v="Smart Art 201"/>
    <x v="1"/>
    <n v="8"/>
    <n v="3643.62"/>
    <n v="0.25"/>
    <x v="544"/>
    <n v="18464.34"/>
    <x v="543"/>
    <x v="0"/>
    <s v="Cancelled"/>
    <s v=""/>
    <s v=""/>
    <n v="1.3271856563895552"/>
    <n v="21861.72"/>
    <n v="3397.380000000001"/>
    <n v="0.1554031430280875"/>
    <n v="93"/>
    <x v="8"/>
    <n v="2025"/>
    <s v="WARNING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x v="545"/>
    <n v="13513.51"/>
    <x v="544"/>
    <x v="0"/>
    <s v="Completed"/>
    <s v=""/>
    <s v=""/>
    <n v="0.3698572418644821"/>
    <n v="17260.116999999998"/>
    <n v="3746.6069999999982"/>
    <n v="0.21706730029697935"/>
    <n v="3"/>
    <x v="3"/>
    <n v="2024"/>
    <s v="CLEAN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x v="546"/>
    <n v="6966.44"/>
    <x v="545"/>
    <x v="0"/>
    <s v="Completed"/>
    <s v=""/>
    <s v=""/>
    <n v="0.3698572418644821"/>
    <n v="10911.322499999998"/>
    <n v="3944.8824999999988"/>
    <n v="0.36154027158486052"/>
    <n v="8"/>
    <x v="1"/>
    <n v="2025"/>
    <s v="CLEAN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x v="547"/>
    <n v="25155.07"/>
    <x v="546"/>
    <x v="0"/>
    <s v="Completed"/>
    <s v=""/>
    <s v=""/>
    <n v="-0.10880696539805437"/>
    <n v="30148.929"/>
    <n v="4993.8590000000004"/>
    <n v="0.16563968159532302"/>
    <n v="7"/>
    <x v="3"/>
    <n v="2024"/>
    <s v="CLEAN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x v="548"/>
    <n v="852.62"/>
    <x v="547"/>
    <x v="2"/>
    <s v="Cancelled"/>
    <s v=""/>
    <s v=""/>
    <n v="-1.0661353799231277"/>
    <n v="1072.01"/>
    <n v="219.39"/>
    <n v="0.20465294167032022"/>
    <n v="0"/>
    <x v="3"/>
    <n v="2024"/>
    <s v="WARNING"/>
  </r>
  <r>
    <s v="ORD-2025-10550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x v="549"/>
    <n v="8272.24"/>
    <x v="548"/>
    <x v="0"/>
    <s v="Completed"/>
    <s v=""/>
    <s v="Invalid Shipping Record"/>
    <n v="-0.10880696539805437"/>
    <n v="10271.529"/>
    <n v="1999.2890000000007"/>
    <n v="0.19464375751652949"/>
    <e v="#NUM!"/>
    <x v="2"/>
    <n v="2025"/>
    <s v="INVALID"/>
  </r>
  <r>
    <s v="ORD-2024-10551"/>
    <d v="2024-08-02T00:00:00"/>
    <d v="2024-10-08T00:00:00"/>
    <s v="CUST-8687"/>
    <s v="Mira Das"/>
    <x v="3"/>
    <x v="1"/>
    <s v="Odisha"/>
    <s v="Bhubaneswar"/>
    <x v="2"/>
    <x v="5"/>
    <s v="Max Accessories 591"/>
    <x v="3"/>
    <n v="6"/>
    <n v="2126.44"/>
    <n v="0.2"/>
    <x v="550"/>
    <n v="6764.53"/>
    <x v="549"/>
    <x v="0"/>
    <s v="Completed"/>
    <s v=""/>
    <s v=""/>
    <n v="0.84852144912701888"/>
    <n v="10206.912"/>
    <n v="3442.3820000000005"/>
    <n v="0.33725988820125036"/>
    <n v="67"/>
    <x v="1"/>
    <n v="2024"/>
    <s v="CLEAN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x v="551"/>
    <n v="5496.09"/>
    <x v="550"/>
    <x v="0"/>
    <s v="Completed"/>
    <s v=""/>
    <s v=""/>
    <n v="0.3698572418644821"/>
    <n v="8027.6295"/>
    <n v="2531.5394999999999"/>
    <n v="0.31535330572991688"/>
    <n v="0"/>
    <x v="5"/>
    <n v="2024"/>
    <s v="CLEAN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x v="552"/>
    <n v="1579.17"/>
    <x v="551"/>
    <x v="0"/>
    <s v="Completed"/>
    <s v="Invalid Discount"/>
    <s v=""/>
    <n v="5.6351635217523848"/>
    <n v="750.072"/>
    <n v="-829.09800000000007"/>
    <n v="-1.1053578856429784"/>
    <n v="6"/>
    <x v="8"/>
    <n v="2025"/>
    <s v="INVALID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x v="553"/>
    <n v="6620.07"/>
    <x v="552"/>
    <x v="0"/>
    <s v="Completed"/>
    <s v=""/>
    <s v=""/>
    <n v="1.3271856563895552"/>
    <n v="8735.2425000000003"/>
    <n v="2115.1725000000006"/>
    <n v="0.24214239043735769"/>
    <n v="3"/>
    <x v="11"/>
    <n v="2025"/>
    <s v="CLEAN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x v="554"/>
    <n v="2831.62"/>
    <x v="553"/>
    <x v="0"/>
    <s v="Completed"/>
    <s v=""/>
    <s v=""/>
    <n v="-0.58747117266059101"/>
    <n v="4070.636"/>
    <n v="1239.0160000000001"/>
    <n v="0.30437897173807732"/>
    <n v="5"/>
    <x v="4"/>
    <n v="2024"/>
    <s v="CLEAN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x v="555"/>
    <n v="3604.14"/>
    <x v="554"/>
    <x v="0"/>
    <s v="Completed"/>
    <s v=""/>
    <s v=""/>
    <n v="-0.58747117266059101"/>
    <n v="5943.9599999999991"/>
    <n v="2339.8199999999993"/>
    <n v="0.39364665980255581"/>
    <n v="6"/>
    <x v="5"/>
    <n v="2025"/>
    <s v="CLEAN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x v="556"/>
    <n v="3035.2"/>
    <x v="555"/>
    <x v="0"/>
    <s v="Returned"/>
    <s v=""/>
    <s v=""/>
    <n v="-1.0661353799231277"/>
    <n v="4426.66"/>
    <n v="1391.46"/>
    <n v="0.31433631677156143"/>
    <n v="6"/>
    <x v="10"/>
    <n v="2024"/>
    <s v="CLEAN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x v="557"/>
    <n v="24971.360000000001"/>
    <x v="556"/>
    <x v="0"/>
    <s v="Cancelled"/>
    <s v=""/>
    <s v=""/>
    <n v="-0.58747117266059101"/>
    <n v="32228.882999999998"/>
    <n v="7257.5229999999974"/>
    <n v="0.22518692317074712"/>
    <n v="6"/>
    <x v="3"/>
    <n v="2024"/>
    <s v="WARNING"/>
  </r>
  <r>
    <s v="ORD-2025-10559"/>
    <d v="2025-09-04T00:00:00"/>
    <d v="2025-04-09T00:00:00"/>
    <s v="CUST-9368"/>
    <s v="Aditi Sen"/>
    <x v="2"/>
    <x v="0"/>
    <s v="Punjab"/>
    <s v="Ludhiana"/>
    <x v="2"/>
    <x v="12"/>
    <s v="Basic Machines 136"/>
    <x v="2"/>
    <n v="8"/>
    <n v="3079.95"/>
    <n v="0.2"/>
    <x v="558"/>
    <n v="14461.8"/>
    <x v="557"/>
    <x v="0"/>
    <s v="Completed"/>
    <s v=""/>
    <s v="Invalid Shipping Record"/>
    <n v="0.84852144912701888"/>
    <n v="19711.68"/>
    <n v="5249.880000000001"/>
    <n v="0.26633346320557155"/>
    <e v="#NUM!"/>
    <x v="6"/>
    <n v="2025"/>
    <s v="INVALID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x v="559"/>
    <n v="9482.58"/>
    <x v="558"/>
    <x v="0"/>
    <s v="Returned"/>
    <s v=""/>
    <s v=""/>
    <n v="-0.10880696539805437"/>
    <n v="14750.190000000002"/>
    <n v="5267.6100000000024"/>
    <n v="0.35712150148574368"/>
    <n v="7"/>
    <x v="6"/>
    <n v="2025"/>
    <s v="CLEAN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x v="560"/>
    <n v="848.62"/>
    <x v="559"/>
    <x v="0"/>
    <s v="Cancelled"/>
    <s v=""/>
    <s v=""/>
    <n v="-1.0661353799231277"/>
    <n v="1130.1199999999999"/>
    <n v="281.49999999999989"/>
    <n v="0.249088592361873"/>
    <n v="6"/>
    <x v="8"/>
    <n v="2024"/>
    <s v="WARNING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x v="561"/>
    <n v="2391.85"/>
    <x v="560"/>
    <x v="2"/>
    <s v="Returned"/>
    <s v=""/>
    <s v=""/>
    <n v="-1.0661353799231277"/>
    <n v="2900.88"/>
    <n v="509.0300000000002"/>
    <n v="0.17547433882132324"/>
    <n v="4"/>
    <x v="0"/>
    <n v="2025"/>
    <s v="CLEAN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x v="562"/>
    <n v="463.49"/>
    <x v="561"/>
    <x v="3"/>
    <s v="Returned"/>
    <s v=""/>
    <s v=""/>
    <n v="0.84852144912701888"/>
    <n v="680.62400000000014"/>
    <n v="217.13400000000013"/>
    <n v="0.31902195632243363"/>
    <n v="6"/>
    <x v="3"/>
    <n v="2024"/>
    <s v="CLEAN"/>
  </r>
  <r>
    <s v="ORD-2024-10564"/>
    <d v="2024-06-05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x v="563"/>
    <n v="4618.33"/>
    <x v="562"/>
    <x v="2"/>
    <s v="Cancelled"/>
    <s v=""/>
    <s v="Invalid Shipping Record"/>
    <n v="0.84852144912701888"/>
    <n v="5694.9840000000004"/>
    <n v="1076.6540000000005"/>
    <n v="0.1890530333360024"/>
    <e v="#NUM!"/>
    <x v="10"/>
    <n v="2024"/>
    <s v="INVALID"/>
  </r>
  <r>
    <s v="ORD-2024-10565"/>
    <d v="2024-10-11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x v="564"/>
    <n v="968.46"/>
    <x v="563"/>
    <x v="0"/>
    <s v="Completed"/>
    <s v=""/>
    <s v=""/>
    <n v="0.84852144912701888"/>
    <n v="1474.1440000000002"/>
    <n v="505.6840000000002"/>
    <n v="0.34303568715132315"/>
    <n v="34"/>
    <x v="4"/>
    <n v="2024"/>
    <s v="CLEAN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x v="565"/>
    <n v="7005.2"/>
    <x v="564"/>
    <x v="1"/>
    <s v="Cancelled"/>
    <s v=""/>
    <s v=""/>
    <n v="0.84852144912701888"/>
    <n v="9224.9279999999999"/>
    <n v="2219.7280000000001"/>
    <n v="0.24062279944081949"/>
    <n v="6"/>
    <x v="1"/>
    <n v="2025"/>
    <s v="WARNING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x v="566"/>
    <n v="3851.91"/>
    <x v="565"/>
    <x v="3"/>
    <s v="Returned"/>
    <s v=""/>
    <s v=""/>
    <n v="-0.10880696539805437"/>
    <n v="4712.2020000000002"/>
    <n v="860.29200000000037"/>
    <n v="0.18256687637754077"/>
    <n v="8"/>
    <x v="1"/>
    <n v="2024"/>
    <s v="CLEAN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x v="567"/>
    <n v="731.89"/>
    <x v="566"/>
    <x v="0"/>
    <s v="Completed"/>
    <s v=""/>
    <s v=""/>
    <n v="-0.58747117266059101"/>
    <n v="1305.357"/>
    <n v="573.46699999999998"/>
    <n v="0.4393181328939133"/>
    <n v="4"/>
    <x v="5"/>
    <n v="2024"/>
    <s v="CLEAN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x v="568"/>
    <n v="1968.12"/>
    <x v="567"/>
    <x v="0"/>
    <s v="Completed"/>
    <s v=""/>
    <s v=""/>
    <n v="1.3271856563895552"/>
    <n v="2854.7250000000004"/>
    <n v="886.60500000000047"/>
    <n v="0.31057457373302172"/>
    <n v="3"/>
    <x v="8"/>
    <n v="2024"/>
    <s v="CLEAN"/>
  </r>
  <r>
    <s v="ORD-2025-10570"/>
    <d v="2025-08-09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x v="569"/>
    <n v="11906.36"/>
    <x v="568"/>
    <x v="1"/>
    <s v="Returned"/>
    <s v=""/>
    <s v=""/>
    <n v="1.3271856563895552"/>
    <n v="14630.264999999999"/>
    <n v="2723.9049999999988"/>
    <n v="0.18618288868998606"/>
    <n v="32"/>
    <x v="1"/>
    <n v="2025"/>
    <s v="CLEAN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x v="570"/>
    <n v="6344.57"/>
    <x v="569"/>
    <x v="3"/>
    <s v="Returned"/>
    <s v=""/>
    <s v=""/>
    <n v="1.3271856563895552"/>
    <n v="8879.49"/>
    <n v="2534.92"/>
    <n v="0.28548035979543873"/>
    <n v="4"/>
    <x v="1"/>
    <n v="2025"/>
    <s v="CLEAN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x v="571"/>
    <n v="13240.21"/>
    <x v="570"/>
    <x v="3"/>
    <s v="Returned"/>
    <s v=""/>
    <s v=""/>
    <n v="-1.0661353799231277"/>
    <n v="21381.45"/>
    <n v="8141.2400000000016"/>
    <n v="0.38076182859441249"/>
    <n v="4"/>
    <x v="5"/>
    <n v="2025"/>
    <s v="CLEAN"/>
  </r>
  <r>
    <s v="ORD-2024-10573"/>
    <d v="2024-02-01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x v="572"/>
    <n v="1007.4"/>
    <x v="571"/>
    <x v="0"/>
    <s v="Completed"/>
    <s v=""/>
    <s v="Invalid Shipping Record"/>
    <n v="0.84852144912701888"/>
    <n v="1774.944"/>
    <n v="767.54399999999998"/>
    <n v="0.43243279787982042"/>
    <e v="#NUM!"/>
    <x v="5"/>
    <n v="2024"/>
    <s v="INVALID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x v="573"/>
    <n v="322.67"/>
    <x v="572"/>
    <x v="0"/>
    <s v="Completed"/>
    <s v=""/>
    <s v=""/>
    <n v="-1.0661353799231277"/>
    <n v="573.65"/>
    <n v="250.97999999999996"/>
    <n v="0.43751416368866031"/>
    <n v="4"/>
    <x v="6"/>
    <n v="2025"/>
    <s v="CLEAN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x v="574"/>
    <n v="4072.44"/>
    <x v="573"/>
    <x v="0"/>
    <s v="Completed"/>
    <s v=""/>
    <s v=""/>
    <n v="-1.0661353799231277"/>
    <n v="5423.2"/>
    <n v="1350.7599999999998"/>
    <n v="0.24907065938929043"/>
    <n v="5"/>
    <x v="5"/>
    <n v="2024"/>
    <s v="CLEAN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x v="575"/>
    <n v="3174.91"/>
    <x v="574"/>
    <x v="3"/>
    <s v="Returned"/>
    <s v=""/>
    <s v=""/>
    <n v="0.84852144912701888"/>
    <n v="3983.424"/>
    <n v="808.51400000000012"/>
    <n v="0.2029696060474607"/>
    <n v="3"/>
    <x v="9"/>
    <n v="2025"/>
    <s v="CLEAN"/>
  </r>
  <r>
    <s v="ORD-2024-10577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x v="576"/>
    <n v="19537.79"/>
    <x v="575"/>
    <x v="1"/>
    <s v="Returned"/>
    <s v=""/>
    <s v=""/>
    <n v="-1.0661353799231277"/>
    <n v="23530.14"/>
    <n v="3992.3499999999985"/>
    <n v="0.16966962372514566"/>
    <n v="6"/>
    <x v="5"/>
    <n v="2024"/>
    <s v="CLEAN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x v="577"/>
    <n v="1134.9000000000001"/>
    <x v="576"/>
    <x v="0"/>
    <s v="Completed"/>
    <s v=""/>
    <s v=""/>
    <n v="-1.0661353799231277"/>
    <n v="1879.1499999999999"/>
    <n v="744.24999999999977"/>
    <n v="0.39605672777585599"/>
    <n v="6"/>
    <x v="1"/>
    <n v="2025"/>
    <s v="CLEAN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x v="578"/>
    <n v="9660.36"/>
    <x v="577"/>
    <x v="0"/>
    <s v="Completed"/>
    <s v=""/>
    <s v=""/>
    <n v="-0.58747117266059101"/>
    <n v="15011.805"/>
    <n v="5351.4449999999997"/>
    <n v="0.35648244831317749"/>
    <n v="2"/>
    <x v="5"/>
    <n v="2024"/>
    <s v="CLEAN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x v="579"/>
    <n v="2608.44"/>
    <x v="578"/>
    <x v="0"/>
    <s v="Completed"/>
    <s v=""/>
    <s v=""/>
    <n v="-1.0661353799231277"/>
    <n v="3202.41"/>
    <n v="593.9699999999998"/>
    <n v="0.18547593843386695"/>
    <n v="5"/>
    <x v="10"/>
    <n v="2024"/>
    <s v="CLEAN"/>
  </r>
  <r>
    <s v="ORD-2025-10581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x v="580"/>
    <n v="261.67"/>
    <x v="579"/>
    <x v="3"/>
    <s v="Returned"/>
    <s v=""/>
    <s v=""/>
    <n v="0.3698572418644821"/>
    <n v="417.48599999999999"/>
    <n v="155.81599999999997"/>
    <n v="0.37322449136018926"/>
    <n v="7"/>
    <x v="9"/>
    <n v="2025"/>
    <s v="CLEAN"/>
  </r>
  <r>
    <s v="ORD-2025-10582"/>
    <d v="2025-08-09T00:00:00"/>
    <d v="2025-10-08T00:00:00"/>
    <s v="CUST-9931"/>
    <s v="Neha Gupta"/>
    <x v="0"/>
    <x v="0"/>
    <s v="Delhi"/>
    <s v="New Delhi"/>
    <x v="0"/>
    <x v="2"/>
    <s v="Classic Art 611"/>
    <x v="0"/>
    <n v="4"/>
    <n v="4080.95"/>
    <n v="0"/>
    <x v="581"/>
    <n v="9965.7900000000009"/>
    <x v="580"/>
    <x v="1"/>
    <s v="Returned"/>
    <s v=""/>
    <s v=""/>
    <n v="-1.0661353799231277"/>
    <n v="16323.8"/>
    <n v="6358.0099999999984"/>
    <n v="0.38949325524693995"/>
    <n v="60"/>
    <x v="1"/>
    <n v="2025"/>
    <s v="CLEAN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x v="582"/>
    <n v="2205.7199999999998"/>
    <x v="581"/>
    <x v="2"/>
    <s v="Returned"/>
    <s v=""/>
    <s v=""/>
    <n v="-1.0661353799231277"/>
    <n v="3356.2"/>
    <n v="1150.48"/>
    <n v="0.34279244383528995"/>
    <n v="5"/>
    <x v="4"/>
    <n v="2024"/>
    <s v="CLEAN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x v="583"/>
    <n v="1217.83"/>
    <x v="582"/>
    <x v="3"/>
    <s v="Returned"/>
    <s v=""/>
    <s v=""/>
    <n v="0.84852144912701888"/>
    <n v="2101.4720000000002"/>
    <n v="883.64200000000028"/>
    <n v="0.42048716328364127"/>
    <n v="0"/>
    <x v="5"/>
    <n v="2024"/>
    <s v="CLEAN"/>
  </r>
  <r>
    <s v="ORD-2024-10585"/>
    <d v="2024-04-08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x v="584"/>
    <n v="583.79"/>
    <x v="583"/>
    <x v="2"/>
    <s v="Returned"/>
    <s v=""/>
    <s v=""/>
    <n v="0.3698572418644821"/>
    <n v="837.19049999999993"/>
    <n v="253.40049999999997"/>
    <n v="0.30267961712417901"/>
    <n v="124"/>
    <x v="11"/>
    <n v="2024"/>
    <s v="CLEAN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x v="585"/>
    <n v="22026.48"/>
    <x v="584"/>
    <x v="0"/>
    <s v="Completed"/>
    <s v=""/>
    <s v=""/>
    <n v="-1.0661353799231277"/>
    <n v="27629.279999999999"/>
    <n v="5602.7999999999993"/>
    <n v="0.20278487170132553"/>
    <n v="3"/>
    <x v="10"/>
    <n v="2025"/>
    <s v="CLEAN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x v="586"/>
    <n v="6184.32"/>
    <x v="585"/>
    <x v="0"/>
    <s v="Completed"/>
    <s v=""/>
    <s v=""/>
    <n v="0.84852144912701888"/>
    <n v="7471.52"/>
    <n v="1287.2000000000007"/>
    <n v="0.17228087457438387"/>
    <n v="0"/>
    <x v="11"/>
    <n v="2025"/>
    <s v="CLEAN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x v="587"/>
    <n v="2951.52"/>
    <x v="586"/>
    <x v="1"/>
    <s v="Cancelled"/>
    <s v=""/>
    <s v=""/>
    <n v="0.3698572418644821"/>
    <n v="3615.7640000000001"/>
    <n v="664.24400000000014"/>
    <n v="0.18370778623826114"/>
    <n v="8"/>
    <x v="0"/>
    <n v="2025"/>
    <s v="WARNING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x v="588"/>
    <n v="20896.88"/>
    <x v="587"/>
    <x v="1"/>
    <s v="Cancelled"/>
    <s v=""/>
    <s v=""/>
    <n v="-0.10880696539805437"/>
    <n v="32013.791999999998"/>
    <n v="11116.911999999997"/>
    <n v="0.34725383359771933"/>
    <n v="4"/>
    <x v="9"/>
    <n v="2025"/>
    <s v="WARNING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x v="589"/>
    <n v="1326.12"/>
    <x v="588"/>
    <x v="0"/>
    <s v="Completed"/>
    <s v=""/>
    <s v=""/>
    <n v="-1.0661353799231277"/>
    <n v="1574.25"/>
    <n v="248.13000000000011"/>
    <n v="0.15761791329204389"/>
    <n v="6"/>
    <x v="7"/>
    <n v="2024"/>
    <s v="CLEAN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x v="590"/>
    <n v="15897.65"/>
    <x v="589"/>
    <x v="2"/>
    <s v="Cancelled"/>
    <s v=""/>
    <s v=""/>
    <n v="-1.0661353799231277"/>
    <n v="20582.099999999999"/>
    <n v="4684.4499999999989"/>
    <n v="0.22759825285077806"/>
    <n v="0"/>
    <x v="3"/>
    <n v="2024"/>
    <s v="WARNING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x v="591"/>
    <n v="6031.88"/>
    <x v="590"/>
    <x v="3"/>
    <s v="Returned"/>
    <s v=""/>
    <s v=""/>
    <n v="-1.0661353799231277"/>
    <n v="10635.24"/>
    <n v="4603.3599999999997"/>
    <n v="0.43284025560307055"/>
    <n v="2"/>
    <x v="5"/>
    <n v="2024"/>
    <s v="CLEAN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x v="592"/>
    <n v="22436.03"/>
    <x v="591"/>
    <x v="0"/>
    <s v="Completed"/>
    <s v=""/>
    <s v=""/>
    <n v="0.3698572418644821"/>
    <n v="29929.588"/>
    <n v="7493.5580000000009"/>
    <n v="0.25037290857461858"/>
    <n v="5"/>
    <x v="9"/>
    <n v="2024"/>
    <s v="CLEAN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x v="593"/>
    <n v="15571.08"/>
    <x v="592"/>
    <x v="0"/>
    <s v="Completed"/>
    <s v=""/>
    <s v=""/>
    <n v="1.3271856563895552"/>
    <n v="27675.7425"/>
    <n v="12104.6625"/>
    <n v="0.4373744444254748"/>
    <n v="2"/>
    <x v="6"/>
    <n v="2025"/>
    <s v="CLEAN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x v="594"/>
    <n v="9700.31"/>
    <x v="593"/>
    <x v="0"/>
    <s v="Completed"/>
    <s v=""/>
    <s v=""/>
    <n v="-1.0661353799231277"/>
    <n v="11945.28"/>
    <n v="2244.9700000000012"/>
    <n v="0.18793782983739193"/>
    <n v="2"/>
    <x v="6"/>
    <n v="2024"/>
    <s v="CLEAN"/>
  </r>
  <r>
    <s v="ORD-2025-10596"/>
    <d v="2025-11-02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x v="595"/>
    <n v="9764"/>
    <x v="594"/>
    <x v="0"/>
    <s v="Completed"/>
    <s v=""/>
    <s v="Invalid Shipping Record"/>
    <n v="-0.10880696539805437"/>
    <n v="13144.031999999999"/>
    <n v="3380.0319999999992"/>
    <n v="0.25715336055176974"/>
    <e v="#NUM!"/>
    <x v="2"/>
    <n v="2025"/>
    <s v="INVALID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x v="596"/>
    <n v="13108.2"/>
    <x v="595"/>
    <x v="0"/>
    <s v="Completed"/>
    <s v=""/>
    <s v=""/>
    <n v="1.3271856563895552"/>
    <n v="18382.005000000005"/>
    <n v="5273.8050000000039"/>
    <n v="0.28690042245119629"/>
    <n v="6"/>
    <x v="11"/>
    <n v="2024"/>
    <s v="CLEAN"/>
  </r>
  <r>
    <s v="ORD-2025-10598"/>
    <d v="2025-07-08T00:00:00"/>
    <d v="2025-08-07T00:00:00"/>
    <s v="CUST-6957"/>
    <s v="Aditi Sen"/>
    <x v="0"/>
    <x v="2"/>
    <s v="Telangana"/>
    <s v="Hyderabad"/>
    <x v="2"/>
    <x v="6"/>
    <s v="Prime Copiers 969"/>
    <x v="1"/>
    <n v="9"/>
    <n v="274.88"/>
    <n v="0.25"/>
    <x v="597"/>
    <n v="1262.74"/>
    <x v="596"/>
    <x v="0"/>
    <s v="Completed"/>
    <s v=""/>
    <s v=""/>
    <n v="1.3271856563895552"/>
    <n v="1855.44"/>
    <n v="592.70000000000005"/>
    <n v="0.3194390548872505"/>
    <n v="30"/>
    <x v="0"/>
    <n v="2025"/>
    <s v="CLEAN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x v="598"/>
    <n v="2672.67"/>
    <x v="597"/>
    <x v="0"/>
    <s v="Completed"/>
    <s v=""/>
    <s v=""/>
    <n v="1.3271856563895552"/>
    <n v="3354.0524999999998"/>
    <n v="681.38249999999971"/>
    <n v="0.20315200790685289"/>
    <n v="7"/>
    <x v="1"/>
    <n v="2024"/>
    <s v="CLEAN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x v="599"/>
    <n v="1621.72"/>
    <x v="598"/>
    <x v="0"/>
    <s v="Completed"/>
    <s v=""/>
    <s v=""/>
    <n v="1.3271856563895552"/>
    <n v="2482.9650000000001"/>
    <n v="861.24500000000012"/>
    <n v="0.34686151435884116"/>
    <n v="2"/>
    <x v="1"/>
    <n v="2024"/>
    <s v="CLEAN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x v="600"/>
    <n v="9062.7199999999993"/>
    <x v="599"/>
    <x v="0"/>
    <s v="Completed"/>
    <s v=""/>
    <s v=""/>
    <n v="-1.0661353799231277"/>
    <n v="11048.25"/>
    <n v="1985.5300000000007"/>
    <n v="0.17971443441268986"/>
    <n v="7"/>
    <x v="9"/>
    <n v="2025"/>
    <s v="CLEAN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x v="601"/>
    <n v="3604.03"/>
    <x v="600"/>
    <x v="0"/>
    <s v="Completed"/>
    <s v=""/>
    <s v=""/>
    <n v="0.84852144912701888"/>
    <n v="6460.12"/>
    <n v="2856.0899999999997"/>
    <n v="0.44211098245853014"/>
    <n v="5"/>
    <x v="8"/>
    <n v="2024"/>
    <s v="CLEAN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x v="602"/>
    <n v="20795.55"/>
    <x v="601"/>
    <x v="0"/>
    <s v="Completed"/>
    <s v=""/>
    <s v=""/>
    <n v="0.3698572418644821"/>
    <n v="26192.223000000002"/>
    <n v="5396.6730000000025"/>
    <n v="0.20604104508426041"/>
    <n v="7"/>
    <x v="4"/>
    <n v="2024"/>
    <s v="CLEAN"/>
  </r>
  <r>
    <s v="ORD-2025-10604"/>
    <d v="2025-03-01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x v="603"/>
    <n v="11154.59"/>
    <x v="602"/>
    <x v="2"/>
    <s v="Cancelled"/>
    <s v=""/>
    <s v="Invalid Shipping Record"/>
    <n v="-0.58747117266059101"/>
    <n v="19564.603999999999"/>
    <n v="8410.0139999999992"/>
    <n v="0.42985863654587642"/>
    <e v="#NUM!"/>
    <x v="9"/>
    <n v="2025"/>
    <s v="INVALID"/>
  </r>
  <r>
    <s v="ORD-2025-10605"/>
    <d v="2025-02-05T00:00:00"/>
    <d v="2025-06-02T00:00:00"/>
    <s v="CUST-4526"/>
    <s v="Ananya Rao"/>
    <x v="0"/>
    <x v="3"/>
    <s v="Madhya Pradesh"/>
    <s v="Indore"/>
    <x v="0"/>
    <x v="9"/>
    <s v="Max Binders 547"/>
    <x v="1"/>
    <n v="3"/>
    <n v="1076.3"/>
    <n v="0"/>
    <x v="604"/>
    <n v="1853.23"/>
    <x v="281"/>
    <x v="0"/>
    <s v="Completed"/>
    <s v=""/>
    <s v=""/>
    <n v="-1.0661353799231277"/>
    <n v="3228.8999999999996"/>
    <n v="1375.6699999999996"/>
    <n v="0.42604911889497965"/>
    <n v="117"/>
    <x v="5"/>
    <n v="2025"/>
    <s v="CLEAN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x v="605"/>
    <n v="6448.05"/>
    <x v="603"/>
    <x v="0"/>
    <s v="Cancelled"/>
    <s v="Invalid Discount"/>
    <s v=""/>
    <n v="7.0711561435399943"/>
    <n v="1260.0075000000002"/>
    <n v="-5188.0424999999996"/>
    <n v="-4.1174695388717915"/>
    <n v="4"/>
    <x v="0"/>
    <n v="2025"/>
    <s v="INVALID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x v="606"/>
    <n v="6238.9"/>
    <x v="604"/>
    <x v="0"/>
    <s v="Completed"/>
    <s v=""/>
    <s v=""/>
    <n v="1.3271856563895552"/>
    <n v="8754.3225000000002"/>
    <n v="2515.4225000000006"/>
    <n v="0.28733491369549163"/>
    <n v="6"/>
    <x v="5"/>
    <n v="2025"/>
    <s v="CLEAN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x v="607"/>
    <n v="2862.03"/>
    <x v="605"/>
    <x v="0"/>
    <s v="Completed"/>
    <s v=""/>
    <s v=""/>
    <n v="0.3698572418644821"/>
    <n v="4057.3474999999994"/>
    <n v="1195.3174999999992"/>
    <n v="0.29460565061286947"/>
    <n v="6"/>
    <x v="5"/>
    <n v="2025"/>
    <s v="CLEAN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x v="608"/>
    <n v="11667.43"/>
    <x v="606"/>
    <x v="0"/>
    <s v="Completed"/>
    <s v=""/>
    <s v=""/>
    <n v="-1.0661353799231277"/>
    <n v="19383.75"/>
    <n v="7716.32"/>
    <n v="0.39808189849745274"/>
    <n v="2"/>
    <x v="10"/>
    <n v="2024"/>
    <s v="CLEAN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x v="609"/>
    <n v="25065.4"/>
    <x v="607"/>
    <x v="0"/>
    <s v="Completed"/>
    <s v=""/>
    <s v=""/>
    <n v="-1.0661353799231277"/>
    <n v="30362.359999999997"/>
    <n v="5296.9599999999955"/>
    <n v="0.17445811195177174"/>
    <n v="4"/>
    <x v="8"/>
    <n v="2025"/>
    <s v="CLEAN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x v="610"/>
    <n v="1715.36"/>
    <x v="608"/>
    <x v="0"/>
    <s v="Completed"/>
    <s v=""/>
    <s v=""/>
    <n v="-0.10880696539805437"/>
    <n v="2729.6549999999997"/>
    <n v="1014.2949999999998"/>
    <n v="0.37158358840219735"/>
    <n v="0"/>
    <x v="3"/>
    <n v="2024"/>
    <s v="CLEAN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x v="611"/>
    <n v="3908.23"/>
    <x v="609"/>
    <x v="0"/>
    <s v="Completed"/>
    <s v=""/>
    <s v=""/>
    <n v="-0.10880696539805437"/>
    <n v="4718.0159999999996"/>
    <n v="809.7859999999996"/>
    <n v="0.17163697622051297"/>
    <n v="7"/>
    <x v="0"/>
    <n v="2025"/>
    <s v="CLEAN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x v="612"/>
    <n v="2195.79"/>
    <x v="610"/>
    <x v="0"/>
    <s v="Completed"/>
    <s v=""/>
    <s v=""/>
    <n v="-1.0661353799231277"/>
    <n v="3844.01"/>
    <n v="1648.2200000000003"/>
    <n v="0.42877619985379856"/>
    <n v="7"/>
    <x v="11"/>
    <n v="2025"/>
    <s v="CLEAN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x v="613"/>
    <n v="14672.41"/>
    <x v="611"/>
    <x v="0"/>
    <s v="Completed"/>
    <s v=""/>
    <s v=""/>
    <n v="1.3271856563895552"/>
    <n v="22688.775000000001"/>
    <n v="8016.3650000000016"/>
    <n v="0.35331854628555315"/>
    <n v="5"/>
    <x v="4"/>
    <n v="2024"/>
    <s v="CLEAN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x v="614"/>
    <n v="16661.080000000002"/>
    <x v="612"/>
    <x v="1"/>
    <s v="Cancelled"/>
    <s v=""/>
    <s v=""/>
    <n v="1.3271856563895552"/>
    <n v="20389.920000000002"/>
    <n v="3728.84"/>
    <n v="0.18287663708342161"/>
    <n v="8"/>
    <x v="5"/>
    <n v="2024"/>
    <s v="WARNING"/>
  </r>
  <r>
    <s v="ORD-2024-10616"/>
    <d v="2024-10-04T00:00:00"/>
    <d v="2024-07-10T00:00:00"/>
    <s v="CUST-4462"/>
    <s v="Rahul Verma"/>
    <x v="2"/>
    <x v="2"/>
    <s v="Kerala"/>
    <s v="Kochi"/>
    <x v="0"/>
    <x v="2"/>
    <s v="Basic Art 771"/>
    <x v="0"/>
    <n v="2"/>
    <n v="3144.38"/>
    <n v="0.1"/>
    <x v="615"/>
    <n v="4337.79"/>
    <x v="613"/>
    <x v="0"/>
    <s v="Completed"/>
    <s v=""/>
    <s v="Invalid Shipping Record"/>
    <n v="-0.10880696539805437"/>
    <n v="5659.884"/>
    <n v="1322.0940000000001"/>
    <n v="0.23359029973052453"/>
    <e v="#NUM!"/>
    <x v="4"/>
    <n v="2024"/>
    <s v="INVALID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x v="616"/>
    <n v="11840.58"/>
    <x v="614"/>
    <x v="0"/>
    <s v="Completed"/>
    <s v=""/>
    <s v=""/>
    <n v="0.84852144912701888"/>
    <n v="18842.640000000003"/>
    <n v="7002.0600000000031"/>
    <n v="0.37160716332743193"/>
    <n v="3"/>
    <x v="1"/>
    <n v="2024"/>
    <s v="CLEAN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x v="617"/>
    <n v="20350.849999999999"/>
    <x v="615"/>
    <x v="0"/>
    <s v="Completed"/>
    <s v=""/>
    <s v=""/>
    <n v="-1.0661353799231277"/>
    <n v="24677.19"/>
    <n v="4326.34"/>
    <n v="0.17531736798233513"/>
    <n v="1"/>
    <x v="6"/>
    <n v="2024"/>
    <s v="CLEAN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x v="618"/>
    <n v="10540.8"/>
    <x v="616"/>
    <x v="3"/>
    <s v="Cancelled"/>
    <s v=""/>
    <s v=""/>
    <n v="1.3271856563895552"/>
    <n v="12623.242499999998"/>
    <n v="2082.4424999999992"/>
    <n v="0.16496890557239943"/>
    <n v="7"/>
    <x v="0"/>
    <n v="2024"/>
    <s v="WARNING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x v="619"/>
    <n v="2917.54"/>
    <x v="617"/>
    <x v="1"/>
    <s v="Returned"/>
    <s v=""/>
    <s v=""/>
    <n v="0.84852144912701888"/>
    <n v="3401.0080000000003"/>
    <n v="483.4680000000003"/>
    <n v="0.14215432601158254"/>
    <n v="5"/>
    <x v="2"/>
    <n v="2024"/>
    <s v="CLEAN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x v="620"/>
    <n v="4946.78"/>
    <x v="362"/>
    <x v="0"/>
    <s v="Completed"/>
    <s v=""/>
    <s v=""/>
    <n v="-1.0661353799231277"/>
    <n v="6609.06"/>
    <n v="1662.2800000000007"/>
    <n v="0.25151534408826681"/>
    <n v="3"/>
    <x v="1"/>
    <n v="2024"/>
    <s v="CLEAN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x v="621"/>
    <n v="3318.09"/>
    <x v="618"/>
    <x v="0"/>
    <s v="Completed"/>
    <s v=""/>
    <s v=""/>
    <n v="-1.0661353799231277"/>
    <n v="5464.2"/>
    <n v="2146.1099999999997"/>
    <n v="0.39275831777753373"/>
    <n v="8"/>
    <x v="2"/>
    <n v="2024"/>
    <s v="CLEAN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x v="622"/>
    <n v="6680.15"/>
    <x v="619"/>
    <x v="0"/>
    <s v="Completed"/>
    <s v=""/>
    <s v=""/>
    <n v="-0.58747117266059101"/>
    <n v="10484.238000000001"/>
    <n v="3804.0880000000016"/>
    <n v="0.36283876806306775"/>
    <n v="8"/>
    <x v="8"/>
    <n v="2025"/>
    <s v="CLEAN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x v="623"/>
    <n v="7512.22"/>
    <x v="620"/>
    <x v="0"/>
    <s v="Completed"/>
    <s v=""/>
    <s v=""/>
    <n v="-0.58747117266059101"/>
    <n v="10329.843999999999"/>
    <n v="2817.6239999999989"/>
    <n v="0.27276539703794161"/>
    <n v="6"/>
    <x v="1"/>
    <n v="2024"/>
    <s v="CLEAN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x v="624"/>
    <n v="5462.85"/>
    <x v="621"/>
    <x v="0"/>
    <s v="Completed"/>
    <s v=""/>
    <s v=""/>
    <n v="-0.58747117266059101"/>
    <n v="8456.9569999999985"/>
    <n v="2994.1069999999982"/>
    <n v="0.35404070282017502"/>
    <n v="2"/>
    <x v="8"/>
    <n v="2024"/>
    <s v="CLEAN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x v="625"/>
    <n v="983.92"/>
    <x v="622"/>
    <x v="0"/>
    <s v="Completed"/>
    <s v=""/>
    <s v=""/>
    <n v="0.84852144912701888"/>
    <n v="1266.4079999999999"/>
    <n v="282.48799999999994"/>
    <n v="0.22306239379410109"/>
    <n v="6"/>
    <x v="7"/>
    <n v="2024"/>
    <s v="CLEAN"/>
  </r>
  <r>
    <s v="ORD-2025-10627"/>
    <d v="2025-06-04T00:00:00"/>
    <d v="2025-07-06T00:00:00"/>
    <s v="CUST-1793"/>
    <s v="Sneha Kapoor"/>
    <x v="3"/>
    <x v="1"/>
    <s v="Assam"/>
    <s v="Guwahati"/>
    <x v="2"/>
    <x v="12"/>
    <s v="Elite Machines 971"/>
    <x v="3"/>
    <n v="8"/>
    <n v="1434.13"/>
    <n v="0"/>
    <x v="626"/>
    <n v="8931.33"/>
    <x v="623"/>
    <x v="2"/>
    <s v="Returned"/>
    <s v=""/>
    <s v=""/>
    <n v="-1.0661353799231277"/>
    <n v="11473.04"/>
    <n v="2541.7100000000009"/>
    <n v="0.22153762211236086"/>
    <n v="32"/>
    <x v="10"/>
    <n v="2025"/>
    <s v="CLEAN"/>
  </r>
  <r>
    <s v="ORD-2025-10628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x v="627"/>
    <n v="3142.92"/>
    <x v="624"/>
    <x v="2"/>
    <s v="Cancelled"/>
    <s v=""/>
    <s v=""/>
    <n v="0.3698572418644821"/>
    <n v="4012.0339999999997"/>
    <n v="869.11399999999958"/>
    <n v="0.21662677833737193"/>
    <n v="8"/>
    <x v="5"/>
    <n v="2025"/>
    <s v="WARNING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x v="628"/>
    <n v="4391.29"/>
    <x v="625"/>
    <x v="0"/>
    <s v="Completed"/>
    <s v=""/>
    <s v=""/>
    <n v="-0.58747117266059101"/>
    <n v="5364.3554999999997"/>
    <n v="973.0654999999997"/>
    <n v="0.18139467080434915"/>
    <n v="7"/>
    <x v="4"/>
    <n v="2025"/>
    <s v="CLEAN"/>
  </r>
  <r>
    <s v="ORD-2025-10630"/>
    <d v="2025-10-09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x v="629"/>
    <n v="5927.1"/>
    <x v="626"/>
    <x v="0"/>
    <s v="Completed"/>
    <s v=""/>
    <s v="Invalid Shipping Record"/>
    <n v="0.3698572418644821"/>
    <n v="10706.073"/>
    <n v="4778.973"/>
    <n v="0.44637963892082555"/>
    <e v="#NUM!"/>
    <x v="4"/>
    <n v="2025"/>
    <s v="INVALID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x v="630"/>
    <n v="9254.4599999999991"/>
    <x v="627"/>
    <x v="0"/>
    <s v="Completed"/>
    <s v=""/>
    <s v=""/>
    <n v="-0.10880696539805437"/>
    <n v="10969.380000000001"/>
    <n v="1714.9200000000019"/>
    <n v="0.15633700354988173"/>
    <n v="1"/>
    <x v="11"/>
    <n v="2024"/>
    <s v="CLEAN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x v="631"/>
    <n v="22523.54"/>
    <x v="628"/>
    <x v="0"/>
    <s v="Completed"/>
    <s v=""/>
    <s v=""/>
    <n v="-0.10880696539805437"/>
    <n v="31409.855999999996"/>
    <n v="8886.3159999999953"/>
    <n v="0.2829148914277097"/>
    <n v="5"/>
    <x v="11"/>
    <n v="2024"/>
    <s v="CLEAN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x v="632"/>
    <n v="11558.31"/>
    <x v="629"/>
    <x v="0"/>
    <s v="Completed"/>
    <s v=""/>
    <s v=""/>
    <n v="-1.0661353799231277"/>
    <n v="14252.650000000001"/>
    <n v="2694.340000000002"/>
    <n v="0.18904133617257154"/>
    <n v="1"/>
    <x v="11"/>
    <n v="2025"/>
    <s v="CLEAN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x v="633"/>
    <n v="810.03"/>
    <x v="630"/>
    <x v="0"/>
    <s v="Completed"/>
    <s v=""/>
    <s v=""/>
    <n v="0.3698572418644821"/>
    <n v="1382.1679999999999"/>
    <n v="572.13799999999992"/>
    <n v="0.4139424440444287"/>
    <n v="2"/>
    <x v="11"/>
    <n v="2025"/>
    <s v="CLEAN"/>
  </r>
  <r>
    <s v="ORD-2025-10635"/>
    <d v="2025-11-0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x v="634"/>
    <n v="5103.7"/>
    <x v="631"/>
    <x v="0"/>
    <s v="Completed"/>
    <s v=""/>
    <s v="Invalid Shipping Record"/>
    <n v="-0.58747117266059101"/>
    <n v="9223.17"/>
    <n v="4119.47"/>
    <n v="0.44664361602355807"/>
    <e v="#NUM!"/>
    <x v="2"/>
    <n v="2025"/>
    <s v="INVALID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x v="635"/>
    <n v="10404.17"/>
    <x v="632"/>
    <x v="0"/>
    <s v="Completed"/>
    <s v=""/>
    <s v=""/>
    <n v="1.3271856563895552"/>
    <n v="16394.962500000001"/>
    <n v="5990.7925000000014"/>
    <n v="0.36540446493854445"/>
    <n v="5"/>
    <x v="3"/>
    <n v="2024"/>
    <s v="CLEAN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x v="636"/>
    <n v="10200.799999999999"/>
    <x v="633"/>
    <x v="0"/>
    <s v="Completed"/>
    <s v=""/>
    <s v=""/>
    <n v="0.3698572418644821"/>
    <n v="12990.108"/>
    <n v="2789.3080000000009"/>
    <n v="0.2147255434673831"/>
    <n v="7"/>
    <x v="4"/>
    <n v="2024"/>
    <s v="CLEAN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x v="637"/>
    <n v="3133.08"/>
    <x v="634"/>
    <x v="0"/>
    <s v="Completed"/>
    <s v=""/>
    <s v=""/>
    <n v="0.84852144912701888"/>
    <n v="5107.9520000000002"/>
    <n v="1974.8720000000003"/>
    <n v="0.38662696908663202"/>
    <n v="0"/>
    <x v="3"/>
    <n v="2024"/>
    <s v="CLEAN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x v="638"/>
    <n v="4626.8500000000004"/>
    <x v="635"/>
    <x v="3"/>
    <s v="Returned"/>
    <s v=""/>
    <s v=""/>
    <n v="0.84852144912701888"/>
    <n v="7738.3680000000013"/>
    <n v="3111.5180000000009"/>
    <n v="0.40208969126306743"/>
    <n v="5"/>
    <x v="8"/>
    <n v="2024"/>
    <s v="CLEAN"/>
  </r>
  <r>
    <s v="ORD-2024-10640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x v="639"/>
    <n v="1046.17"/>
    <x v="636"/>
    <x v="0"/>
    <s v="Completed"/>
    <s v=""/>
    <s v=""/>
    <n v="-0.58747117266059101"/>
    <n v="1514.9649999999999"/>
    <n v="468.79499999999985"/>
    <n v="0.3094427924077453"/>
    <n v="4"/>
    <x v="7"/>
    <n v="2024"/>
    <s v="CLEAN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x v="640"/>
    <n v="923.53"/>
    <x v="637"/>
    <x v="0"/>
    <s v="Completed"/>
    <s v=""/>
    <s v=""/>
    <n v="0.84852144912701888"/>
    <n v="1267.296"/>
    <n v="343.76600000000008"/>
    <n v="0.27125943741635739"/>
    <n v="3"/>
    <x v="8"/>
    <n v="2025"/>
    <s v="CLEAN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x v="641"/>
    <n v="3561.87"/>
    <x v="638"/>
    <x v="0"/>
    <s v="Completed"/>
    <s v=""/>
    <s v=""/>
    <n v="-1.0661353799231277"/>
    <n v="6405.74"/>
    <n v="2843.87"/>
    <n v="0.44395651400150488"/>
    <n v="5"/>
    <x v="11"/>
    <n v="2025"/>
    <s v="CLEAN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x v="642"/>
    <n v="5337.64"/>
    <x v="639"/>
    <x v="3"/>
    <s v="Returned"/>
    <s v=""/>
    <s v=""/>
    <n v="1.3271856563895552"/>
    <n v="8607.6674999999996"/>
    <n v="3270.0274999999992"/>
    <n v="0.37989705108846261"/>
    <n v="2"/>
    <x v="1"/>
    <n v="2024"/>
    <s v="CLEAN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x v="643"/>
    <n v="16277.96"/>
    <x v="640"/>
    <x v="3"/>
    <s v="Returned"/>
    <s v=""/>
    <s v=""/>
    <n v="0.3698572418644821"/>
    <n v="26324.023999999998"/>
    <n v="10046.063999999998"/>
    <n v="0.3816310150758106"/>
    <n v="8"/>
    <x v="5"/>
    <n v="2024"/>
    <s v="CLEAN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x v="644"/>
    <n v="10914.92"/>
    <x v="641"/>
    <x v="0"/>
    <s v="Completed"/>
    <s v=""/>
    <s v=""/>
    <n v="-0.58747117266059101"/>
    <n v="14250.075999999999"/>
    <n v="3335.155999999999"/>
    <n v="0.23404478684885605"/>
    <n v="7"/>
    <x v="11"/>
    <n v="2025"/>
    <s v="CLEAN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x v="645"/>
    <n v="7608.89"/>
    <x v="642"/>
    <x v="0"/>
    <s v="Completed"/>
    <s v=""/>
    <s v=""/>
    <n v="-0.10880696539805437"/>
    <n v="13087.494000000001"/>
    <n v="5478.6040000000003"/>
    <n v="0.41861367806548755"/>
    <n v="5"/>
    <x v="8"/>
    <n v="2024"/>
    <s v="CLEAN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x v="646"/>
    <n v="1136.98"/>
    <x v="643"/>
    <x v="0"/>
    <s v="Completed"/>
    <s v=""/>
    <s v=""/>
    <n v="1.3271856563895552"/>
    <n v="1640.5650000000001"/>
    <n v="503.58500000000004"/>
    <n v="0.30695827352162214"/>
    <n v="6"/>
    <x v="6"/>
    <n v="2024"/>
    <s v="CLEAN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x v="647"/>
    <n v="10872.89"/>
    <x v="644"/>
    <x v="0"/>
    <s v="Completed"/>
    <s v=""/>
    <s v=""/>
    <n v="0.3698572418644821"/>
    <n v="14441.907999999999"/>
    <n v="3569.018"/>
    <n v="0.24712925743606731"/>
    <n v="8"/>
    <x v="8"/>
    <n v="2025"/>
    <s v="CLEAN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x v="648"/>
    <n v="3517.23"/>
    <x v="645"/>
    <x v="3"/>
    <s v="Returned"/>
    <s v=""/>
    <s v=""/>
    <n v="0.84852144912701888"/>
    <n v="5065.8480000000009"/>
    <n v="1548.6180000000008"/>
    <n v="0.30569768378364304"/>
    <n v="3"/>
    <x v="11"/>
    <n v="2024"/>
    <s v="CLEAN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x v="649"/>
    <n v="3836.24"/>
    <x v="646"/>
    <x v="0"/>
    <s v="Completed"/>
    <s v=""/>
    <s v=""/>
    <n v="1.3271856563895552"/>
    <n v="6776.88"/>
    <n v="2940.6400000000003"/>
    <n v="0.43392239496641527"/>
    <n v="8"/>
    <x v="1"/>
    <n v="2025"/>
    <s v="CLEAN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x v="650"/>
    <n v="9931.5300000000007"/>
    <x v="647"/>
    <x v="3"/>
    <s v="Returned"/>
    <s v=""/>
    <s v=""/>
    <n v="0.3698572418644821"/>
    <n v="15760.121999999999"/>
    <n v="5828.5919999999987"/>
    <n v="0.36983165485647884"/>
    <n v="8"/>
    <x v="11"/>
    <n v="2024"/>
    <s v="CLEAN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x v="651"/>
    <n v="996.72"/>
    <x v="648"/>
    <x v="0"/>
    <s v="Completed"/>
    <s v=""/>
    <s v=""/>
    <n v="-1.0661353799231277"/>
    <n v="1795.6499999999999"/>
    <n v="798.92999999999984"/>
    <n v="0.44492523598696843"/>
    <n v="3"/>
    <x v="1"/>
    <n v="2025"/>
    <s v="CLEAN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x v="652"/>
    <n v="11133.97"/>
    <x v="649"/>
    <x v="0"/>
    <s v="Completed"/>
    <s v=""/>
    <s v=""/>
    <n v="0.3698572418644821"/>
    <n v="18362.5075"/>
    <n v="7228.5375000000004"/>
    <n v="0.39365742941153326"/>
    <n v="4"/>
    <x v="9"/>
    <n v="2025"/>
    <s v="CLEAN"/>
  </r>
  <r>
    <s v="ORD-2025-10654"/>
    <d v="2025-04-04T00:00:00"/>
    <d v="2025-07-04T00:00:00"/>
    <s v="CUST-3970"/>
    <s v="Priya Menon"/>
    <x v="1"/>
    <x v="2"/>
    <s v="Tamil Nadu"/>
    <s v="Chennai"/>
    <x v="2"/>
    <x v="6"/>
    <s v="Max Copiers 356"/>
    <x v="0"/>
    <n v="7"/>
    <n v="4457.93"/>
    <n v="0.15"/>
    <x v="653"/>
    <n v="20574.3"/>
    <x v="650"/>
    <x v="0"/>
    <s v="Completed"/>
    <s v=""/>
    <s v=""/>
    <n v="0.3698572418644821"/>
    <n v="26524.683500000003"/>
    <n v="5950.3835000000036"/>
    <n v="0.22433381721595294"/>
    <n v="91"/>
    <x v="11"/>
    <n v="2025"/>
    <s v="CLEAN"/>
  </r>
  <r>
    <s v="ORD-2025-10655"/>
    <d v="2025-12-10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x v="654"/>
    <n v="1662.39"/>
    <x v="651"/>
    <x v="0"/>
    <s v="Completed"/>
    <s v=""/>
    <s v="Invalid Shipping Record"/>
    <n v="0.84852144912701888"/>
    <n v="2056.0480000000002"/>
    <n v="393.65800000000013"/>
    <n v="0.19146342886936496"/>
    <e v="#NUM!"/>
    <x v="7"/>
    <n v="2025"/>
    <s v="INVALID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x v="655"/>
    <n v="5124.01"/>
    <x v="652"/>
    <x v="0"/>
    <s v="Completed"/>
    <s v=""/>
    <s v=""/>
    <n v="-1.0661353799231277"/>
    <n v="8607.2800000000007"/>
    <n v="3483.2700000000004"/>
    <n v="0.40468882155570635"/>
    <n v="0"/>
    <x v="1"/>
    <n v="2025"/>
    <s v="CLEAN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x v="656"/>
    <n v="7696.28"/>
    <x v="653"/>
    <x v="0"/>
    <s v="Completed"/>
    <s v="Invalid Discount"/>
    <s v=""/>
    <n v="-1.5447995871856641"/>
    <n v="11554.62"/>
    <n v="3858.3400000000011"/>
    <n v="0.33392184251840396"/>
    <n v="7"/>
    <x v="3"/>
    <n v="2024"/>
    <s v="INVALID"/>
  </r>
  <r>
    <s v="ORD-2025-10658"/>
    <d v="2025-07-08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x v="657"/>
    <n v="1291.4100000000001"/>
    <x v="654"/>
    <x v="0"/>
    <s v="Completed"/>
    <s v=""/>
    <s v=""/>
    <n v="0.84852144912701888"/>
    <n v="2033"/>
    <n v="741.58999999999992"/>
    <n v="0.36477619281849477"/>
    <n v="33"/>
    <x v="0"/>
    <n v="2025"/>
    <s v="CLEAN"/>
  </r>
  <r>
    <s v="ORD-2025-10659"/>
    <d v="2025-06-09T00:00:00"/>
    <d v="2025-12-06T00:00:00"/>
    <s v="CUST-9074"/>
    <s v="Sneha Kapoor"/>
    <x v="0"/>
    <x v="4"/>
    <s v="Bihar"/>
    <s v="Patna"/>
    <x v="0"/>
    <x v="2"/>
    <s v="Eco Art 763"/>
    <x v="2"/>
    <n v="7"/>
    <n v="2852.42"/>
    <n v="0"/>
    <x v="658"/>
    <n v="12690.83"/>
    <x v="655"/>
    <x v="1"/>
    <s v="Cancelled"/>
    <s v=""/>
    <s v=""/>
    <n v="-1.0661353799231277"/>
    <n v="19966.940000000002"/>
    <n v="7276.1100000000024"/>
    <n v="0.36440786620283339"/>
    <n v="180"/>
    <x v="10"/>
    <n v="2025"/>
    <s v="WARNING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x v="659"/>
    <n v="513.88"/>
    <x v="656"/>
    <x v="1"/>
    <s v="Cancelled"/>
    <s v=""/>
    <s v=""/>
    <n v="0.84852144912701888"/>
    <n v="710.89600000000007"/>
    <n v="197.01600000000008"/>
    <n v="0.27713758411919615"/>
    <n v="1"/>
    <x v="8"/>
    <n v="2025"/>
    <s v="WARNING"/>
  </r>
  <r>
    <s v="ORD-2025-10661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x v="660"/>
    <n v="9224.2800000000007"/>
    <x v="657"/>
    <x v="0"/>
    <s v="Completed"/>
    <s v=""/>
    <s v=""/>
    <n v="-0.10880696539805437"/>
    <n v="15994.476000000001"/>
    <n v="6770.1959999999999"/>
    <n v="0.42328338858991066"/>
    <n v="0"/>
    <x v="0"/>
    <n v="2025"/>
    <s v="CLEAN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x v="661"/>
    <n v="939.9"/>
    <x v="658"/>
    <x v="0"/>
    <s v="Completed"/>
    <s v=""/>
    <s v=""/>
    <n v="-1.0661353799231277"/>
    <n v="1627.5"/>
    <n v="687.6"/>
    <n v="0.4224884792626728"/>
    <n v="5"/>
    <x v="3"/>
    <n v="2024"/>
    <s v="CLEAN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x v="662"/>
    <n v="7329.29"/>
    <x v="659"/>
    <x v="0"/>
    <s v="Completed"/>
    <s v=""/>
    <s v=""/>
    <n v="-0.10880696539805437"/>
    <n v="9637.92"/>
    <n v="2308.63"/>
    <n v="0.2395361239769577"/>
    <n v="4"/>
    <x v="8"/>
    <n v="2024"/>
    <s v="CLEAN"/>
  </r>
  <r>
    <s v="ORD-2024-10664"/>
    <d v="2024-02-05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x v="663"/>
    <n v="3152.98"/>
    <x v="660"/>
    <x v="0"/>
    <s v="Completed"/>
    <s v="Invalid Discount"/>
    <s v=""/>
    <n v="-3.3637235747833034"/>
    <n v="7898.8248000000003"/>
    <n v="4745.8448000000008"/>
    <n v="0.60082922715287979"/>
    <n v="93"/>
    <x v="5"/>
    <n v="2024"/>
    <s v="INVALID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x v="664"/>
    <n v="1055.8900000000001"/>
    <x v="661"/>
    <x v="0"/>
    <s v="Completed"/>
    <s v=""/>
    <s v=""/>
    <n v="0.84852144912701888"/>
    <n v="1527.0640000000001"/>
    <n v="471.17399999999998"/>
    <n v="0.30854895407134209"/>
    <n v="3"/>
    <x v="7"/>
    <n v="2024"/>
    <s v="CLEAN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x v="665"/>
    <n v="3640.89"/>
    <x v="662"/>
    <x v="3"/>
    <s v="Cancelled"/>
    <s v=""/>
    <s v=""/>
    <n v="-0.10880696539805437"/>
    <n v="5698.4039999999995"/>
    <n v="2057.5139999999997"/>
    <n v="0.36106846759197836"/>
    <n v="0"/>
    <x v="8"/>
    <n v="2025"/>
    <s v="WARNING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x v="666"/>
    <n v="223.49"/>
    <x v="663"/>
    <x v="0"/>
    <s v="Completed"/>
    <s v=""/>
    <s v=""/>
    <n v="-0.58747117266059101"/>
    <n v="265.83849999999995"/>
    <n v="42.348499999999945"/>
    <n v="0.15930160605028976"/>
    <n v="5"/>
    <x v="10"/>
    <n v="2024"/>
    <s v="CLEAN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x v="667"/>
    <n v="3239.53"/>
    <x v="664"/>
    <x v="2"/>
    <s v="Returned"/>
    <s v=""/>
    <s v=""/>
    <n v="-1.0661353799231277"/>
    <n v="3959.14"/>
    <n v="719.60999999999967"/>
    <n v="0.18175916992074029"/>
    <n v="7"/>
    <x v="3"/>
    <n v="2025"/>
    <s v="CLEAN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x v="668"/>
    <n v="1873.11"/>
    <x v="665"/>
    <x v="0"/>
    <s v="Completed"/>
    <s v=""/>
    <s v=""/>
    <n v="0.84852144912701888"/>
    <n v="2401.84"/>
    <n v="528.73000000000025"/>
    <n v="0.22013539619624964"/>
    <n v="2"/>
    <x v="2"/>
    <n v="2024"/>
    <s v="CLEAN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x v="669"/>
    <n v="3226.45"/>
    <x v="666"/>
    <x v="0"/>
    <s v="Completed"/>
    <s v=""/>
    <s v=""/>
    <n v="1.3271856563895552"/>
    <n v="5102.16"/>
    <n v="1875.71"/>
    <n v="0.36763057214983458"/>
    <n v="8"/>
    <x v="9"/>
    <n v="2024"/>
    <s v="CLEAN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x v="670"/>
    <n v="3560.96"/>
    <x v="667"/>
    <x v="0"/>
    <s v="Completed"/>
    <s v=""/>
    <s v=""/>
    <n v="-0.10880696539805437"/>
    <n v="6176.5920000000006"/>
    <n v="2615.6320000000005"/>
    <n v="0.42347495188285067"/>
    <n v="4"/>
    <x v="5"/>
    <n v="2025"/>
    <s v="CLEAN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x v="671"/>
    <n v="17738.13"/>
    <x v="668"/>
    <x v="0"/>
    <s v="Completed"/>
    <s v=""/>
    <s v=""/>
    <n v="-0.58747117266059101"/>
    <n v="31203.310500000003"/>
    <n v="13465.180500000002"/>
    <n v="0.43153051020019179"/>
    <n v="5"/>
    <x v="9"/>
    <n v="2024"/>
    <s v="CLEAN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x v="672"/>
    <n v="7864.61"/>
    <x v="669"/>
    <x v="0"/>
    <s v="Returned"/>
    <s v=""/>
    <s v=""/>
    <n v="-0.58747117266059101"/>
    <n v="12010.5175"/>
    <n v="4145.9075000000003"/>
    <n v="0.34518974723612039"/>
    <n v="1"/>
    <x v="6"/>
    <n v="2024"/>
    <s v="CLEAN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x v="673"/>
    <n v="8471.7800000000007"/>
    <x v="670"/>
    <x v="0"/>
    <s v="Completed"/>
    <s v=""/>
    <s v=""/>
    <n v="0.3698572418644821"/>
    <n v="13847.86"/>
    <n v="5376.08"/>
    <n v="0.38822460654570451"/>
    <n v="3"/>
    <x v="5"/>
    <n v="2025"/>
    <s v="CLEAN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x v="674"/>
    <n v="630.82000000000005"/>
    <x v="671"/>
    <x v="2"/>
    <s v="Returned"/>
    <s v=""/>
    <s v=""/>
    <n v="-1.0661353799231277"/>
    <n v="1033.71"/>
    <n v="402.89"/>
    <n v="0.38975147768716562"/>
    <n v="3"/>
    <x v="3"/>
    <n v="2024"/>
    <s v="CLEAN"/>
  </r>
  <r>
    <s v="ORD-2025-10676"/>
    <d v="2025-06-07T00:00:00"/>
    <d v="2025-10-06T00:00:00"/>
    <s v="CUST-5061"/>
    <s v="Aarav Sharma"/>
    <x v="0"/>
    <x v="0"/>
    <s v="Rajasthan"/>
    <s v="Jaipur"/>
    <x v="1"/>
    <x v="3"/>
    <s v="Eco Furnishings 217"/>
    <x v="1"/>
    <n v="3"/>
    <n v="963.26"/>
    <n v="0"/>
    <x v="675"/>
    <n v="1811.23"/>
    <x v="672"/>
    <x v="0"/>
    <s v="Completed"/>
    <s v=""/>
    <s v=""/>
    <n v="-1.0661353799231277"/>
    <n v="2889.7799999999997"/>
    <n v="1078.5499999999997"/>
    <n v="0.37322910394562903"/>
    <n v="121"/>
    <x v="10"/>
    <n v="2025"/>
    <s v="CLEAN"/>
  </r>
  <r>
    <s v="ORD-2025-10677"/>
    <d v="2025-11-09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x v="676"/>
    <n v="14920.87"/>
    <x v="673"/>
    <x v="0"/>
    <s v="Completed"/>
    <s v=""/>
    <s v="Invalid Shipping Record"/>
    <n v="0.3698572418644821"/>
    <n v="20296.699499999999"/>
    <n v="5375.829499999998"/>
    <n v="0.26486225014071862"/>
    <e v="#NUM!"/>
    <x v="2"/>
    <n v="2025"/>
    <s v="INVALID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x v="677"/>
    <n v="15445.81"/>
    <x v="674"/>
    <x v="0"/>
    <s v="Completed"/>
    <s v=""/>
    <s v=""/>
    <n v="-1.0661353799231277"/>
    <n v="18364.36"/>
    <n v="2918.5500000000011"/>
    <n v="0.15892467801763857"/>
    <n v="5"/>
    <x v="10"/>
    <n v="2024"/>
    <s v="CLEAN"/>
  </r>
  <r>
    <s v="ORD-2024-10679"/>
    <d v="2024-11-24T00:00:00"/>
    <d v="2024-01-12T00:00:00"/>
    <s v="CUST-1674"/>
    <s v="Kabir Singh"/>
    <x v="2"/>
    <x v="2"/>
    <s v="Karnataka"/>
    <s v="Bengaluru"/>
    <x v="1"/>
    <x v="1"/>
    <s v="Prime Tables 123"/>
    <x v="0"/>
    <n v="9"/>
    <n v="2763.61"/>
    <n v="0.15"/>
    <x v="678"/>
    <n v="11676.33"/>
    <x v="675"/>
    <x v="0"/>
    <s v="Completed"/>
    <s v=""/>
    <s v="Invalid Shipping Record"/>
    <n v="0.3698572418644821"/>
    <n v="21141.6165"/>
    <n v="9465.2865000000002"/>
    <n v="0.44770874071999178"/>
    <e v="#NUM!"/>
    <x v="2"/>
    <n v="2024"/>
    <s v="INVALID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x v="679"/>
    <n v="3881.51"/>
    <x v="676"/>
    <x v="1"/>
    <s v="Cancelled"/>
    <s v="Invalid Discount"/>
    <s v=""/>
    <n v="5.6351635217523848"/>
    <n v="1692.6840000000002"/>
    <n v="-2188.826"/>
    <n v="-1.2931096412561351"/>
    <n v="7"/>
    <x v="1"/>
    <n v="2025"/>
    <s v="INVALID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x v="680"/>
    <n v="12048.39"/>
    <x v="677"/>
    <x v="0"/>
    <s v="Completed"/>
    <s v=""/>
    <s v=""/>
    <n v="-1.0661353799231277"/>
    <n v="14800.96"/>
    <n v="2752.5699999999997"/>
    <n v="0.18597239638509933"/>
    <n v="7"/>
    <x v="3"/>
    <n v="2024"/>
    <s v="CLEAN"/>
  </r>
  <r>
    <s v="ORD-2024-10682"/>
    <d v="2024-04-07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x v="681"/>
    <n v="4182.99"/>
    <x v="678"/>
    <x v="0"/>
    <s v="Cancelled"/>
    <s v=""/>
    <s v=""/>
    <n v="-1.0661353799231277"/>
    <n v="6001.35"/>
    <n v="1818.3600000000006"/>
    <n v="0.30299182683896131"/>
    <n v="94"/>
    <x v="11"/>
    <n v="2024"/>
    <s v="WARNING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x v="682"/>
    <n v="4113.66"/>
    <x v="679"/>
    <x v="0"/>
    <s v="Completed"/>
    <s v=""/>
    <s v=""/>
    <n v="-1.0661353799231277"/>
    <n v="7772.34"/>
    <n v="3658.6800000000003"/>
    <n v="0.47073082237781677"/>
    <n v="0"/>
    <x v="5"/>
    <n v="2025"/>
    <s v="CLEAN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x v="683"/>
    <n v="5512.03"/>
    <x v="680"/>
    <x v="1"/>
    <s v="Cancelled"/>
    <s v=""/>
    <s v=""/>
    <n v="0.84852144912701888"/>
    <n v="7902.9600000000009"/>
    <n v="2390.9300000000012"/>
    <n v="0.30253601182341816"/>
    <n v="4"/>
    <x v="0"/>
    <n v="2025"/>
    <s v="WARNING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x v="684"/>
    <n v="17155.48"/>
    <x v="681"/>
    <x v="1"/>
    <s v="Cancelled"/>
    <s v=""/>
    <s v=""/>
    <n v="0.84852144912701888"/>
    <n v="24621.239999999998"/>
    <n v="7465.7599999999984"/>
    <n v="0.3032243705028666"/>
    <n v="0"/>
    <x v="0"/>
    <n v="2025"/>
    <s v="WARNING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x v="685"/>
    <n v="5606.79"/>
    <x v="682"/>
    <x v="3"/>
    <s v="Cancelled"/>
    <s v="Invalid Discount"/>
    <s v=""/>
    <n v="4.1991708999647752"/>
    <n v="3313.5074999999993"/>
    <n v="-2293.2825000000007"/>
    <n v="-0.69210119488185895"/>
    <n v="2"/>
    <x v="4"/>
    <n v="2025"/>
    <s v="INVALID"/>
  </r>
  <r>
    <s v="ORD-2024-10687"/>
    <d v="2024-03-25T00:00:00"/>
    <d v="2024-02-04T00:00:00"/>
    <s v="CUST-3127"/>
    <s v="Sneha Kapoor"/>
    <x v="3"/>
    <x v="2"/>
    <s v="Tamil Nadu"/>
    <s v="Chennai"/>
    <x v="2"/>
    <x v="6"/>
    <s v="Pro Copiers 502"/>
    <x v="3"/>
    <n v="2"/>
    <n v="2349.13"/>
    <n v="0"/>
    <x v="686"/>
    <n v="2654.92"/>
    <x v="683"/>
    <x v="0"/>
    <s v="Completed"/>
    <s v=""/>
    <s v="Invalid Shipping Record"/>
    <n v="-1.0661353799231277"/>
    <n v="4698.26"/>
    <n v="2043.3400000000001"/>
    <n v="0.43491420227914163"/>
    <e v="#NUM!"/>
    <x v="9"/>
    <n v="2024"/>
    <s v="INVALID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x v="687"/>
    <n v="497.68"/>
    <x v="684"/>
    <x v="3"/>
    <s v="Cancelled"/>
    <s v=""/>
    <s v=""/>
    <n v="-1.0661353799231277"/>
    <n v="688.2"/>
    <n v="190.52000000000004"/>
    <n v="0.27683812845103173"/>
    <n v="5"/>
    <x v="4"/>
    <n v="2025"/>
    <s v="WARNING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x v="688"/>
    <n v="12581.23"/>
    <x v="685"/>
    <x v="0"/>
    <s v="Completed"/>
    <s v=""/>
    <s v=""/>
    <n v="0.3698572418644821"/>
    <n v="15492.065999999999"/>
    <n v="2910.8359999999993"/>
    <n v="0.18789204745190213"/>
    <n v="1"/>
    <x v="5"/>
    <n v="2025"/>
    <s v="CLEAN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x v="689"/>
    <n v="2302.65"/>
    <x v="686"/>
    <x v="3"/>
    <s v="Cancelled"/>
    <s v=""/>
    <s v=""/>
    <n v="0.3698572418644821"/>
    <n v="3745.2870000000003"/>
    <n v="1442.6370000000002"/>
    <n v="0.38518730340291679"/>
    <n v="1"/>
    <x v="4"/>
    <n v="2024"/>
    <s v="WARNING"/>
  </r>
  <r>
    <s v="ORD-2024-10691"/>
    <d v="2024-11-09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x v="690"/>
    <n v="2797.29"/>
    <x v="687"/>
    <x v="3"/>
    <s v="Returned"/>
    <s v=""/>
    <s v="Invalid Shipping Record"/>
    <n v="-1.0661353799231277"/>
    <n v="3462.52"/>
    <n v="665.23"/>
    <n v="0.19212307798944123"/>
    <e v="#NUM!"/>
    <x v="2"/>
    <n v="2024"/>
    <s v="INVALID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x v="691"/>
    <n v="5098.2"/>
    <x v="688"/>
    <x v="0"/>
    <s v="Completed"/>
    <s v=""/>
    <s v=""/>
    <n v="-0.58747117266059101"/>
    <n v="8767.1699999999983"/>
    <n v="3668.9699999999984"/>
    <n v="0.41848966085977563"/>
    <n v="1"/>
    <x v="7"/>
    <n v="2024"/>
    <s v="CLEAN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x v="692"/>
    <n v="5903.81"/>
    <x v="689"/>
    <x v="0"/>
    <s v="Completed"/>
    <s v=""/>
    <s v=""/>
    <n v="-0.10880696539805437"/>
    <n v="8516.4480000000003"/>
    <n v="2612.6379999999999"/>
    <n v="0.30677554774009069"/>
    <n v="5"/>
    <x v="4"/>
    <n v="2025"/>
    <s v="CLEAN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x v="693"/>
    <n v="8035.96"/>
    <x v="690"/>
    <x v="0"/>
    <s v="Completed"/>
    <s v=""/>
    <s v=""/>
    <n v="-0.58747117266059101"/>
    <n v="11826.844500000001"/>
    <n v="3790.884500000001"/>
    <n v="0.32053220112938835"/>
    <n v="8"/>
    <x v="11"/>
    <n v="2025"/>
    <s v="CLEAN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x v="694"/>
    <n v="9627.2099999999991"/>
    <x v="691"/>
    <x v="0"/>
    <s v="Completed"/>
    <s v=""/>
    <s v=""/>
    <n v="0.3698572418644821"/>
    <n v="11629.019999999999"/>
    <n v="2001.8099999999995"/>
    <n v="0.17213918283741877"/>
    <n v="8"/>
    <x v="1"/>
    <n v="2025"/>
    <s v="CLEAN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x v="695"/>
    <n v="626.33000000000004"/>
    <x v="692"/>
    <x v="0"/>
    <s v="Completed"/>
    <s v=""/>
    <s v=""/>
    <n v="-1.0661353799231277"/>
    <n v="1029.56"/>
    <n v="403.2299999999999"/>
    <n v="0.39165274486188267"/>
    <n v="0"/>
    <x v="0"/>
    <n v="2024"/>
    <s v="CLEAN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x v="696"/>
    <n v="2102.41"/>
    <x v="693"/>
    <x v="0"/>
    <s v="Completed"/>
    <s v=""/>
    <s v=""/>
    <n v="1.3271856563895552"/>
    <n v="3536.5199999999995"/>
    <n v="1434.1099999999997"/>
    <n v="0.40551446054313278"/>
    <n v="3"/>
    <x v="6"/>
    <n v="2025"/>
    <s v="CLEAN"/>
  </r>
  <r>
    <s v="ORD-2025-10698"/>
    <d v="2025-01-03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x v="697"/>
    <n v="1849.3"/>
    <x v="694"/>
    <x v="1"/>
    <s v="Returned"/>
    <s v=""/>
    <s v=""/>
    <n v="-1.0661353799231277"/>
    <n v="3970.0499999999997"/>
    <n v="2120.75"/>
    <n v="0.53418722686112274"/>
    <n v="63"/>
    <x v="8"/>
    <n v="2025"/>
    <s v="CLEAN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x v="698"/>
    <n v="23751.91"/>
    <x v="695"/>
    <x v="0"/>
    <s v="Returned"/>
    <s v=""/>
    <s v=""/>
    <n v="0.3698572418644821"/>
    <n v="27755.287999999997"/>
    <n v="4003.377999999997"/>
    <n v="0.14423838801456493"/>
    <n v="0"/>
    <x v="6"/>
    <n v="2024"/>
    <s v="CLEAN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x v="699"/>
    <n v="7798.56"/>
    <x v="696"/>
    <x v="0"/>
    <s v="Completed"/>
    <s v=""/>
    <s v=""/>
    <n v="1.3271856563895552"/>
    <n v="9450.7425000000003"/>
    <n v="1652.1824999999999"/>
    <n v="0.17482039109625511"/>
    <n v="0"/>
    <x v="10"/>
    <n v="2024"/>
    <s v="CLEAN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x v="700"/>
    <n v="4691.7299999999996"/>
    <x v="697"/>
    <x v="0"/>
    <s v="Completed"/>
    <s v=""/>
    <s v=""/>
    <n v="0.3698572418644821"/>
    <n v="7792.5450000000001"/>
    <n v="3100.8150000000005"/>
    <n v="0.39792070498149201"/>
    <n v="3"/>
    <x v="6"/>
    <n v="2024"/>
    <s v="CLEAN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x v="701"/>
    <n v="6685.81"/>
    <x v="698"/>
    <x v="0"/>
    <s v="Returned"/>
    <s v=""/>
    <s v=""/>
    <n v="-1.0661353799231277"/>
    <n v="8574.58"/>
    <n v="1888.7699999999995"/>
    <n v="0.22027551203674112"/>
    <n v="4"/>
    <x v="11"/>
    <n v="2024"/>
    <s v="CLEAN"/>
  </r>
  <r>
    <s v="ORD-2025-10703"/>
    <d v="2025-02-02T00:00:00"/>
    <d v="2025-06-02T00:00:00"/>
    <s v="CUST-5231"/>
    <s v="Karan Malhotra"/>
    <x v="1"/>
    <x v="3"/>
    <s v="Rajasthan"/>
    <s v="Udaipur"/>
    <x v="1"/>
    <x v="1"/>
    <s v="Pro Tables 980"/>
    <x v="0"/>
    <n v="3"/>
    <n v="997.34"/>
    <n v="0.1"/>
    <x v="702"/>
    <n v="1820.08"/>
    <x v="699"/>
    <x v="0"/>
    <s v="Completed"/>
    <s v=""/>
    <s v=""/>
    <n v="-0.10880696539805437"/>
    <n v="2692.8180000000002"/>
    <n v="872.73800000000028"/>
    <n v="0.32409839803506968"/>
    <n v="120"/>
    <x v="5"/>
    <n v="2025"/>
    <s v="CLEAN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x v="703"/>
    <n v="854.35"/>
    <x v="700"/>
    <x v="0"/>
    <s v="Completed"/>
    <s v=""/>
    <s v=""/>
    <n v="-0.10880696539805437"/>
    <n v="1035.027"/>
    <n v="180.67700000000002"/>
    <n v="0.1745625959516032"/>
    <n v="1"/>
    <x v="4"/>
    <n v="2024"/>
    <s v="CLEAN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x v="704"/>
    <n v="1820.34"/>
    <x v="701"/>
    <x v="0"/>
    <s v="Completed"/>
    <s v=""/>
    <s v=""/>
    <n v="0.3698572418644821"/>
    <n v="2401.7855"/>
    <n v="581.44550000000004"/>
    <n v="0.24208885431276025"/>
    <n v="7"/>
    <x v="9"/>
    <n v="2024"/>
    <s v="CLEAN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x v="705"/>
    <n v="11352.38"/>
    <x v="702"/>
    <x v="0"/>
    <s v="Completed"/>
    <s v=""/>
    <s v=""/>
    <n v="-0.58747117266059101"/>
    <n v="16015.8125"/>
    <n v="4663.4325000000008"/>
    <n v="0.29117676671102394"/>
    <n v="6"/>
    <x v="6"/>
    <n v="2024"/>
    <s v="CLEAN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x v="706"/>
    <n v="1354.28"/>
    <x v="703"/>
    <x v="0"/>
    <s v="Completed"/>
    <s v=""/>
    <s v=""/>
    <n v="-0.10880696539805437"/>
    <n v="1901.4750000000001"/>
    <n v="547.19500000000016"/>
    <n v="0.28777396494826391"/>
    <n v="4"/>
    <x v="10"/>
    <n v="2024"/>
    <s v="CLEAN"/>
  </r>
  <r>
    <s v="ORD-2025-10708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x v="707"/>
    <n v="11678.32"/>
    <x v="704"/>
    <x v="0"/>
    <s v="Completed"/>
    <s v="Invalid Discount"/>
    <s v=""/>
    <n v="4.1991708999647752"/>
    <n v="8375.9849999999988"/>
    <n v="-3302.3350000000009"/>
    <n v="-0.39426228676388525"/>
    <n v="2"/>
    <x v="10"/>
    <n v="2025"/>
    <s v="INVALID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x v="708"/>
    <n v="13233.79"/>
    <x v="705"/>
    <x v="0"/>
    <s v="Completed"/>
    <s v=""/>
    <s v=""/>
    <n v="-0.58747117266059101"/>
    <n v="16559.108"/>
    <n v="3325.3179999999993"/>
    <n v="0.20081504390212318"/>
    <n v="6"/>
    <x v="9"/>
    <n v="2025"/>
    <s v="CLEAN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x v="709"/>
    <n v="6417.32"/>
    <x v="706"/>
    <x v="0"/>
    <s v="Cancelled"/>
    <s v=""/>
    <s v=""/>
    <n v="0.3698572418644821"/>
    <n v="8110.0879999999988"/>
    <n v="1692.7679999999991"/>
    <n v="0.2087237524426368"/>
    <n v="4"/>
    <x v="8"/>
    <n v="2025"/>
    <s v="WARNING"/>
  </r>
  <r>
    <s v="ORD-2024-10711"/>
    <d v="2024-12-07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x v="710"/>
    <n v="5941.74"/>
    <x v="707"/>
    <x v="0"/>
    <s v="Completed"/>
    <s v=""/>
    <s v="Invalid Shipping Record"/>
    <n v="-0.58747117266059101"/>
    <n v="7406.01"/>
    <n v="1464.2700000000004"/>
    <n v="0.19771374869869207"/>
    <e v="#NUM!"/>
    <x v="7"/>
    <n v="2024"/>
    <s v="INVALID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x v="711"/>
    <n v="2394.14"/>
    <x v="708"/>
    <x v="2"/>
    <s v="Returned"/>
    <s v=""/>
    <s v=""/>
    <n v="-0.58747117266059101"/>
    <n v="4110.4124999999995"/>
    <n v="1716.2724999999996"/>
    <n v="0.41754264322619683"/>
    <n v="0"/>
    <x v="5"/>
    <n v="2025"/>
    <s v="CLEAN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x v="712"/>
    <n v="6876.66"/>
    <x v="709"/>
    <x v="0"/>
    <s v="Completed"/>
    <s v=""/>
    <s v=""/>
    <n v="-1.0661353799231277"/>
    <n v="9680.0199999999986"/>
    <n v="2803.3599999999988"/>
    <n v="0.28960270743242256"/>
    <n v="8"/>
    <x v="5"/>
    <n v="2024"/>
    <s v="CLEAN"/>
  </r>
  <r>
    <s v="ORD-2025-10714"/>
    <d v="2025-06-06T00:00:00"/>
    <d v="2025-10-06T00:00:00"/>
    <s v="CUST-2548"/>
    <s v="Mira Das"/>
    <x v="0"/>
    <x v="3"/>
    <s v="Rajasthan"/>
    <s v="Udaipur"/>
    <x v="2"/>
    <x v="12"/>
    <s v="Pro Machines 987"/>
    <x v="0"/>
    <n v="1"/>
    <n v="289.97000000000003"/>
    <n v="0.25"/>
    <x v="713"/>
    <n v="132.13"/>
    <x v="710"/>
    <x v="0"/>
    <s v="Completed"/>
    <s v=""/>
    <s v=""/>
    <n v="1.3271856563895552"/>
    <n v="217.47750000000002"/>
    <n v="85.347500000000025"/>
    <n v="0.39244289639158081"/>
    <n v="122"/>
    <x v="10"/>
    <n v="2025"/>
    <s v="CLEAN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x v="714"/>
    <n v="13974.7"/>
    <x v="711"/>
    <x v="0"/>
    <s v="Completed"/>
    <s v=""/>
    <s v=""/>
    <n v="-1.0661353799231277"/>
    <n v="18675.18"/>
    <n v="4700.4799999999996"/>
    <n v="0.25169663692665878"/>
    <n v="1"/>
    <x v="9"/>
    <n v="2025"/>
    <s v="CLEAN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x v="715"/>
    <n v="15492.03"/>
    <x v="712"/>
    <x v="1"/>
    <s v="Cancelled"/>
    <s v=""/>
    <s v=""/>
    <n v="-1.0661353799231277"/>
    <n v="19901.63"/>
    <n v="4409.6000000000004"/>
    <n v="0.22156979101711771"/>
    <n v="5"/>
    <x v="1"/>
    <n v="2025"/>
    <s v="WARNING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x v="716"/>
    <n v="1824.88"/>
    <x v="713"/>
    <x v="0"/>
    <s v="Completed"/>
    <s v=""/>
    <s v=""/>
    <n v="0.3698572418644821"/>
    <n v="2879.817"/>
    <n v="1054.9369999999999"/>
    <n v="0.3663208460815392"/>
    <n v="5"/>
    <x v="1"/>
    <n v="2025"/>
    <s v="CLEAN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x v="717"/>
    <n v="11852.22"/>
    <x v="714"/>
    <x v="2"/>
    <s v="Cancelled"/>
    <s v=""/>
    <s v=""/>
    <n v="0.84852144912701888"/>
    <n v="18712.223999999998"/>
    <n v="6860.003999999999"/>
    <n v="0.3666054874075898"/>
    <n v="3"/>
    <x v="4"/>
    <n v="2025"/>
    <s v="WARNING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x v="718"/>
    <n v="3672.32"/>
    <x v="715"/>
    <x v="0"/>
    <s v="Completed"/>
    <s v=""/>
    <s v=""/>
    <n v="0.84852144912701888"/>
    <n v="4733.4479999999994"/>
    <n v="1061.1279999999992"/>
    <n v="0.22417654107534282"/>
    <n v="3"/>
    <x v="6"/>
    <n v="2024"/>
    <s v="CLEAN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x v="719"/>
    <n v="2264.92"/>
    <x v="716"/>
    <x v="0"/>
    <s v="Completed"/>
    <s v=""/>
    <s v=""/>
    <n v="0.84852144912701888"/>
    <n v="3795.8559999999998"/>
    <n v="1530.9359999999997"/>
    <n v="0.40331772332775528"/>
    <n v="1"/>
    <x v="6"/>
    <n v="2025"/>
    <s v="CLEAN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x v="720"/>
    <n v="12451.46"/>
    <x v="717"/>
    <x v="0"/>
    <s v="Completed"/>
    <s v=""/>
    <s v=""/>
    <n v="0.3698572418644821"/>
    <n v="15231.727999999999"/>
    <n v="2780.268"/>
    <n v="0.1825313582280356"/>
    <n v="0"/>
    <x v="0"/>
    <n v="2024"/>
    <s v="CLEAN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x v="721"/>
    <n v="10288.030000000001"/>
    <x v="718"/>
    <x v="0"/>
    <s v="Completed"/>
    <s v=""/>
    <s v=""/>
    <n v="-1.0661353799231277"/>
    <n v="13649.75"/>
    <n v="3361.7199999999993"/>
    <n v="0.24628436418249414"/>
    <n v="4"/>
    <x v="10"/>
    <n v="2025"/>
    <s v="CLEAN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x v="722"/>
    <n v="2533.59"/>
    <x v="719"/>
    <x v="1"/>
    <s v="Cancelled"/>
    <s v=""/>
    <s v=""/>
    <n v="-1.0661353799231277"/>
    <n v="4333.59"/>
    <n v="1800"/>
    <n v="0.41536001329152039"/>
    <n v="3"/>
    <x v="4"/>
    <n v="2024"/>
    <s v="WARNING"/>
  </r>
  <r>
    <s v="ORD-2025-10724"/>
    <d v="2025-06-10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x v="723"/>
    <n v="9589.81"/>
    <x v="720"/>
    <x v="3"/>
    <s v="Returned"/>
    <s v=""/>
    <s v=""/>
    <n v="-0.58747117266059101"/>
    <n v="13634.000999999998"/>
    <n v="4044.1909999999989"/>
    <n v="0.29662539998346776"/>
    <n v="125"/>
    <x v="10"/>
    <n v="2025"/>
    <s v="CLEAN"/>
  </r>
  <r>
    <s v="ORD-2024-10725"/>
    <d v="2024-10-02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x v="724"/>
    <n v="497.77"/>
    <x v="721"/>
    <x v="0"/>
    <s v="Completed"/>
    <s v=""/>
    <s v="Invalid Shipping Record"/>
    <n v="-1.0661353799231277"/>
    <n v="760.29"/>
    <n v="262.52"/>
    <n v="0.34528929750489945"/>
    <e v="#NUM!"/>
    <x v="4"/>
    <n v="2024"/>
    <s v="INVALID"/>
  </r>
  <r>
    <s v="ORD-2025-10726"/>
    <d v="2025-05-10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x v="725"/>
    <n v="8521.5"/>
    <x v="722"/>
    <x v="0"/>
    <s v="Completed"/>
    <s v=""/>
    <s v=""/>
    <n v="-1.0661353799231277"/>
    <n v="14943.11"/>
    <n v="6421.6100000000006"/>
    <n v="0.42973718322357263"/>
    <n v="155"/>
    <x v="3"/>
    <n v="2025"/>
    <s v="CLEAN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x v="726"/>
    <n v="5379.22"/>
    <x v="723"/>
    <x v="2"/>
    <s v="Returned"/>
    <s v=""/>
    <s v=""/>
    <n v="0.84852144912701888"/>
    <n v="8072"/>
    <n v="2692.7799999999997"/>
    <n v="0.33359514370664023"/>
    <n v="6"/>
    <x v="8"/>
    <n v="2024"/>
    <s v="CLEAN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x v="727"/>
    <n v="19257.849999999999"/>
    <x v="724"/>
    <x v="0"/>
    <s v="Completed"/>
    <s v=""/>
    <s v=""/>
    <n v="-0.58747117266059101"/>
    <n v="28353.015999999996"/>
    <n v="9095.1659999999974"/>
    <n v="0.3207830165228277"/>
    <n v="0"/>
    <x v="4"/>
    <n v="2024"/>
    <s v="CLEAN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x v="728"/>
    <n v="1194.83"/>
    <x v="725"/>
    <x v="0"/>
    <s v="Completed"/>
    <s v=""/>
    <s v=""/>
    <n v="0.3698572418644821"/>
    <n v="2008.567"/>
    <n v="813.73700000000008"/>
    <n v="0.40513311231340554"/>
    <n v="3"/>
    <x v="8"/>
    <n v="2024"/>
    <s v="CLEAN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x v="729"/>
    <n v="5516.52"/>
    <x v="726"/>
    <x v="0"/>
    <s v="Completed"/>
    <s v=""/>
    <s v=""/>
    <n v="0.3698572418644821"/>
    <n v="9234.2129999999997"/>
    <n v="3717.6929999999993"/>
    <n v="0.40259987505161504"/>
    <n v="8"/>
    <x v="3"/>
    <n v="2025"/>
    <s v="CLEAN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x v="730"/>
    <n v="2226.9699999999998"/>
    <x v="727"/>
    <x v="1"/>
    <s v="Returned"/>
    <s v=""/>
    <s v=""/>
    <n v="0.3698572418644821"/>
    <n v="2658.8339999999998"/>
    <n v="431.86400000000003"/>
    <n v="0.16242608602116568"/>
    <n v="5"/>
    <x v="10"/>
    <n v="2025"/>
    <s v="CLEAN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x v="731"/>
    <n v="10245.44"/>
    <x v="728"/>
    <x v="0"/>
    <s v="Completed"/>
    <s v=""/>
    <s v=""/>
    <n v="-0.10880696539805437"/>
    <n v="15756.048000000001"/>
    <n v="5510.6080000000002"/>
    <n v="0.3497455707167178"/>
    <n v="2"/>
    <x v="9"/>
    <n v="2024"/>
    <s v="CLEAN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x v="732"/>
    <n v="8596.65"/>
    <x v="729"/>
    <x v="0"/>
    <s v="Completed"/>
    <s v=""/>
    <s v=""/>
    <n v="-1.0661353799231277"/>
    <n v="14787.78"/>
    <n v="6191.130000000001"/>
    <n v="0.41866527632950995"/>
    <n v="8"/>
    <x v="2"/>
    <n v="2024"/>
    <s v="CLEAN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x v="733"/>
    <n v="15337.9"/>
    <x v="730"/>
    <x v="0"/>
    <s v="Completed"/>
    <s v=""/>
    <s v=""/>
    <n v="-1.0661353799231277"/>
    <n v="25181.64"/>
    <n v="9843.74"/>
    <n v="0.39090940860086953"/>
    <n v="7"/>
    <x v="10"/>
    <n v="2024"/>
    <s v="CLEAN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x v="734"/>
    <n v="6157.27"/>
    <x v="731"/>
    <x v="0"/>
    <s v="Completed"/>
    <s v=""/>
    <s v=""/>
    <n v="0.84852144912701888"/>
    <n v="8837.9520000000011"/>
    <n v="2680.6820000000007"/>
    <n v="0.30331484036120587"/>
    <n v="0"/>
    <x v="1"/>
    <n v="2024"/>
    <s v="CLEAN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x v="735"/>
    <n v="6152.87"/>
    <x v="732"/>
    <x v="0"/>
    <s v="Completed"/>
    <s v=""/>
    <s v=""/>
    <n v="0.84852144912701888"/>
    <n v="7275.7920000000004"/>
    <n v="1122.9220000000005"/>
    <n v="0.15433673749881804"/>
    <n v="8"/>
    <x v="1"/>
    <n v="2024"/>
    <s v="CLEAN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x v="736"/>
    <n v="1350.03"/>
    <x v="733"/>
    <x v="0"/>
    <s v="Completed"/>
    <s v=""/>
    <s v=""/>
    <n v="-0.10880696539805437"/>
    <n v="2355.0750000000003"/>
    <n v="1005.0450000000003"/>
    <n v="0.42675710964618968"/>
    <n v="3"/>
    <x v="7"/>
    <n v="2024"/>
    <s v="CLEAN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x v="737"/>
    <n v="2645.5"/>
    <x v="734"/>
    <x v="0"/>
    <s v="Completed"/>
    <s v=""/>
    <s v=""/>
    <n v="-1.0661353799231277"/>
    <n v="3609.12"/>
    <n v="963.61999999999989"/>
    <n v="0.2669958327791816"/>
    <n v="0"/>
    <x v="5"/>
    <n v="2024"/>
    <s v="CLEAN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x v="738"/>
    <n v="1298.8399999999999"/>
    <x v="735"/>
    <x v="0"/>
    <s v="Completed"/>
    <s v=""/>
    <s v=""/>
    <n v="-1.0661353799231277"/>
    <n v="2188.19"/>
    <n v="889.35000000000014"/>
    <n v="0.40643179979800664"/>
    <n v="2"/>
    <x v="5"/>
    <n v="2025"/>
    <s v="CLEAN"/>
  </r>
  <r>
    <s v="ORD-2024-10740"/>
    <d v="2024-12-03T00:00:00"/>
    <d v="2024-10-12T00:00:00"/>
    <s v="CUST-5846"/>
    <s v="Neha Gupta"/>
    <x v="2"/>
    <x v="0"/>
    <s v="Rajasthan"/>
    <s v="Jaipur"/>
    <x v="2"/>
    <x v="11"/>
    <s v="Basic Phones 859"/>
    <x v="3"/>
    <n v="5"/>
    <n v="2393.86"/>
    <n v="0.05"/>
    <x v="739"/>
    <n v="7469.58"/>
    <x v="736"/>
    <x v="0"/>
    <s v="Completed"/>
    <s v=""/>
    <s v="Invalid Shipping Record"/>
    <n v="-0.58747117266059101"/>
    <n v="11370.835000000001"/>
    <n v="3901.255000000001"/>
    <n v="0.34309309738466881"/>
    <e v="#NUM!"/>
    <x v="7"/>
    <n v="2024"/>
    <s v="INVALID"/>
  </r>
  <r>
    <s v="ORD-2024-10741"/>
    <d v="2024-04-02T00:00:00"/>
    <d v="2024-02-04T00:00:00"/>
    <s v="CUST-7932"/>
    <s v="Sneha Kapoor"/>
    <x v="1"/>
    <x v="3"/>
    <s v="Maharashtra"/>
    <s v="Mumbai"/>
    <x v="1"/>
    <x v="4"/>
    <s v="Eco Chairs 883"/>
    <x v="2"/>
    <n v="4"/>
    <n v="2583"/>
    <n v="0.1"/>
    <x v="740"/>
    <n v="6548.5"/>
    <x v="737"/>
    <x v="0"/>
    <s v="Completed"/>
    <s v=""/>
    <s v="Invalid Shipping Record"/>
    <n v="-0.10880696539805437"/>
    <n v="9298.8000000000011"/>
    <n v="2750.3000000000011"/>
    <n v="0.29576934658235482"/>
    <e v="#NUM!"/>
    <x v="11"/>
    <n v="2024"/>
    <s v="INVALID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x v="741"/>
    <n v="5596.34"/>
    <x v="738"/>
    <x v="0"/>
    <s v="Cancelled"/>
    <s v=""/>
    <s v=""/>
    <n v="-1.0661353799231277"/>
    <n v="8853.36"/>
    <n v="3257.0200000000004"/>
    <n v="0.36788518709280998"/>
    <n v="2"/>
    <x v="11"/>
    <n v="2025"/>
    <s v="WARNING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x v="742"/>
    <n v="5913.38"/>
    <x v="739"/>
    <x v="0"/>
    <s v="Completed"/>
    <s v=""/>
    <s v=""/>
    <n v="-1.0661353799231277"/>
    <n v="9043.7999999999993"/>
    <n v="3130.4199999999992"/>
    <n v="0.34613989694597397"/>
    <n v="7"/>
    <x v="4"/>
    <n v="2024"/>
    <s v="CLEAN"/>
  </r>
  <r>
    <s v="ORD-2025-10744"/>
    <d v="2025-12-0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x v="743"/>
    <n v="1735.64"/>
    <x v="740"/>
    <x v="0"/>
    <s v="Completed"/>
    <s v=""/>
    <s v="Invalid Shipping Record"/>
    <n v="1.3271856563895552"/>
    <n v="2211.2999999999997"/>
    <n v="475.65999999999963"/>
    <n v="0.21510423732645942"/>
    <e v="#NUM!"/>
    <x v="7"/>
    <n v="2025"/>
    <s v="INVALID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x v="744"/>
    <n v="10260.07"/>
    <x v="741"/>
    <x v="0"/>
    <s v="Cancelled"/>
    <s v=""/>
    <s v=""/>
    <n v="-0.10880696539805437"/>
    <n v="12158.504999999999"/>
    <n v="1898.4349999999995"/>
    <n v="0.15614049589155901"/>
    <n v="3"/>
    <x v="1"/>
    <n v="2025"/>
    <s v="WARNING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x v="745"/>
    <n v="1059.52"/>
    <x v="742"/>
    <x v="0"/>
    <s v="Completed"/>
    <s v=""/>
    <s v=""/>
    <n v="0.84852144912701888"/>
    <n v="1736.616"/>
    <n v="677.096"/>
    <n v="0.38989390861307277"/>
    <n v="4"/>
    <x v="4"/>
    <n v="2024"/>
    <s v="CLEAN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x v="746"/>
    <n v="6236.32"/>
    <x v="743"/>
    <x v="0"/>
    <s v="Completed"/>
    <s v=""/>
    <s v=""/>
    <n v="0.84852144912701888"/>
    <n v="8266.2080000000005"/>
    <n v="2029.8880000000008"/>
    <n v="0.24556459261610653"/>
    <n v="6"/>
    <x v="8"/>
    <n v="2025"/>
    <s v="CLEAN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x v="747"/>
    <n v="5576.98"/>
    <x v="744"/>
    <x v="0"/>
    <s v="Completed"/>
    <s v=""/>
    <s v=""/>
    <n v="0.3698572418644821"/>
    <n v="10022.044"/>
    <n v="4445.0640000000003"/>
    <n v="0.44352868536597928"/>
    <n v="6"/>
    <x v="3"/>
    <n v="2024"/>
    <s v="CLEAN"/>
  </r>
  <r>
    <s v="ORD-2024-10749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x v="748"/>
    <n v="2064.83"/>
    <x v="745"/>
    <x v="0"/>
    <s v="Completed"/>
    <s v=""/>
    <s v=""/>
    <n v="1.3271856563895552"/>
    <n v="2886.0299999999997"/>
    <n v="821.19999999999982"/>
    <n v="0.28454312671732446"/>
    <n v="0"/>
    <x v="3"/>
    <n v="2024"/>
    <s v="CLEAN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x v="749"/>
    <n v="1055.79"/>
    <x v="746"/>
    <x v="0"/>
    <s v="Completed"/>
    <s v=""/>
    <s v=""/>
    <n v="0.3698572418644821"/>
    <n v="1459.1949999999999"/>
    <n v="403.40499999999997"/>
    <n v="0.27645722470266137"/>
    <n v="4"/>
    <x v="9"/>
    <n v="2024"/>
    <s v="CLEAN"/>
  </r>
  <r>
    <s v="ORD-2025-10751"/>
    <d v="2025-02-06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x v="750"/>
    <n v="22724.52"/>
    <x v="747"/>
    <x v="0"/>
    <s v="Completed"/>
    <s v=""/>
    <s v=""/>
    <n v="0.3698572418644821"/>
    <n v="26696.323999999997"/>
    <n v="3971.8039999999964"/>
    <n v="0.14877718745097629"/>
    <n v="116"/>
    <x v="5"/>
    <n v="2025"/>
    <s v="CLEAN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x v="751"/>
    <n v="6937.6"/>
    <x v="748"/>
    <x v="0"/>
    <s v="Completed"/>
    <s v=""/>
    <s v=""/>
    <n v="-0.58747117266059101"/>
    <n v="8445.2624999999989"/>
    <n v="1507.6624999999985"/>
    <n v="0.17852168597482893"/>
    <n v="1"/>
    <x v="0"/>
    <n v="2025"/>
    <s v="CLEAN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x v="752"/>
    <n v="8372.2900000000009"/>
    <x v="749"/>
    <x v="0"/>
    <s v="Completed"/>
    <s v=""/>
    <s v=""/>
    <n v="-0.58747117266059101"/>
    <n v="11709.794999999998"/>
    <n v="3337.5049999999974"/>
    <n v="0.28501822619439521"/>
    <n v="3"/>
    <x v="9"/>
    <n v="2024"/>
    <s v="CLEAN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x v="753"/>
    <n v="1848.48"/>
    <x v="750"/>
    <x v="3"/>
    <s v="Returned"/>
    <s v=""/>
    <s v="Invalid Shipping Record"/>
    <n v="0.3698572418644821"/>
    <n v="2593.9109999999996"/>
    <n v="745.43099999999959"/>
    <n v="0.28737724617382776"/>
    <e v="#NUM!"/>
    <x v="1"/>
    <n v="2024"/>
    <s v="INVALID"/>
  </r>
  <r>
    <s v="ORD-2025-10755"/>
    <d v="2025-04-06T00:00:00"/>
    <d v="2025-04-06T00:00:00"/>
    <s v="CUST-7960"/>
    <s v="Neha Gupta"/>
    <x v="2"/>
    <x v="2"/>
    <s v="Kerala"/>
    <s v="Kochi"/>
    <x v="0"/>
    <x v="8"/>
    <s v="Elite Storage 857"/>
    <x v="3"/>
    <n v="4"/>
    <n v="891.34"/>
    <n v="0.25"/>
    <x v="754"/>
    <n v="2207.5700000000002"/>
    <x v="751"/>
    <x v="0"/>
    <s v="Completed"/>
    <s v=""/>
    <s v=""/>
    <n v="1.3271856563895552"/>
    <n v="2674.02"/>
    <n v="466.44999999999982"/>
    <n v="0.17443773793763689"/>
    <n v="0"/>
    <x v="11"/>
    <n v="2025"/>
    <s v="CLEAN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x v="755"/>
    <n v="7994.98"/>
    <x v="752"/>
    <x v="0"/>
    <s v="Completed"/>
    <s v=""/>
    <s v=""/>
    <n v="0.84852144912701888"/>
    <n v="9926.9599999999991"/>
    <n v="1931.9799999999996"/>
    <n v="0.19461950083409219"/>
    <n v="4"/>
    <x v="0"/>
    <n v="2025"/>
    <s v="CLEAN"/>
  </r>
  <r>
    <s v="ORD-2024-10757"/>
    <d v="2024-10-27T00:00:00"/>
    <d v="2024-01-11T00:00:00"/>
    <s v="CUST-1557"/>
    <s v="Rohan Mehta"/>
    <x v="0"/>
    <x v="0"/>
    <s v="Rajasthan"/>
    <s v="Jaipur"/>
    <x v="2"/>
    <x v="5"/>
    <s v="Smart Accessories 362"/>
    <x v="1"/>
    <n v="7"/>
    <n v="2177.1"/>
    <n v="0.2"/>
    <x v="756"/>
    <n v="10457.49"/>
    <x v="753"/>
    <x v="0"/>
    <s v="Returned"/>
    <s v=""/>
    <s v="Invalid Shipping Record"/>
    <n v="0.84852144912701888"/>
    <n v="12191.76"/>
    <n v="1734.2700000000004"/>
    <n v="0.14224935530226976"/>
    <e v="#NUM!"/>
    <x v="4"/>
    <n v="2024"/>
    <s v="INVALID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x v="757"/>
    <n v="2386.33"/>
    <x v="754"/>
    <x v="3"/>
    <s v="Cancelled"/>
    <s v=""/>
    <s v=""/>
    <n v="1.3271856563895552"/>
    <n v="4285.7550000000001"/>
    <n v="1899.4250000000002"/>
    <n v="0.44319495631458172"/>
    <n v="2"/>
    <x v="1"/>
    <n v="2025"/>
    <s v="WARNING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x v="758"/>
    <n v="3412.63"/>
    <x v="755"/>
    <x v="0"/>
    <s v="Completed"/>
    <s v=""/>
    <s v=""/>
    <n v="-1.0661353799231277"/>
    <n v="4166.91"/>
    <n v="754.27999999999975"/>
    <n v="0.18101662862888801"/>
    <n v="8"/>
    <x v="3"/>
    <n v="2024"/>
    <s v="CLEAN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x v="759"/>
    <n v="9438.4599999999991"/>
    <x v="756"/>
    <x v="0"/>
    <s v="Completed"/>
    <s v=""/>
    <s v=""/>
    <n v="1.3271856563895552"/>
    <n v="14947.537500000002"/>
    <n v="5509.0775000000031"/>
    <n v="0.36856087499362367"/>
    <n v="7"/>
    <x v="0"/>
    <n v="2024"/>
    <s v="CLEAN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x v="760"/>
    <n v="7600.63"/>
    <x v="757"/>
    <x v="2"/>
    <s v="Returned"/>
    <s v=""/>
    <s v=""/>
    <n v="-1.0661353799231277"/>
    <n v="13462.12"/>
    <n v="5861.4900000000007"/>
    <n v="0.43540616188237813"/>
    <n v="5"/>
    <x v="1"/>
    <n v="2024"/>
    <s v="CLEAN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x v="761"/>
    <n v="5010.6099999999997"/>
    <x v="758"/>
    <x v="0"/>
    <s v="Completed"/>
    <s v=""/>
    <s v=""/>
    <n v="-1.0661353799231277"/>
    <n v="7467.36"/>
    <n v="2456.75"/>
    <n v="0.32899846799940008"/>
    <n v="4"/>
    <x v="1"/>
    <n v="2025"/>
    <s v="CLEAN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x v="762"/>
    <n v="4775.4399999999996"/>
    <x v="759"/>
    <x v="1"/>
    <s v="Returned"/>
    <s v=""/>
    <s v=""/>
    <n v="0.84852144912701888"/>
    <n v="5910.5920000000006"/>
    <n v="1135.152000000001"/>
    <n v="0.19205385856442145"/>
    <n v="4"/>
    <x v="8"/>
    <n v="2024"/>
    <s v="CLEAN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x v="763"/>
    <n v="12081.54"/>
    <x v="760"/>
    <x v="0"/>
    <s v="Completed"/>
    <s v=""/>
    <s v=""/>
    <n v="-1.0661353799231277"/>
    <n v="16454.88"/>
    <n v="4373.34"/>
    <n v="0.26577769026574488"/>
    <n v="2"/>
    <x v="1"/>
    <n v="2025"/>
    <s v="CLEAN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x v="764"/>
    <n v="21606.83"/>
    <x v="761"/>
    <x v="0"/>
    <s v="Completed"/>
    <s v=""/>
    <s v=""/>
    <n v="-0.58747117266059101"/>
    <n v="25159.8"/>
    <n v="3552.9699999999975"/>
    <n v="0.14121614639226057"/>
    <n v="0"/>
    <x v="11"/>
    <n v="2025"/>
    <s v="CLEAN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x v="765"/>
    <n v="1214.8699999999999"/>
    <x v="762"/>
    <x v="0"/>
    <s v="Completed"/>
    <s v=""/>
    <s v=""/>
    <n v="-1.0661353799231277"/>
    <n v="1824.42"/>
    <n v="609.55000000000018"/>
    <n v="0.33410618169061956"/>
    <n v="4"/>
    <x v="10"/>
    <n v="2025"/>
    <s v="CLEAN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x v="766"/>
    <n v="9195.73"/>
    <x v="763"/>
    <x v="0"/>
    <s v="Cancelled"/>
    <s v=""/>
    <s v=""/>
    <n v="0.84852144912701888"/>
    <n v="16617.312000000002"/>
    <n v="7421.5820000000022"/>
    <n v="0.44661747940942564"/>
    <n v="7"/>
    <x v="6"/>
    <n v="2024"/>
    <s v="WARNING"/>
  </r>
  <r>
    <s v="ORD-2024-10768"/>
    <d v="2024-05-03T00:00:00"/>
    <d v="2024-06-05T00:00:00"/>
    <s v="CUST-2043"/>
    <s v="Ananya Rao"/>
    <x v="3"/>
    <x v="0"/>
    <s v="Uttar Pradesh"/>
    <s v="Noida"/>
    <x v="0"/>
    <x v="9"/>
    <s v="Classic Binders 234"/>
    <x v="3"/>
    <n v="1"/>
    <n v="1244.58"/>
    <n v="0.25"/>
    <x v="767"/>
    <n v="583.09"/>
    <x v="764"/>
    <x v="0"/>
    <s v="Completed"/>
    <s v=""/>
    <s v=""/>
    <n v="1.3271856563895552"/>
    <n v="933.43499999999995"/>
    <n v="350.34499999999991"/>
    <n v="0.3753287588316272"/>
    <n v="33"/>
    <x v="3"/>
    <n v="2024"/>
    <s v="CLEAN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x v="768"/>
    <n v="11166.84"/>
    <x v="765"/>
    <x v="0"/>
    <s v="Completed"/>
    <s v=""/>
    <s v=""/>
    <n v="-0.10880696539805437"/>
    <n v="14554.08"/>
    <n v="3387.24"/>
    <n v="0.23273473830018798"/>
    <n v="2"/>
    <x v="11"/>
    <n v="2025"/>
    <s v="CLEAN"/>
  </r>
  <r>
    <s v="ORD-2024-10770"/>
    <d v="2024-11-05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x v="769"/>
    <n v="5071.66"/>
    <x v="766"/>
    <x v="0"/>
    <s v="Completed"/>
    <s v=""/>
    <s v="Invalid Shipping Record"/>
    <n v="1.3271856563895552"/>
    <n v="8128.6875"/>
    <n v="3057.0275000000001"/>
    <n v="0.3760788565189645"/>
    <e v="#NUM!"/>
    <x v="2"/>
    <n v="2024"/>
    <s v="INVALID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x v="770"/>
    <n v="2376.62"/>
    <x v="767"/>
    <x v="0"/>
    <s v="Completed"/>
    <s v=""/>
    <s v=""/>
    <n v="-1.0661353799231277"/>
    <n v="3452"/>
    <n v="1075.3800000000001"/>
    <n v="0.3115237543453071"/>
    <n v="2"/>
    <x v="5"/>
    <n v="2024"/>
    <s v="CLEAN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x v="771"/>
    <n v="3520.69"/>
    <x v="768"/>
    <x v="0"/>
    <s v="Completed"/>
    <s v=""/>
    <s v=""/>
    <n v="-1.0661353799231277"/>
    <n v="8525.64"/>
    <n v="5004.9499999999989"/>
    <n v="0.58704683753946907"/>
    <n v="2"/>
    <x v="0"/>
    <n v="2024"/>
    <s v="CLEAN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x v="772"/>
    <n v="2760.29"/>
    <x v="769"/>
    <x v="2"/>
    <s v="Cancelled"/>
    <s v=""/>
    <s v=""/>
    <n v="-0.58747117266059101"/>
    <n v="3708.0589999999997"/>
    <n v="947.76899999999978"/>
    <n v="0.25559706574248142"/>
    <n v="4"/>
    <x v="0"/>
    <n v="2025"/>
    <s v="WARNING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x v="773"/>
    <n v="6178.92"/>
    <x v="770"/>
    <x v="0"/>
    <s v="Completed"/>
    <s v=""/>
    <s v=""/>
    <n v="0.84852144912701888"/>
    <n v="9424.2240000000002"/>
    <n v="3245.3040000000001"/>
    <n v="0.3443576892909167"/>
    <n v="0"/>
    <x v="5"/>
    <n v="2025"/>
    <s v="CLEAN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x v="774"/>
    <n v="4689.3"/>
    <x v="771"/>
    <x v="0"/>
    <s v="Completed"/>
    <s v=""/>
    <s v=""/>
    <n v="0.84852144912701888"/>
    <n v="7752.6"/>
    <n v="3063.3"/>
    <n v="0.39513195573098059"/>
    <n v="0"/>
    <x v="1"/>
    <n v="2025"/>
    <s v="CLEAN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x v="775"/>
    <n v="13890.9"/>
    <x v="772"/>
    <x v="0"/>
    <s v="Completed"/>
    <s v=""/>
    <s v=""/>
    <n v="1.3271856563895552"/>
    <n v="23736.720000000001"/>
    <n v="9845.8200000000015"/>
    <n v="0.41479277676106896"/>
    <n v="8"/>
    <x v="11"/>
    <n v="2024"/>
    <s v="CLEAN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x v="776"/>
    <n v="17815.98"/>
    <x v="773"/>
    <x v="0"/>
    <s v="Completed"/>
    <s v=""/>
    <s v=""/>
    <n v="-1.0661353799231277"/>
    <n v="26999.91"/>
    <n v="9183.93"/>
    <n v="0.34014668937785347"/>
    <n v="5"/>
    <x v="10"/>
    <n v="2025"/>
    <s v="CLEAN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x v="777"/>
    <n v="3530.12"/>
    <x v="774"/>
    <x v="3"/>
    <s v="Cancelled"/>
    <s v=""/>
    <s v=""/>
    <n v="0.3698572418644821"/>
    <n v="5065.116"/>
    <n v="1534.9960000000001"/>
    <n v="0.30305248685321323"/>
    <n v="2"/>
    <x v="5"/>
    <n v="2024"/>
    <s v="WARNING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x v="778"/>
    <n v="5672.57"/>
    <x v="775"/>
    <x v="0"/>
    <s v="Completed"/>
    <s v=""/>
    <s v=""/>
    <n v="-1.0661353799231277"/>
    <n v="6707.52"/>
    <n v="1034.9500000000007"/>
    <n v="0.15429696817899918"/>
    <n v="0"/>
    <x v="0"/>
    <n v="2024"/>
    <s v="CLEAN"/>
  </r>
  <r>
    <s v="ORD-2024-10780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x v="779"/>
    <n v="8572.9"/>
    <x v="776"/>
    <x v="0"/>
    <s v="Completed"/>
    <s v=""/>
    <s v=""/>
    <n v="-0.58747117266059101"/>
    <n v="11983.451999999999"/>
    <n v="3410.5519999999997"/>
    <n v="0.2846051371507976"/>
    <n v="5"/>
    <x v="8"/>
    <n v="2024"/>
    <s v="CLEAN"/>
  </r>
  <r>
    <s v="ORD-2024-10781"/>
    <d v="2024-08-04T00:00:00"/>
    <d v="2024-10-08T00:00:00"/>
    <s v="CUST-3288"/>
    <s v="Diya Patel"/>
    <x v="1"/>
    <x v="3"/>
    <s v="Rajasthan"/>
    <s v="Udaipur"/>
    <x v="1"/>
    <x v="4"/>
    <s v="Classic Chairs 798"/>
    <x v="1"/>
    <n v="4"/>
    <n v="426.43"/>
    <n v="0.2"/>
    <x v="780"/>
    <n v="978.16"/>
    <x v="777"/>
    <x v="0"/>
    <s v="Completed"/>
    <s v=""/>
    <s v=""/>
    <n v="0.84852144912701888"/>
    <n v="1364.576"/>
    <n v="386.41600000000005"/>
    <n v="0.28317660577351506"/>
    <n v="65"/>
    <x v="1"/>
    <n v="2024"/>
    <s v="CLEAN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x v="781"/>
    <n v="603.73"/>
    <x v="778"/>
    <x v="2"/>
    <s v="Returned"/>
    <s v=""/>
    <s v=""/>
    <n v="1.3271856563895552"/>
    <n v="862.64999999999986"/>
    <n v="258.91999999999985"/>
    <n v="0.30014490233582553"/>
    <n v="8"/>
    <x v="5"/>
    <n v="2024"/>
    <s v="CLEAN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x v="782"/>
    <n v="797.34"/>
    <x v="779"/>
    <x v="0"/>
    <s v="Completed"/>
    <s v=""/>
    <s v=""/>
    <n v="0.3698572418644821"/>
    <n v="1138.3709999999999"/>
    <n v="341.03099999999984"/>
    <n v="0.29957808131092578"/>
    <n v="8"/>
    <x v="9"/>
    <n v="2025"/>
    <s v="CLEAN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x v="783"/>
    <n v="1906.7"/>
    <x v="780"/>
    <x v="0"/>
    <s v="Completed"/>
    <s v=""/>
    <s v=""/>
    <n v="-0.58747117266059101"/>
    <n v="2452.8334999999997"/>
    <n v="546.13349999999969"/>
    <n v="0.22265412634000625"/>
    <n v="0"/>
    <x v="10"/>
    <n v="2024"/>
    <s v="CLEAN"/>
  </r>
  <r>
    <s v="ORD-2025-10785"/>
    <d v="2025-04-10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x v="784"/>
    <n v="1084.6600000000001"/>
    <x v="781"/>
    <x v="0"/>
    <s v="Completed"/>
    <s v=""/>
    <s v=""/>
    <n v="-0.58747117266059101"/>
    <n v="1589.0840000000001"/>
    <n v="504.42399999999998"/>
    <n v="0.31743067075120002"/>
    <n v="178"/>
    <x v="11"/>
    <n v="2025"/>
    <s v="CLEAN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x v="785"/>
    <n v="3504.16"/>
    <x v="782"/>
    <x v="3"/>
    <s v="Cancelled"/>
    <s v=""/>
    <s v=""/>
    <n v="1.3271856563895552"/>
    <n v="4519.41"/>
    <n v="1015.25"/>
    <n v="0.22464215461752751"/>
    <n v="6"/>
    <x v="3"/>
    <n v="2024"/>
    <s v="WARNING"/>
  </r>
  <r>
    <s v="ORD-2025-10787"/>
    <d v="2025-06-07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x v="786"/>
    <n v="2065.0500000000002"/>
    <x v="783"/>
    <x v="1"/>
    <s v="Returned"/>
    <s v=""/>
    <s v=""/>
    <n v="-0.58747117266059101"/>
    <n v="2718.71"/>
    <n v="653.65999999999985"/>
    <n v="0.24043020403058799"/>
    <n v="31"/>
    <x v="10"/>
    <n v="2025"/>
    <s v="CLEAN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x v="787"/>
    <n v="4915.2700000000004"/>
    <x v="784"/>
    <x v="0"/>
    <s v="Completed"/>
    <s v=""/>
    <s v=""/>
    <n v="-0.58747117266059101"/>
    <n v="7065.6629999999996"/>
    <n v="2150.3929999999991"/>
    <n v="0.30434412170521002"/>
    <n v="6"/>
    <x v="6"/>
    <n v="2024"/>
    <s v="CLEAN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x v="788"/>
    <n v="11546.05"/>
    <x v="785"/>
    <x v="3"/>
    <s v="Returned"/>
    <s v=""/>
    <s v=""/>
    <n v="-0.10880696539805437"/>
    <n v="17911.007999999998"/>
    <n v="6364.9579999999987"/>
    <n v="0.35536570582738836"/>
    <n v="1"/>
    <x v="1"/>
    <n v="2024"/>
    <s v="CLEAN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x v="789"/>
    <n v="9466.51"/>
    <x v="786"/>
    <x v="0"/>
    <s v="Completed"/>
    <s v=""/>
    <s v=""/>
    <n v="-1.0661353799231277"/>
    <n v="14149.92"/>
    <n v="4683.41"/>
    <n v="0.33098491016203624"/>
    <n v="1"/>
    <x v="9"/>
    <n v="2025"/>
    <s v="CLEAN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x v="790"/>
    <n v="3328.92"/>
    <x v="787"/>
    <x v="0"/>
    <s v="Completed"/>
    <s v=""/>
    <s v=""/>
    <n v="0.84852144912701888"/>
    <n v="4272.576"/>
    <n v="943.65599999999995"/>
    <n v="0.22086347908147214"/>
    <n v="2"/>
    <x v="3"/>
    <n v="2024"/>
    <s v="CLEAN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x v="791"/>
    <n v="5269.41"/>
    <x v="788"/>
    <x v="0"/>
    <s v="Completed"/>
    <s v=""/>
    <s v=""/>
    <n v="1.3271856563895552"/>
    <n v="9352.619999999999"/>
    <n v="4083.2099999999991"/>
    <n v="0.43658461479243243"/>
    <n v="4"/>
    <x v="4"/>
    <n v="2024"/>
    <s v="CLEAN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x v="792"/>
    <n v="1735.98"/>
    <x v="789"/>
    <x v="0"/>
    <s v="Returned"/>
    <s v=""/>
    <s v=""/>
    <n v="0.84852144912701888"/>
    <n v="2800.8960000000002"/>
    <n v="1064.9160000000002"/>
    <n v="0.38020547710446945"/>
    <n v="4"/>
    <x v="10"/>
    <n v="2025"/>
    <s v="CLEAN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x v="793"/>
    <n v="15408.47"/>
    <x v="790"/>
    <x v="0"/>
    <s v="Completed"/>
    <s v=""/>
    <s v=""/>
    <n v="-1.0661353799231277"/>
    <n v="21511.599999999999"/>
    <n v="6103.1299999999992"/>
    <n v="0.28371343833094703"/>
    <n v="6"/>
    <x v="3"/>
    <n v="2024"/>
    <s v="CLEAN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x v="794"/>
    <n v="4870.3900000000003"/>
    <x v="791"/>
    <x v="0"/>
    <s v="Completed"/>
    <s v=""/>
    <s v=""/>
    <n v="0.3698572418644821"/>
    <n v="7279.3574999999992"/>
    <n v="2408.9674999999988"/>
    <n v="0.33093133562955235"/>
    <n v="2"/>
    <x v="10"/>
    <n v="2025"/>
    <s v="CLEAN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x v="795"/>
    <n v="16883.59"/>
    <x v="792"/>
    <x v="1"/>
    <s v="Cancelled"/>
    <s v=""/>
    <s v=""/>
    <n v="-1.0661353799231277"/>
    <n v="26051.94"/>
    <n v="9168.3499999999985"/>
    <n v="0.3519258066769691"/>
    <n v="0"/>
    <x v="0"/>
    <n v="2024"/>
    <s v="WARNING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x v="796"/>
    <n v="6303.77"/>
    <x v="793"/>
    <x v="0"/>
    <s v="Completed"/>
    <s v=""/>
    <s v=""/>
    <n v="0.3698572418644821"/>
    <n v="9661.6439999999984"/>
    <n v="3357.873999999998"/>
    <n v="0.34754685641491223"/>
    <n v="7"/>
    <x v="9"/>
    <n v="2024"/>
    <s v="CLEAN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x v="797"/>
    <n v="10550.47"/>
    <x v="794"/>
    <x v="3"/>
    <s v="Cancelled"/>
    <s v=""/>
    <s v=""/>
    <n v="-1.0661353799231277"/>
    <n v="13714.96"/>
    <n v="3164.49"/>
    <n v="0.23073271814135804"/>
    <n v="4"/>
    <x v="11"/>
    <n v="2024"/>
    <s v="WARNING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x v="798"/>
    <n v="9656.5"/>
    <x v="795"/>
    <x v="0"/>
    <s v="Completed"/>
    <s v=""/>
    <s v="Invalid Shipping Record"/>
    <n v="-1.0661353799231277"/>
    <n v="15354.449999999999"/>
    <n v="5697.9499999999989"/>
    <n v="0.37109437329243311"/>
    <e v="#NUM!"/>
    <x v="0"/>
    <n v="2025"/>
    <s v="INVALID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x v="799"/>
    <n v="3887.41"/>
    <x v="796"/>
    <x v="0"/>
    <s v="Returned"/>
    <s v=""/>
    <s v=""/>
    <n v="-0.58747117266059101"/>
    <n v="4595.1975000000002"/>
    <n v="707.78750000000036"/>
    <n v="0.15402765604742785"/>
    <n v="7"/>
    <x v="4"/>
    <n v="2024"/>
    <s v="CLEAN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x v="800"/>
    <n v="16736.09"/>
    <x v="797"/>
    <x v="0"/>
    <s v="Completed"/>
    <s v=""/>
    <s v=""/>
    <n v="0.3698572418644821"/>
    <n v="21234.971999999998"/>
    <n v="4498.8819999999978"/>
    <n v="0.21186192286950029"/>
    <n v="6"/>
    <x v="9"/>
    <n v="2024"/>
    <s v="CLEAN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x v="801"/>
    <n v="6052.43"/>
    <x v="798"/>
    <x v="2"/>
    <s v="Cancelled"/>
    <s v=""/>
    <s v=""/>
    <n v="0.84852144912701888"/>
    <n v="8093.304000000001"/>
    <n v="2040.8740000000007"/>
    <n v="0.25216821214179036"/>
    <n v="7"/>
    <x v="4"/>
    <n v="2025"/>
    <s v="WARNING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x v="802"/>
    <n v="5254.62"/>
    <x v="799"/>
    <x v="3"/>
    <s v="Returned"/>
    <s v=""/>
    <s v=""/>
    <n v="-1.0661353799231277"/>
    <n v="8651.4600000000009"/>
    <n v="3396.8400000000011"/>
    <n v="0.39263199506210522"/>
    <n v="0"/>
    <x v="5"/>
    <n v="2025"/>
    <s v="CLEAN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x v="803"/>
    <n v="2568.8200000000002"/>
    <x v="800"/>
    <x v="0"/>
    <s v="Completed"/>
    <s v=""/>
    <s v=""/>
    <n v="-1.0661353799231277"/>
    <n v="4306.6499999999996"/>
    <n v="1737.8299999999995"/>
    <n v="0.40352245945224235"/>
    <n v="4"/>
    <x v="7"/>
    <n v="2024"/>
    <s v="CLEAN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x v="804"/>
    <n v="1507.08"/>
    <x v="801"/>
    <x v="0"/>
    <s v="Completed"/>
    <s v=""/>
    <s v=""/>
    <n v="-0.58747117266059101"/>
    <n v="1948.0889999999997"/>
    <n v="441.00899999999979"/>
    <n v="0.22638031424642296"/>
    <n v="8"/>
    <x v="6"/>
    <n v="2025"/>
    <s v="CLEAN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x v="805"/>
    <n v="2601.09"/>
    <x v="802"/>
    <x v="0"/>
    <s v="Completed"/>
    <s v=""/>
    <s v=""/>
    <n v="1.3271856563895552"/>
    <n v="3045.09"/>
    <n v="444"/>
    <n v="0.14580849827098705"/>
    <n v="1"/>
    <x v="11"/>
    <n v="2025"/>
    <s v="CLEAN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x v="806"/>
    <n v="1900.35"/>
    <x v="803"/>
    <x v="3"/>
    <s v="Cancelled"/>
    <s v=""/>
    <s v=""/>
    <n v="0.84852144912701888"/>
    <n v="2932.7759999999998"/>
    <n v="1032.4259999999999"/>
    <n v="0.35203029484692999"/>
    <n v="6"/>
    <x v="2"/>
    <n v="2024"/>
    <s v="WARNING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x v="807"/>
    <n v="3723.93"/>
    <x v="804"/>
    <x v="0"/>
    <s v="Completed"/>
    <s v=""/>
    <s v=""/>
    <n v="-0.10880696539805437"/>
    <n v="4379.3640000000005"/>
    <n v="655.43400000000065"/>
    <n v="0.14966419781502532"/>
    <n v="1"/>
    <x v="5"/>
    <n v="2025"/>
    <s v="CLEAN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x v="808"/>
    <n v="4477.33"/>
    <x v="805"/>
    <x v="0"/>
    <s v="Completed"/>
    <s v=""/>
    <s v="Invalid Shipping Record"/>
    <n v="0.84852144912701888"/>
    <n v="5472.768"/>
    <n v="995.4380000000001"/>
    <n v="0.18188931085695575"/>
    <e v="#NUM!"/>
    <x v="1"/>
    <n v="2025"/>
    <s v="INVALID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x v="809"/>
    <n v="5085.21"/>
    <x v="806"/>
    <x v="0"/>
    <s v="Completed"/>
    <s v=""/>
    <s v=""/>
    <n v="-0.10880696539805437"/>
    <n v="7377.1020000000008"/>
    <n v="2291.8920000000007"/>
    <n v="0.31067646888981615"/>
    <n v="0"/>
    <x v="10"/>
    <n v="2025"/>
    <s v="CLEAN"/>
  </r>
  <r>
    <s v="ORD-2024-10811"/>
    <d v="2024-03-04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x v="810"/>
    <n v="1471.51"/>
    <x v="807"/>
    <x v="0"/>
    <s v="Completed"/>
    <s v=""/>
    <s v=""/>
    <n v="1.3271856563895552"/>
    <n v="2363.8874999999998"/>
    <n v="892.37749999999983"/>
    <n v="0.37750421710000998"/>
    <n v="35"/>
    <x v="9"/>
    <n v="2024"/>
    <s v="CLEAN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x v="811"/>
    <n v="1475.87"/>
    <x v="808"/>
    <x v="0"/>
    <s v="Completed"/>
    <s v=""/>
    <s v=""/>
    <n v="0.84852144912701888"/>
    <n v="2577.2000000000003"/>
    <n v="1101.3300000000004"/>
    <n v="0.42733586838429316"/>
    <n v="7"/>
    <x v="7"/>
    <n v="2024"/>
    <s v="CLEAN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x v="812"/>
    <n v="14122.13"/>
    <x v="809"/>
    <x v="0"/>
    <s v="Completed"/>
    <s v=""/>
    <s v=""/>
    <n v="-1.0661353799231277"/>
    <n v="17827.759999999998"/>
    <n v="3705.6299999999992"/>
    <n v="0.20785729671029896"/>
    <n v="5"/>
    <x v="10"/>
    <n v="2024"/>
    <s v="CLEAN"/>
  </r>
  <r>
    <s v="ORD-2025-10814"/>
    <d v="2025-06-04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x v="813"/>
    <n v="1595.87"/>
    <x v="810"/>
    <x v="0"/>
    <s v="Completed"/>
    <s v=""/>
    <s v="Invalid Shipping Record"/>
    <n v="-1.0661353799231277"/>
    <n v="2675.34"/>
    <n v="1079.4700000000003"/>
    <n v="0.40348890234512258"/>
    <e v="#NUM!"/>
    <x v="10"/>
    <n v="2025"/>
    <s v="INVALID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x v="814"/>
    <n v="2639.7"/>
    <x v="811"/>
    <x v="0"/>
    <s v="Completed"/>
    <s v=""/>
    <s v=""/>
    <n v="1.3271856563895552"/>
    <n v="3563.91"/>
    <n v="924.21"/>
    <n v="0.25932473042248544"/>
    <n v="5"/>
    <x v="1"/>
    <n v="2025"/>
    <s v="CLEAN"/>
  </r>
  <r>
    <s v="ORD-2024-10816"/>
    <d v="2024-01-04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x v="815"/>
    <n v="3130.32"/>
    <x v="812"/>
    <x v="2"/>
    <s v="Cancelled"/>
    <s v=""/>
    <s v=""/>
    <n v="0.3698572418644821"/>
    <n v="4259.0694999999996"/>
    <n v="1128.7494999999994"/>
    <n v="0.26502255950507486"/>
    <n v="95"/>
    <x v="8"/>
    <n v="2024"/>
    <s v="WARNING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x v="816"/>
    <n v="498.5"/>
    <x v="813"/>
    <x v="0"/>
    <s v="Completed"/>
    <s v=""/>
    <s v=""/>
    <n v="-0.10880696539805437"/>
    <n v="786.87"/>
    <n v="288.37"/>
    <n v="0.36647730883119195"/>
    <n v="3"/>
    <x v="2"/>
    <n v="2024"/>
    <s v="CLEAN"/>
  </r>
  <r>
    <s v="ORD-2025-10818"/>
    <d v="2025-04-05T00:00:00"/>
    <d v="2025-05-04T00:00:00"/>
    <s v="CUST-2221"/>
    <s v="Sneha Kapoor"/>
    <x v="0"/>
    <x v="1"/>
    <s v="Bihar"/>
    <s v="Patna"/>
    <x v="0"/>
    <x v="9"/>
    <s v="Classic Binders 873"/>
    <x v="3"/>
    <n v="6"/>
    <n v="1829.69"/>
    <n v="0.25"/>
    <x v="817"/>
    <n v="4713.79"/>
    <x v="814"/>
    <x v="0"/>
    <s v="Completed"/>
    <s v=""/>
    <s v=""/>
    <n v="1.3271856563895552"/>
    <n v="8233.6049999999996"/>
    <n v="3519.8149999999996"/>
    <n v="0.42749378917254349"/>
    <n v="29"/>
    <x v="11"/>
    <n v="2025"/>
    <s v="CLEAN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x v="818"/>
    <n v="10088.65"/>
    <x v="815"/>
    <x v="0"/>
    <s v="Completed"/>
    <s v="Invalid Discount"/>
    <s v=""/>
    <n v="-2.4063951602582305"/>
    <n v="18067.084800000001"/>
    <n v="7978.4348000000009"/>
    <n v="0.44160056192352631"/>
    <n v="6"/>
    <x v="6"/>
    <n v="2024"/>
    <s v="INVALID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x v="819"/>
    <n v="26902.44"/>
    <x v="816"/>
    <x v="3"/>
    <s v="Cancelled"/>
    <s v=""/>
    <s v=""/>
    <n v="-1.0661353799231277"/>
    <n v="33968.080000000002"/>
    <n v="7065.6400000000031"/>
    <n v="0.20800822419165294"/>
    <n v="0"/>
    <x v="0"/>
    <n v="2024"/>
    <s v="WARNING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x v="820"/>
    <n v="436.43"/>
    <x v="817"/>
    <x v="0"/>
    <s v="Completed"/>
    <s v=""/>
    <s v=""/>
    <n v="0.84852144912701888"/>
    <n v="511.31200000000001"/>
    <n v="74.882000000000005"/>
    <n v="0.14645069937728825"/>
    <n v="4"/>
    <x v="5"/>
    <n v="2025"/>
    <s v="CLEAN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x v="821"/>
    <n v="9110.14"/>
    <x v="818"/>
    <x v="0"/>
    <s v="Completed"/>
    <s v=""/>
    <s v=""/>
    <n v="0.84852144912701888"/>
    <n v="10877.944000000001"/>
    <n v="1767.8040000000019"/>
    <n v="0.16251269541376584"/>
    <n v="3"/>
    <x v="0"/>
    <n v="2024"/>
    <s v="CLEAN"/>
  </r>
  <r>
    <s v="ORD-2024-10823"/>
    <d v="2024-12-10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x v="822"/>
    <n v="8634.42"/>
    <x v="819"/>
    <x v="2"/>
    <s v="Returned"/>
    <s v=""/>
    <s v="Invalid Shipping Record"/>
    <n v="0.84852144912701888"/>
    <n v="10246.528"/>
    <n v="1612.1080000000002"/>
    <n v="0.15733212264681268"/>
    <e v="#NUM!"/>
    <x v="7"/>
    <n v="2024"/>
    <s v="INVALID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x v="823"/>
    <n v="957.55"/>
    <x v="820"/>
    <x v="0"/>
    <s v="Completed"/>
    <s v=""/>
    <s v=""/>
    <n v="0.3698572418644821"/>
    <n v="1704.2415000000001"/>
    <n v="746.69150000000013"/>
    <n v="0.43813714194848563"/>
    <n v="6"/>
    <x v="8"/>
    <n v="2025"/>
    <s v="CLEAN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x v="824"/>
    <n v="28924.43"/>
    <x v="821"/>
    <x v="0"/>
    <s v="Completed"/>
    <s v=""/>
    <s v=""/>
    <n v="-0.58747117266059101"/>
    <n v="33719.223999999995"/>
    <n v="4794.7939999999944"/>
    <n v="0.14219763776295669"/>
    <n v="1"/>
    <x v="9"/>
    <n v="2025"/>
    <s v="CLEAN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x v="825"/>
    <n v="1834.23"/>
    <x v="822"/>
    <x v="0"/>
    <s v="Completed"/>
    <s v=""/>
    <s v=""/>
    <n v="-1.0661353799231277"/>
    <n v="2720.17"/>
    <n v="885.94"/>
    <n v="0.3256928794891496"/>
    <n v="1"/>
    <x v="11"/>
    <n v="2025"/>
    <s v="CLEAN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x v="826"/>
    <n v="5569.3"/>
    <x v="823"/>
    <x v="0"/>
    <s v="Completed"/>
    <s v=""/>
    <s v=""/>
    <n v="1.3271856563895552"/>
    <n v="8213.0249999999996"/>
    <n v="2643.7249999999995"/>
    <n v="0.32189418636860345"/>
    <n v="4"/>
    <x v="1"/>
    <n v="2025"/>
    <s v="CLEAN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x v="827"/>
    <n v="520.47"/>
    <x v="824"/>
    <x v="0"/>
    <s v="Cancelled"/>
    <s v=""/>
    <s v=""/>
    <n v="1.3271856563895552"/>
    <n v="633.66750000000002"/>
    <n v="113.19749999999999"/>
    <n v="0.17863863934950111"/>
    <n v="7"/>
    <x v="2"/>
    <n v="2024"/>
    <s v="WARNING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x v="828"/>
    <n v="14216.94"/>
    <x v="825"/>
    <x v="3"/>
    <s v="Cancelled"/>
    <s v=""/>
    <s v=""/>
    <n v="-0.58747117266059101"/>
    <n v="25216.534"/>
    <n v="10999.593999999999"/>
    <n v="0.4362056260388521"/>
    <n v="1"/>
    <x v="4"/>
    <n v="2025"/>
    <s v="WARNING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x v="829"/>
    <n v="4511.1000000000004"/>
    <x v="826"/>
    <x v="0"/>
    <s v="Completed"/>
    <s v=""/>
    <s v=""/>
    <n v="-0.10880696539805437"/>
    <n v="6521.3820000000005"/>
    <n v="2010.2820000000002"/>
    <n v="0.30826012032418892"/>
    <n v="2"/>
    <x v="5"/>
    <n v="2024"/>
    <s v="CLEAN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x v="830"/>
    <n v="10068.94"/>
    <x v="827"/>
    <x v="0"/>
    <s v="Completed"/>
    <s v=""/>
    <s v=""/>
    <n v="-0.10880696539805437"/>
    <n v="12867.552000000001"/>
    <n v="2798.612000000001"/>
    <n v="0.21749373929089236"/>
    <n v="3"/>
    <x v="0"/>
    <n v="2025"/>
    <s v="CLEAN"/>
  </r>
  <r>
    <s v="ORD-2025-10832"/>
    <d v="2025-03-04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x v="831"/>
    <n v="15818.46"/>
    <x v="828"/>
    <x v="3"/>
    <s v="Returned"/>
    <s v=""/>
    <s v=""/>
    <n v="0.3698572418644821"/>
    <n v="26489.654999999999"/>
    <n v="10671.195"/>
    <n v="0.40284386489744772"/>
    <n v="30"/>
    <x v="9"/>
    <n v="2025"/>
    <s v="CLEAN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x v="832"/>
    <n v="25902.81"/>
    <x v="829"/>
    <x v="0"/>
    <s v="Completed"/>
    <s v=""/>
    <s v=""/>
    <n v="-0.58747117266059101"/>
    <n v="36782.271000000008"/>
    <n v="10879.461000000007"/>
    <n v="0.29578002402298664"/>
    <n v="2"/>
    <x v="3"/>
    <n v="2025"/>
    <s v="CLEAN"/>
  </r>
  <r>
    <s v="ORD-2024-10834"/>
    <d v="2024-06-04T00:00:00"/>
    <d v="2024-04-06T00:00:00"/>
    <s v="CUST-2689"/>
    <s v="Rahul Verma"/>
    <x v="3"/>
    <x v="1"/>
    <s v="West Bengal"/>
    <s v="Kolkata"/>
    <x v="1"/>
    <x v="10"/>
    <s v="Basic Bookcases 499"/>
    <x v="2"/>
    <n v="6"/>
    <n v="3949.4"/>
    <n v="0"/>
    <x v="833"/>
    <n v="18109.77"/>
    <x v="830"/>
    <x v="0"/>
    <s v="Completed"/>
    <s v=""/>
    <s v="Invalid Shipping Record"/>
    <n v="-1.0661353799231277"/>
    <n v="23696.400000000001"/>
    <n v="5586.630000000001"/>
    <n v="0.23575859624246723"/>
    <e v="#NUM!"/>
    <x v="10"/>
    <n v="2024"/>
    <s v="INVALID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x v="834"/>
    <n v="3078.93"/>
    <x v="831"/>
    <x v="0"/>
    <s v="Completed"/>
    <s v=""/>
    <s v=""/>
    <n v="-1.0661353799231277"/>
    <n v="4047.66"/>
    <n v="968.73"/>
    <n v="0.23933087265234729"/>
    <n v="4"/>
    <x v="4"/>
    <n v="2024"/>
    <s v="CLEAN"/>
  </r>
  <r>
    <s v="ORD-2025-10836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x v="835"/>
    <n v="5673.1"/>
    <x v="832"/>
    <x v="0"/>
    <s v="Completed"/>
    <s v=""/>
    <s v=""/>
    <n v="-0.58747117266059101"/>
    <n v="10038.773499999999"/>
    <n v="4365.673499999999"/>
    <n v="0.43488116352062323"/>
    <n v="8"/>
    <x v="6"/>
    <n v="2025"/>
    <s v="CLEAN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x v="836"/>
    <n v="850.86"/>
    <x v="833"/>
    <x v="0"/>
    <s v="Completed"/>
    <s v=""/>
    <s v=""/>
    <n v="-1.0661353799231277"/>
    <n v="1074.22"/>
    <n v="223.36"/>
    <n v="0.20792761259332354"/>
    <n v="3"/>
    <x v="7"/>
    <n v="2024"/>
    <s v="CLEAN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x v="837"/>
    <n v="6540.37"/>
    <x v="834"/>
    <x v="0"/>
    <s v="Completed"/>
    <s v=""/>
    <s v=""/>
    <n v="1.3271856563895552"/>
    <n v="9399.6674999999996"/>
    <n v="2859.2974999999997"/>
    <n v="0.30419134506619516"/>
    <n v="1"/>
    <x v="6"/>
    <n v="2025"/>
    <s v="CLEAN"/>
  </r>
  <r>
    <s v="ORD-2025-10839"/>
    <d v="2025-03-04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x v="838"/>
    <n v="834.02"/>
    <x v="835"/>
    <x v="0"/>
    <s v="Returned"/>
    <s v=""/>
    <s v=""/>
    <n v="-1.0661353799231277"/>
    <n v="1470.57"/>
    <n v="636.54999999999995"/>
    <n v="0.43285936745615644"/>
    <n v="34"/>
    <x v="9"/>
    <n v="2025"/>
    <s v="CLEAN"/>
  </r>
  <r>
    <s v="ORD-2024-10840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x v="839"/>
    <n v="2194.12"/>
    <x v="836"/>
    <x v="0"/>
    <s v="Completed"/>
    <s v=""/>
    <s v=""/>
    <n v="-0.10880696539805437"/>
    <n v="3826.2959999999998"/>
    <n v="1632.1759999999999"/>
    <n v="0.42656814841298218"/>
    <n v="2"/>
    <x v="6"/>
    <n v="2024"/>
    <s v="CLEAN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x v="840"/>
    <n v="4680.68"/>
    <x v="837"/>
    <x v="0"/>
    <s v="Completed"/>
    <s v=""/>
    <s v=""/>
    <n v="-1.0661353799231277"/>
    <n v="6336.44"/>
    <n v="1655.7599999999993"/>
    <n v="0.26130761121386764"/>
    <n v="0"/>
    <x v="6"/>
    <n v="2025"/>
    <s v="CLEAN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x v="841"/>
    <n v="16600.13"/>
    <x v="838"/>
    <x v="0"/>
    <s v="Completed"/>
    <s v=""/>
    <s v=""/>
    <n v="1.3271856563895552"/>
    <n v="21850.829999999998"/>
    <n v="5250.6999999999971"/>
    <n v="0.2402975081495759"/>
    <n v="6"/>
    <x v="5"/>
    <n v="2025"/>
    <s v="CLEAN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x v="842"/>
    <n v="5133.78"/>
    <x v="839"/>
    <x v="0"/>
    <s v="Returned"/>
    <s v=""/>
    <s v="Invalid Shipping Record"/>
    <n v="0.3698572418644821"/>
    <n v="7453.0719999999992"/>
    <n v="2319.2919999999995"/>
    <n v="0.31118604516365866"/>
    <e v="#NUM!"/>
    <x v="9"/>
    <n v="2024"/>
    <s v="INVALID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x v="843"/>
    <n v="23916.1"/>
    <x v="840"/>
    <x v="0"/>
    <s v="Completed"/>
    <s v="Invalid Discount"/>
    <s v=""/>
    <n v="-1.2576010628281422"/>
    <n v="36623.793600000005"/>
    <n v="12707.693600000006"/>
    <n v="0.34697917257812433"/>
    <n v="7"/>
    <x v="0"/>
    <n v="2025"/>
    <s v="INVALID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x v="844"/>
    <n v="2216.34"/>
    <x v="841"/>
    <x v="0"/>
    <s v="Completed"/>
    <s v=""/>
    <s v=""/>
    <n v="-1.0661353799231277"/>
    <n v="3515.15"/>
    <n v="1298.81"/>
    <n v="0.36948921098672882"/>
    <n v="5"/>
    <x v="8"/>
    <n v="2025"/>
    <s v="CLEAN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x v="845"/>
    <n v="17157.580000000002"/>
    <x v="842"/>
    <x v="2"/>
    <s v="Returned"/>
    <s v=""/>
    <s v=""/>
    <n v="1.3271856563895552"/>
    <n v="24409.552499999998"/>
    <n v="7251.9724999999962"/>
    <n v="0.29709567596538267"/>
    <n v="4"/>
    <x v="5"/>
    <n v="2024"/>
    <s v="CLEAN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x v="846"/>
    <n v="5580.68"/>
    <x v="843"/>
    <x v="2"/>
    <s v="Returned"/>
    <s v=""/>
    <s v=""/>
    <n v="-1.0661353799231277"/>
    <n v="7955.04"/>
    <n v="2374.3599999999997"/>
    <n v="0.29847241497214339"/>
    <n v="8"/>
    <x v="11"/>
    <n v="2024"/>
    <s v="CLEAN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x v="847"/>
    <n v="242.19"/>
    <x v="844"/>
    <x v="0"/>
    <s v="Completed"/>
    <s v=""/>
    <s v=""/>
    <n v="0.84852144912701888"/>
    <n v="336.12800000000004"/>
    <n v="93.938000000000045"/>
    <n v="0.27947091584158423"/>
    <n v="2"/>
    <x v="3"/>
    <n v="2025"/>
    <s v="CLEAN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x v="848"/>
    <n v="1083.56"/>
    <x v="845"/>
    <x v="0"/>
    <s v="Completed"/>
    <s v=""/>
    <s v=""/>
    <n v="1.3271856563895552"/>
    <n v="1308.2624999999998"/>
    <n v="224.70249999999987"/>
    <n v="0.17175643267310645"/>
    <n v="2"/>
    <x v="3"/>
    <n v="2025"/>
    <s v="CLEAN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x v="849"/>
    <n v="898.73"/>
    <x v="846"/>
    <x v="0"/>
    <s v="Completed"/>
    <s v=""/>
    <s v=""/>
    <n v="0.84852144912701888"/>
    <n v="1631.1120000000001"/>
    <n v="732.38200000000006"/>
    <n v="0.44900779345624336"/>
    <n v="6"/>
    <x v="9"/>
    <n v="2024"/>
    <s v="CLEAN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x v="850"/>
    <n v="6216.89"/>
    <x v="847"/>
    <x v="0"/>
    <s v="Completed"/>
    <s v=""/>
    <s v=""/>
    <n v="-1.0661353799231277"/>
    <n v="7266.0599999999995"/>
    <n v="1049.1699999999992"/>
    <n v="0.14439324750965438"/>
    <n v="3"/>
    <x v="10"/>
    <n v="2024"/>
    <s v="CLEAN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x v="851"/>
    <n v="1590.75"/>
    <x v="848"/>
    <x v="0"/>
    <s v="Completed"/>
    <s v=""/>
    <s v=""/>
    <n v="0.84852144912701888"/>
    <n v="1858.08"/>
    <n v="267.32999999999993"/>
    <n v="0.14387432188065097"/>
    <n v="6"/>
    <x v="9"/>
    <n v="2024"/>
    <s v="CLEAN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x v="852"/>
    <n v="15544.44"/>
    <x v="849"/>
    <x v="2"/>
    <s v="Cancelled"/>
    <s v=""/>
    <s v=""/>
    <n v="0.3698572418644821"/>
    <n v="25021.832500000004"/>
    <n v="9477.3925000000036"/>
    <n v="0.37876492459135447"/>
    <n v="7"/>
    <x v="11"/>
    <n v="2024"/>
    <s v="WARNING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x v="853"/>
    <n v="3115.29"/>
    <x v="850"/>
    <x v="0"/>
    <s v="Completed"/>
    <s v=""/>
    <s v=""/>
    <n v="0.84852144912701888"/>
    <n v="3710.72"/>
    <n v="595.42999999999984"/>
    <n v="0.16046212055881334"/>
    <n v="6"/>
    <x v="3"/>
    <n v="2025"/>
    <s v="CLEAN"/>
  </r>
  <r>
    <s v="ORD-2025-10855"/>
    <d v="2025-03-25T00:00:00"/>
    <d v="2025-02-04T00:00:00"/>
    <s v="CUST-2514"/>
    <s v="Priya Menon"/>
    <x v="0"/>
    <x v="2"/>
    <s v="Karnataka"/>
    <s v="Bengaluru"/>
    <x v="1"/>
    <x v="10"/>
    <s v="Max Bookcases 381"/>
    <x v="0"/>
    <n v="4"/>
    <n v="2233.64"/>
    <n v="0.05"/>
    <x v="854"/>
    <n v="5245.72"/>
    <x v="851"/>
    <x v="0"/>
    <s v="Completed"/>
    <s v=""/>
    <s v="Invalid Shipping Record"/>
    <n v="-0.58747117266059101"/>
    <n v="8487.8319999999985"/>
    <n v="3242.1119999999983"/>
    <n v="0.38197174496384928"/>
    <e v="#NUM!"/>
    <x v="9"/>
    <n v="2025"/>
    <s v="INVALID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x v="855"/>
    <n v="2101.0300000000002"/>
    <x v="852"/>
    <x v="0"/>
    <s v="Completed"/>
    <s v=""/>
    <s v=""/>
    <n v="1.3271856563895552"/>
    <n v="3110.2950000000001"/>
    <n v="1009.2649999999999"/>
    <n v="0.32449172827657824"/>
    <n v="8"/>
    <x v="0"/>
    <n v="2024"/>
    <s v="CLEAN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x v="856"/>
    <n v="966.55"/>
    <x v="853"/>
    <x v="3"/>
    <s v="Cancelled"/>
    <s v="Invalid Discount"/>
    <s v=""/>
    <n v="-2.5978608431632444"/>
    <n v="1833.2639999999999"/>
    <n v="866.71399999999994"/>
    <n v="0.47277097024760206"/>
    <n v="7"/>
    <x v="10"/>
    <n v="2024"/>
    <s v="INVALID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x v="857"/>
    <n v="10176.99"/>
    <x v="854"/>
    <x v="0"/>
    <s v="Completed"/>
    <s v=""/>
    <s v=""/>
    <n v="1.3271856563895552"/>
    <n v="12190.365"/>
    <n v="2013.375"/>
    <n v="0.16516117441930575"/>
    <n v="0"/>
    <x v="10"/>
    <n v="2024"/>
    <s v="CLEAN"/>
  </r>
  <r>
    <s v="ORD-2024-10859"/>
    <d v="2024-02-05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x v="858"/>
    <n v="7184.32"/>
    <x v="855"/>
    <x v="0"/>
    <s v="Completed"/>
    <s v=""/>
    <s v=""/>
    <n v="-1.0661353799231277"/>
    <n v="11619.44"/>
    <n v="4435.1200000000008"/>
    <n v="0.3816982574031107"/>
    <n v="94"/>
    <x v="5"/>
    <n v="2024"/>
    <s v="CLEAN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x v="859"/>
    <n v="16282.74"/>
    <x v="856"/>
    <x v="0"/>
    <s v="Completed"/>
    <s v=""/>
    <s v=""/>
    <n v="-0.58747117266059101"/>
    <n v="25075.439999999995"/>
    <n v="8792.6999999999953"/>
    <n v="0.35064987892535471"/>
    <n v="5"/>
    <x v="4"/>
    <n v="2024"/>
    <s v="CLEAN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x v="860"/>
    <n v="2299.5"/>
    <x v="857"/>
    <x v="0"/>
    <s v="Completed"/>
    <s v=""/>
    <s v=""/>
    <n v="-0.58747117266059101"/>
    <n v="4177.4539999999997"/>
    <n v="1877.9539999999997"/>
    <n v="0.44954510570313877"/>
    <n v="2"/>
    <x v="5"/>
    <n v="2024"/>
    <s v="CLEAN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x v="861"/>
    <n v="6231.41"/>
    <x v="858"/>
    <x v="0"/>
    <s v="Completed"/>
    <s v=""/>
    <s v=""/>
    <n v="0.84852144912701888"/>
    <n v="10898.175999999999"/>
    <n v="4666.7659999999996"/>
    <n v="0.42821532704188298"/>
    <n v="1"/>
    <x v="9"/>
    <n v="2025"/>
    <s v="CLEAN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x v="862"/>
    <n v="4797.88"/>
    <x v="859"/>
    <x v="0"/>
    <s v="Cancelled"/>
    <s v=""/>
    <s v=""/>
    <n v="-1.0661353799231277"/>
    <n v="6975.7000000000007"/>
    <n v="2177.8200000000006"/>
    <n v="0.3122009260719355"/>
    <n v="5"/>
    <x v="9"/>
    <n v="2025"/>
    <s v="WARNING"/>
  </r>
  <r>
    <s v="ORD-2025-10864"/>
    <d v="2025-06-09T00:00:00"/>
    <d v="2025-08-09T00:00:00"/>
    <s v="CUST-2200"/>
    <s v="Aarav Sharma"/>
    <x v="3"/>
    <x v="3"/>
    <s v="Madhya Pradesh"/>
    <s v="Indore"/>
    <x v="1"/>
    <x v="3"/>
    <s v="Prime Furnishings 679"/>
    <x v="1"/>
    <n v="3"/>
    <n v="2937.23"/>
    <n v="0"/>
    <x v="863"/>
    <n v="6765.91"/>
    <x v="860"/>
    <x v="0"/>
    <s v="Completed"/>
    <s v=""/>
    <s v=""/>
    <n v="-1.0661353799231277"/>
    <n v="8811.69"/>
    <n v="2045.7800000000007"/>
    <n v="0.23216658779416893"/>
    <n v="61"/>
    <x v="10"/>
    <n v="2025"/>
    <s v="CLEAN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x v="864"/>
    <n v="14631.36"/>
    <x v="861"/>
    <x v="0"/>
    <s v="Completed"/>
    <s v=""/>
    <s v=""/>
    <n v="-1.0661353799231277"/>
    <n v="17034.349999999999"/>
    <n v="2402.989999999998"/>
    <n v="0.14106731398615141"/>
    <n v="3"/>
    <x v="6"/>
    <n v="2025"/>
    <s v="CLEAN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x v="865"/>
    <n v="5658.05"/>
    <x v="862"/>
    <x v="0"/>
    <s v="Completed"/>
    <s v=""/>
    <s v=""/>
    <n v="-1.0661353799231277"/>
    <n v="7984.08"/>
    <n v="2326.0299999999997"/>
    <n v="0.29133350367230787"/>
    <n v="8"/>
    <x v="5"/>
    <n v="2025"/>
    <s v="CLEAN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x v="866"/>
    <n v="16367.78"/>
    <x v="863"/>
    <x v="2"/>
    <s v="Cancelled"/>
    <s v=""/>
    <s v=""/>
    <n v="0.84852144912701888"/>
    <n v="21912.263999999999"/>
    <n v="5544.4839999999986"/>
    <n v="0.25303108797885965"/>
    <n v="8"/>
    <x v="5"/>
    <n v="2025"/>
    <s v="WARNING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x v="867"/>
    <n v="3871.69"/>
    <x v="864"/>
    <x v="3"/>
    <s v="Cancelled"/>
    <s v=""/>
    <s v=""/>
    <n v="1.3271856563895552"/>
    <n v="4695.7049999999999"/>
    <n v="824.01499999999987"/>
    <n v="0.17548270174553127"/>
    <n v="1"/>
    <x v="2"/>
    <n v="2024"/>
    <s v="WARNING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x v="868"/>
    <n v="1093.6600000000001"/>
    <x v="865"/>
    <x v="0"/>
    <s v="Completed"/>
    <s v=""/>
    <s v=""/>
    <n v="-0.58747117266059101"/>
    <n v="1923.2369999999999"/>
    <n v="829.57699999999977"/>
    <n v="0.43134413491420964"/>
    <n v="4"/>
    <x v="11"/>
    <n v="2025"/>
    <s v="CLEAN"/>
  </r>
  <r>
    <s v="ORD-2025-10870"/>
    <d v="2025-06-03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x v="869"/>
    <n v="2374.4"/>
    <x v="866"/>
    <x v="0"/>
    <s v="Completed"/>
    <s v=""/>
    <s v="Invalid Shipping Record"/>
    <n v="-0.10880696539805437"/>
    <n v="4301.91"/>
    <n v="1927.5099999999998"/>
    <n v="0.44805911792668834"/>
    <e v="#NUM!"/>
    <x v="10"/>
    <n v="2025"/>
    <s v="INVALID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x v="870"/>
    <n v="17454.669999999998"/>
    <x v="867"/>
    <x v="0"/>
    <s v="Cancelled"/>
    <s v=""/>
    <s v=""/>
    <n v="0.3698572418644821"/>
    <n v="22436.838"/>
    <n v="4982.1680000000015"/>
    <n v="0.22205303617203109"/>
    <n v="1"/>
    <x v="10"/>
    <n v="2025"/>
    <s v="WARNING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x v="871"/>
    <n v="12458.62"/>
    <x v="868"/>
    <x v="1"/>
    <s v="Cancelled"/>
    <s v=""/>
    <s v=""/>
    <n v="-1.0661353799231277"/>
    <n v="19676.07"/>
    <n v="7217.4499999999989"/>
    <n v="0.36681359641432454"/>
    <n v="2"/>
    <x v="5"/>
    <n v="2024"/>
    <s v="WARNING"/>
  </r>
  <r>
    <s v="ORD-2024-10873"/>
    <d v="2024-01-1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x v="872"/>
    <n v="5691.56"/>
    <x v="869"/>
    <x v="0"/>
    <s v="Completed"/>
    <s v=""/>
    <s v=""/>
    <n v="0.84852144912701888"/>
    <n v="8848.08"/>
    <n v="3156.5199999999995"/>
    <n v="0.35674632236598219"/>
    <n v="296"/>
    <x v="8"/>
    <n v="2024"/>
    <s v="CLEAN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x v="873"/>
    <n v="2633.78"/>
    <x v="870"/>
    <x v="0"/>
    <s v="Completed"/>
    <s v=""/>
    <s v=""/>
    <n v="-0.10880696539805437"/>
    <n v="4487.8319999999994"/>
    <n v="1854.0519999999992"/>
    <n v="0.41312865543986482"/>
    <n v="7"/>
    <x v="5"/>
    <n v="2025"/>
    <s v="CLEAN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x v="874"/>
    <n v="20710.18"/>
    <x v="871"/>
    <x v="0"/>
    <s v="Completed"/>
    <s v=""/>
    <s v=""/>
    <n v="-0.58747117266059101"/>
    <n v="29829.088"/>
    <n v="9118.9079999999994"/>
    <n v="0.30570522303598419"/>
    <n v="1"/>
    <x v="0"/>
    <n v="2025"/>
    <s v="CLEAN"/>
  </r>
  <r>
    <s v="ORD-2024-10876"/>
    <d v="2024-08-10T00:00:00"/>
    <d v="2024-11-08T00:00:00"/>
    <s v="CUST-6928"/>
    <s v="Mira Das"/>
    <x v="2"/>
    <x v="3"/>
    <s v="Maharashtra"/>
    <s v="Mumbai"/>
    <x v="2"/>
    <x v="6"/>
    <s v="Elite Copiers 752"/>
    <x v="2"/>
    <n v="7"/>
    <n v="3852.62"/>
    <n v="0.2"/>
    <x v="875"/>
    <n v="14672.83"/>
    <x v="872"/>
    <x v="0"/>
    <s v="Completed"/>
    <s v=""/>
    <s v=""/>
    <n v="0.84852144912701888"/>
    <n v="21574.672000000002"/>
    <n v="6901.8420000000024"/>
    <n v="0.31990484026825539"/>
    <n v="90"/>
    <x v="1"/>
    <n v="2024"/>
    <s v="CLEAN"/>
  </r>
  <r>
    <s v="ORD-2024-10877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x v="876"/>
    <n v="16388.57"/>
    <x v="873"/>
    <x v="0"/>
    <s v="Completed"/>
    <s v=""/>
    <s v=""/>
    <n v="-1.0661353799231277"/>
    <n v="22741.32"/>
    <n v="6352.75"/>
    <n v="0.27934834037777928"/>
    <n v="2"/>
    <x v="2"/>
    <n v="2024"/>
    <s v="CLEAN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x v="877"/>
    <n v="2690.37"/>
    <x v="874"/>
    <x v="0"/>
    <s v="Completed"/>
    <s v=""/>
    <s v=""/>
    <n v="-0.10880696539805437"/>
    <n v="3641.5439999999999"/>
    <n v="951.17399999999998"/>
    <n v="0.26120074342092253"/>
    <n v="8"/>
    <x v="1"/>
    <n v="2025"/>
    <s v="CLEAN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x v="878"/>
    <n v="9322.36"/>
    <x v="875"/>
    <x v="0"/>
    <s v="Completed"/>
    <s v=""/>
    <s v=""/>
    <n v="-0.58747117266059101"/>
    <n v="11834.796"/>
    <n v="2512.4359999999997"/>
    <n v="0.21229229468763125"/>
    <n v="0"/>
    <x v="8"/>
    <n v="2024"/>
    <s v="CLEAN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x v="879"/>
    <n v="4433.63"/>
    <x v="876"/>
    <x v="0"/>
    <s v="Completed"/>
    <s v=""/>
    <s v=""/>
    <n v="0.3698572418644821"/>
    <n v="6028.3530000000001"/>
    <n v="1594.723"/>
    <n v="0.26453709661660491"/>
    <n v="1"/>
    <x v="1"/>
    <n v="2025"/>
    <s v="CLEAN"/>
  </r>
  <r>
    <s v="ORD-2024-10881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x v="880"/>
    <n v="13636.34"/>
    <x v="877"/>
    <x v="0"/>
    <s v="Completed"/>
    <s v=""/>
    <s v=""/>
    <n v="-1.0661353799231277"/>
    <n v="16173.85"/>
    <n v="2537.5100000000002"/>
    <n v="0.15688967067210344"/>
    <n v="7"/>
    <x v="9"/>
    <n v="2024"/>
    <s v="CLEAN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x v="881"/>
    <n v="17592.689999999999"/>
    <x v="878"/>
    <x v="0"/>
    <s v="Completed"/>
    <s v=""/>
    <s v=""/>
    <n v="1.3271856563895552"/>
    <n v="25155.5625"/>
    <n v="7562.8725000000013"/>
    <n v="0.30064414182747856"/>
    <n v="4"/>
    <x v="7"/>
    <n v="2024"/>
    <s v="CLEAN"/>
  </r>
  <r>
    <s v="ORD-2025-10883"/>
    <d v="2025-02-02T00:00:00"/>
    <d v="2025-10-02T00:00:00"/>
    <s v="CUST-4983"/>
    <s v="Sneha Kapoor"/>
    <x v="2"/>
    <x v="1"/>
    <s v="Bihar"/>
    <s v="Patna"/>
    <x v="2"/>
    <x v="5"/>
    <s v="Basic Accessories 607"/>
    <x v="3"/>
    <n v="4"/>
    <n v="1912.45"/>
    <n v="0"/>
    <x v="882"/>
    <n v="4894.53"/>
    <x v="879"/>
    <x v="2"/>
    <s v="Returned"/>
    <s v=""/>
    <s v=""/>
    <n v="-1.0661353799231277"/>
    <n v="7649.8"/>
    <n v="2755.2700000000004"/>
    <n v="0.36017542942299152"/>
    <n v="242"/>
    <x v="5"/>
    <n v="2025"/>
    <s v="CLEAN"/>
  </r>
  <r>
    <s v="ORD-2025-10884"/>
    <d v="2025-04-28T00:00:00"/>
    <d v="2025-01-05T00:00:00"/>
    <s v="CUST-2597"/>
    <s v="Aarav Sharma"/>
    <x v="1"/>
    <x v="3"/>
    <s v="Goa"/>
    <s v="Panaji"/>
    <x v="0"/>
    <x v="8"/>
    <s v="Classic Storage 211"/>
    <x v="1"/>
    <n v="1"/>
    <n v="1620.87"/>
    <n v="0"/>
    <x v="883"/>
    <n v="1103.6099999999999"/>
    <x v="880"/>
    <x v="0"/>
    <s v="Completed"/>
    <s v=""/>
    <s v="Invalid Shipping Record"/>
    <n v="-1.0661353799231277"/>
    <n v="1620.87"/>
    <n v="517.26"/>
    <n v="0.31912491439782342"/>
    <e v="#NUM!"/>
    <x v="11"/>
    <n v="2025"/>
    <s v="INVALID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x v="884"/>
    <n v="2411.8000000000002"/>
    <x v="881"/>
    <x v="0"/>
    <s v="Completed"/>
    <s v=""/>
    <s v=""/>
    <n v="0.3698572418644821"/>
    <n v="3567.518"/>
    <n v="1155.7179999999998"/>
    <n v="0.32395575859743381"/>
    <n v="7"/>
    <x v="8"/>
    <n v="2025"/>
    <s v="CLEAN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x v="885"/>
    <n v="1157.8900000000001"/>
    <x v="882"/>
    <x v="0"/>
    <s v="Completed"/>
    <s v=""/>
    <s v=""/>
    <n v="1.3271856563895552"/>
    <n v="1625.31"/>
    <n v="467.41999999999985"/>
    <n v="0.28758821394072509"/>
    <n v="0"/>
    <x v="8"/>
    <n v="2024"/>
    <s v="CLEAN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x v="886"/>
    <n v="17716.52"/>
    <x v="883"/>
    <x v="0"/>
    <s v="Cancelled"/>
    <s v=""/>
    <s v=""/>
    <n v="0.3698572418644821"/>
    <n v="23739.904999999999"/>
    <n v="6023.3849999999984"/>
    <n v="0.25372405660427028"/>
    <n v="7"/>
    <x v="11"/>
    <n v="2025"/>
    <s v="WARNING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x v="887"/>
    <n v="10158.280000000001"/>
    <x v="884"/>
    <x v="0"/>
    <s v="Completed"/>
    <s v=""/>
    <s v=""/>
    <n v="-1.0661353799231277"/>
    <n v="16704.52"/>
    <n v="6546.24"/>
    <n v="0.39188435225914897"/>
    <n v="6"/>
    <x v="10"/>
    <n v="2024"/>
    <s v="CLEAN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x v="888"/>
    <n v="10779.56"/>
    <x v="885"/>
    <x v="1"/>
    <s v="Cancelled"/>
    <s v=""/>
    <s v=""/>
    <n v="-0.10880696539805437"/>
    <n v="12685.103999999999"/>
    <n v="1905.5439999999999"/>
    <n v="0.15021902855506741"/>
    <n v="1"/>
    <x v="1"/>
    <n v="2025"/>
    <s v="WARNING"/>
  </r>
  <r>
    <s v="ORD-2025-10890"/>
    <d v="2025-03-10T00:00:00"/>
    <d v="2025-11-03T00:00:00"/>
    <s v="CUST-8467"/>
    <s v="Aditi Sen"/>
    <x v="3"/>
    <x v="3"/>
    <s v="Madhya Pradesh"/>
    <s v="Indore"/>
    <x v="0"/>
    <x v="8"/>
    <s v="Prime Storage 806"/>
    <x v="2"/>
    <n v="2"/>
    <n v="3922.08"/>
    <n v="0.25"/>
    <x v="889"/>
    <n v="4647.91"/>
    <x v="886"/>
    <x v="0"/>
    <s v="Returned"/>
    <s v=""/>
    <s v=""/>
    <n v="1.3271856563895552"/>
    <n v="5883.12"/>
    <n v="1235.21"/>
    <n v="0.20995832143488491"/>
    <n v="238"/>
    <x v="9"/>
    <n v="2025"/>
    <s v="CLEAN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x v="890"/>
    <n v="11646.12"/>
    <x v="887"/>
    <x v="0"/>
    <s v="Completed"/>
    <s v=""/>
    <s v=""/>
    <n v="0.84852144912701888"/>
    <n v="13965.888000000001"/>
    <n v="2319.768"/>
    <n v="0.16610243473239938"/>
    <n v="6"/>
    <x v="3"/>
    <n v="2024"/>
    <s v="CLEAN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x v="891"/>
    <n v="6419.92"/>
    <x v="888"/>
    <x v="3"/>
    <s v="Cancelled"/>
    <s v=""/>
    <s v=""/>
    <n v="-0.10880696539805437"/>
    <n v="10835.865"/>
    <n v="4415.9449999999997"/>
    <n v="0.40753045557507406"/>
    <n v="1"/>
    <x v="4"/>
    <n v="2024"/>
    <s v="WARNING"/>
  </r>
  <r>
    <s v="ORD-2025-10893"/>
    <d v="2025-12-04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x v="892"/>
    <n v="423.86"/>
    <x v="889"/>
    <x v="0"/>
    <s v="Completed"/>
    <s v=""/>
    <s v="Invalid Shipping Record"/>
    <n v="0.84852144912701888"/>
    <n v="581.51200000000006"/>
    <n v="157.65200000000004"/>
    <n v="0.27110704508247468"/>
    <e v="#NUM!"/>
    <x v="7"/>
    <n v="2025"/>
    <s v="INVALID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x v="893"/>
    <n v="845.62"/>
    <x v="890"/>
    <x v="0"/>
    <s v="Returned"/>
    <s v=""/>
    <s v=""/>
    <n v="-0.58747117266059101"/>
    <n v="1127.1465000000001"/>
    <n v="281.52650000000006"/>
    <n v="0.24976921810962466"/>
    <n v="2"/>
    <x v="10"/>
    <n v="2024"/>
    <s v="CLEAN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x v="894"/>
    <n v="16711.93"/>
    <x v="891"/>
    <x v="0"/>
    <s v="Completed"/>
    <s v=""/>
    <s v=""/>
    <n v="-1.0661353799231277"/>
    <n v="25524.300000000003"/>
    <n v="8812.3700000000026"/>
    <n v="0.34525413037771857"/>
    <n v="7"/>
    <x v="5"/>
    <n v="2024"/>
    <s v="CLEAN"/>
  </r>
  <r>
    <s v="ORD-2024-10896"/>
    <d v="2024-11-05T00:00:00"/>
    <d v="2024-10-11T00:00:00"/>
    <s v="CUST-4117"/>
    <s v="Arjun Bose"/>
    <x v="0"/>
    <x v="2"/>
    <s v="Kerala"/>
    <s v="Kochi"/>
    <x v="1"/>
    <x v="4"/>
    <s v="Basic Chairs 212"/>
    <x v="1"/>
    <n v="4"/>
    <n v="711.18"/>
    <n v="0.15"/>
    <x v="895"/>
    <n v="1441.89"/>
    <x v="892"/>
    <x v="2"/>
    <s v="Returned"/>
    <s v=""/>
    <s v="Invalid Shipping Record"/>
    <n v="0.3698572418644821"/>
    <n v="2418.0119999999997"/>
    <n v="976.12199999999962"/>
    <n v="0.40368782288921634"/>
    <e v="#NUM!"/>
    <x v="2"/>
    <n v="2024"/>
    <s v="INVALID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x v="896"/>
    <n v="2828.06"/>
    <x v="893"/>
    <x v="3"/>
    <s v="Returned"/>
    <s v=""/>
    <s v=""/>
    <n v="-0.58747117266059101"/>
    <n v="3508.3784999999998"/>
    <n v="680.31849999999986"/>
    <n v="0.19391251542557336"/>
    <n v="1"/>
    <x v="7"/>
    <n v="2024"/>
    <s v="CLEAN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x v="897"/>
    <n v="5626.43"/>
    <x v="894"/>
    <x v="0"/>
    <s v="Completed"/>
    <s v=""/>
    <s v=""/>
    <n v="-0.58747117266059101"/>
    <n v="6789.27"/>
    <n v="1162.8400000000001"/>
    <n v="0.17127614603631908"/>
    <n v="4"/>
    <x v="11"/>
    <n v="2025"/>
    <s v="CLEAN"/>
  </r>
  <r>
    <s v="ORD-2024-10899"/>
    <d v="2024-06-02T00:00:00"/>
    <d v="2024-08-06T00:00:00"/>
    <s v="CUST-6046"/>
    <s v="Vikram Iyer"/>
    <x v="0"/>
    <x v="0"/>
    <s v="Delhi"/>
    <s v="New Delhi"/>
    <x v="1"/>
    <x v="1"/>
    <s v="Classic Tables 535"/>
    <x v="2"/>
    <n v="4"/>
    <n v="1536.7"/>
    <n v="0.2"/>
    <x v="898"/>
    <n v="3846.77"/>
    <x v="895"/>
    <x v="0"/>
    <s v="Completed"/>
    <s v=""/>
    <s v=""/>
    <n v="0.84852144912701888"/>
    <n v="4917.4400000000005"/>
    <n v="1070.6700000000005"/>
    <n v="0.21772914361944434"/>
    <n v="65"/>
    <x v="10"/>
    <n v="2024"/>
    <s v="CLEAN"/>
  </r>
  <r>
    <s v="ORD-2025-10900"/>
    <d v="2025-05-27T00:00:00"/>
    <d v="2025-03-06T00:00:00"/>
    <s v="CUST-3789"/>
    <s v="Karan Malhotra"/>
    <x v="0"/>
    <x v="0"/>
    <s v="Punjab"/>
    <s v="Ludhiana"/>
    <x v="1"/>
    <x v="4"/>
    <s v="Elite Chairs 971"/>
    <x v="2"/>
    <n v="5"/>
    <n v="881.08"/>
    <n v="0.25"/>
    <x v="899"/>
    <n v="2279.41"/>
    <x v="896"/>
    <x v="3"/>
    <s v="Cancelled"/>
    <s v=""/>
    <s v="Invalid Shipping Record"/>
    <n v="1.3271856563895552"/>
    <n v="3304.05"/>
    <n v="1024.6400000000003"/>
    <n v="0.31011637233092726"/>
    <e v="#NUM!"/>
    <x v="3"/>
    <n v="2025"/>
    <s v="INVALID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x v="900"/>
    <n v="6477.37"/>
    <x v="330"/>
    <x v="0"/>
    <s v="Completed"/>
    <s v=""/>
    <s v=""/>
    <n v="-1.0661353799231277"/>
    <n v="10742.64"/>
    <n v="4265.2699999999995"/>
    <n v="0.39704113700170535"/>
    <n v="2"/>
    <x v="7"/>
    <n v="2024"/>
    <s v="CLEAN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x v="901"/>
    <n v="5586.28"/>
    <x v="90"/>
    <x v="0"/>
    <s v="Returned"/>
    <s v=""/>
    <s v=""/>
    <n v="0.3698572418644821"/>
    <n v="9445.098"/>
    <n v="3858.8180000000002"/>
    <n v="0.40855245758170006"/>
    <n v="5"/>
    <x v="1"/>
    <n v="2025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x v="902"/>
    <n v="8595.3700000000008"/>
    <x v="372"/>
    <x v="0"/>
    <s v="Returned"/>
    <s v=""/>
    <s v=""/>
    <n v="-1.0661353799231277"/>
    <n v="10068.120000000001"/>
    <n v="1472.75"/>
    <n v="0.14627855051389932"/>
    <n v="0"/>
    <x v="11"/>
    <n v="2025"/>
    <s v="CLEAN"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x v="903"/>
    <n v="6682.92"/>
    <x v="224"/>
    <x v="0"/>
    <s v="Returned"/>
    <s v=""/>
    <s v=""/>
    <n v="1.3271856563895552"/>
    <n v="11833.92"/>
    <n v="5151"/>
    <n v="0.43527419485681834"/>
    <n v="240"/>
    <x v="5"/>
    <n v="2025"/>
    <s v="CLEAN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x v="904"/>
    <n v="5376.17"/>
    <x v="313"/>
    <x v="3"/>
    <s v="Completed"/>
    <s v=""/>
    <s v=""/>
    <n v="0.3698572418644821"/>
    <n v="6485.3639999999996"/>
    <n v="1109.1939999999995"/>
    <n v="0.17103033846673826"/>
    <n v="2"/>
    <x v="3"/>
    <n v="2025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x v="905"/>
    <n v="3930"/>
    <x v="170"/>
    <x v="0"/>
    <s v="Returned"/>
    <s v=""/>
    <s v=""/>
    <n v="-1.0661353799231277"/>
    <n v="5133.96"/>
    <n v="1203.96"/>
    <n v="0.23450903396208775"/>
    <n v="8"/>
    <x v="6"/>
    <n v="2025"/>
    <s v="CLEAN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x v="906"/>
    <n v="17940.43"/>
    <x v="422"/>
    <x v="0"/>
    <s v="Returned"/>
    <s v=""/>
    <s v=""/>
    <n v="0.84852144912701888"/>
    <n v="27211.032000000003"/>
    <n v="9270.6020000000026"/>
    <n v="0.34069277490100347"/>
    <n v="7"/>
    <x v="5"/>
    <n v="2024"/>
    <s v="CLEAN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x v="907"/>
    <n v="13240.21"/>
    <x v="570"/>
    <x v="3"/>
    <s v="Completed"/>
    <s v=""/>
    <s v=""/>
    <n v="-1.0661353799231277"/>
    <n v="21381.45"/>
    <n v="8141.2400000000016"/>
    <n v="0.38076182859441249"/>
    <n v="4"/>
    <x v="5"/>
    <n v="2025"/>
    <s v="CLEAN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x v="908"/>
    <n v="2769.26"/>
    <x v="142"/>
    <x v="0"/>
    <s v="Returned"/>
    <s v=""/>
    <s v="Invalid Shipping Record"/>
    <n v="0.3698572418644821"/>
    <n v="3857.0449999999996"/>
    <n v="1087.7849999999994"/>
    <n v="0.28202548842442843"/>
    <e v="#NUM!"/>
    <x v="9"/>
    <n v="2024"/>
    <s v="INVALID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x v="909"/>
    <n v="2191.5"/>
    <x v="271"/>
    <x v="0"/>
    <s v="Returned"/>
    <s v=""/>
    <s v=""/>
    <n v="-0.10880696539805437"/>
    <n v="3510.4230000000002"/>
    <n v="1318.9230000000002"/>
    <n v="0.37571625983535323"/>
    <n v="6"/>
    <x v="1"/>
    <n v="2024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x v="910"/>
    <n v="453.35"/>
    <x v="123"/>
    <x v="1"/>
    <s v="Returned"/>
    <s v=""/>
    <s v=""/>
    <n v="-1.0661353799231277"/>
    <n v="634.13"/>
    <n v="180.77999999999997"/>
    <n v="0.28508350022865969"/>
    <n v="1"/>
    <x v="3"/>
    <n v="2024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x v="911"/>
    <n v="6829.43"/>
    <x v="334"/>
    <x v="0"/>
    <s v="Returned"/>
    <s v=""/>
    <s v=""/>
    <n v="-0.10880696539805437"/>
    <n v="11581.299000000001"/>
    <n v="4751.8690000000006"/>
    <n v="0.41030535521101735"/>
    <n v="2"/>
    <x v="10"/>
    <n v="2025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  <r>
    <m/>
    <m/>
    <m/>
    <m/>
    <m/>
    <x v="4"/>
    <x v="4"/>
    <m/>
    <m/>
    <x v="3"/>
    <x v="13"/>
    <m/>
    <x v="4"/>
    <m/>
    <m/>
    <m/>
    <x v="912"/>
    <m/>
    <x v="897"/>
    <x v="4"/>
    <m/>
    <s v=""/>
    <s v=""/>
    <n v="-1.0661353799231277"/>
    <n v="0"/>
    <n v="0"/>
    <n v="0"/>
    <n v="0"/>
    <x v="8"/>
    <n v="1900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50042-18ED-4D7B-A166-C46A62CA4C4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dataField="1"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76E62-4080-4BF0-90C3-30DE9BEEF78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0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showAll="0"/>
    <pivotField dataField="1"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dataField="1"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>
      <x v="3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0F932-23E5-4098-8BE9-737DF4927D9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389EF-7A9F-41A6-A541-D7504CEFEE98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31"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 margin" fld="26" subtotal="average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D00D3-9428-498E-AD51-9268052B0780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31"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1"/>
        <item x="4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axis="axisRow" dataField="1" multipleItemSelectionAllowed="1" showAll="0">
      <items count="6">
        <item x="3"/>
        <item h="1" x="0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9"/>
  </rowFields>
  <rowItems count="21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2"/>
    </i>
    <i r="1">
      <x v="3"/>
    </i>
    <i t="grand">
      <x/>
    </i>
  </rowItems>
  <colItems count="1">
    <i/>
  </colItems>
  <dataFields count="1">
    <dataField name="Count of payment_statu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43602-8044-4BC9-9985-F8D687E719AE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31"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1"/>
        <item x="4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dataField="1"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multipleItemSelectionAllowed="1" showAll="0">
      <items count="6">
        <item x="3"/>
        <item h="1" x="0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81397-C640-4C76-91F2-E53F837A3258}" name="Table1" displayName="Table1" ref="A3:AE228" totalsRowShown="0">
  <autoFilter ref="A3:AE228" xr:uid="{28D81397-C640-4C76-91F2-E53F837A3258}"/>
  <tableColumns count="31">
    <tableColumn id="1" xr3:uid="{E940405E-A0CE-48E4-AECE-66073B111E86}" name="order_id"/>
    <tableColumn id="2" xr3:uid="{2BB4C783-FBF6-4261-A289-0081C5B4CD9B}" name="order_date" dataDxfId="1"/>
    <tableColumn id="3" xr3:uid="{F2A2C874-166C-4A50-8457-7611E6753C24}" name="ship_date" dataDxfId="0"/>
    <tableColumn id="4" xr3:uid="{AE6CA190-24C2-4BEA-801C-B102B31B8845}" name="customer_id"/>
    <tableColumn id="5" xr3:uid="{72298A0B-8B45-484B-8BCC-419706A1B77D}" name="customer_name"/>
    <tableColumn id="6" xr3:uid="{0FFEC4FE-1061-4642-B348-FA7A513B6E44}" name="segment"/>
    <tableColumn id="7" xr3:uid="{D8D5FEF0-22F2-4F83-8921-185AC5846F93}" name="Region "/>
    <tableColumn id="8" xr3:uid="{11B564C0-A8EB-45D9-B155-16DD1251F28B}" name="state"/>
    <tableColumn id="9" xr3:uid="{62DC3F83-92E6-42D4-93C1-C884BDFA12E9}" name="city"/>
    <tableColumn id="10" xr3:uid="{2693C6C2-D127-40AF-86D4-CDBF2E515E2F}" name="Category"/>
    <tableColumn id="11" xr3:uid="{BB925124-9DA9-422E-89CE-8226558C98DA}" name="sub_category"/>
    <tableColumn id="12" xr3:uid="{D13AC62E-F335-4C24-8D56-5BF498F63C2B}" name="product_name"/>
    <tableColumn id="13" xr3:uid="{23C38258-4A57-4967-BFFA-2A5728204B46}" name="ship_mode"/>
    <tableColumn id="14" xr3:uid="{EA82F00F-B82F-4BD9-9D38-4476C3707295}" name="quantity"/>
    <tableColumn id="15" xr3:uid="{137152E7-D18E-46A4-AAC6-DFBA451CC54A}" name="unit_price"/>
    <tableColumn id="16" xr3:uid="{FDCACE02-C005-45C0-A6E8-FCD9ACA9B699}" name="discount"/>
    <tableColumn id="17" xr3:uid="{9B8C9B63-3420-4DF2-88D7-26D02242DE32}" name="sales"/>
    <tableColumn id="18" xr3:uid="{9D349BFE-0764-4DDF-9082-7E4D2DB43B3C}" name="cost"/>
    <tableColumn id="19" xr3:uid="{0868E3C6-8B75-4ECB-8B55-4300AD3613C4}" name="profit"/>
    <tableColumn id="20" xr3:uid="{918D27D4-4A90-406F-81C4-B32F05BBF7C2}" name="payment_status"/>
    <tableColumn id="21" xr3:uid="{A9491171-E84F-45FF-9D54-93816C3CE23B}" name="order_status"/>
    <tableColumn id="22" xr3:uid="{ECC4B36A-560F-48CF-A278-0006ED4C75E1}" name="Discount Valid/Invalid"/>
    <tableColumn id="23" xr3:uid="{39BBE465-CB52-4344-8EBA-3B33DC15267A}" name="Shipping Record Status"/>
    <tableColumn id="24" xr3:uid="{819CC912-77CC-443B-A3D3-C978A25B70B7}" name="cleaned_discount"/>
    <tableColumn id="25" xr3:uid="{D2780979-DEDD-457E-8BF4-C541E8E4C2B2}" name="Calculated sales"/>
    <tableColumn id="26" xr3:uid="{554FFAE4-B2C0-4C47-BB87-696D0596B26B}" name="calculate Profit "/>
    <tableColumn id="27" xr3:uid="{BB44BEE4-74A8-4B8D-806B-EE525627007F}" name="Profit margin"/>
    <tableColumn id="28" xr3:uid="{6CE1E80C-813B-4898-B851-C9E00D751227}" name="shipping_delay_days"/>
    <tableColumn id="29" xr3:uid="{8798799B-9D07-48BB-8E4A-9D68E502A078}" name="Order month"/>
    <tableColumn id="30" xr3:uid="{9116DFD2-1FCD-4888-8BDB-854525A38DC2}" name="Order Year"/>
    <tableColumn id="31" xr3:uid="{BEF3D712-5815-47D8-847F-6958800F0149}" name="data_quality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922C-FED6-447F-8726-070DE24E5DC1}">
  <dimension ref="A1:AE228"/>
  <sheetViews>
    <sheetView workbookViewId="0">
      <selection activeCell="B8" sqref="B8"/>
    </sheetView>
  </sheetViews>
  <sheetFormatPr defaultRowHeight="14.4"/>
  <cols>
    <col min="1" max="1" width="15.109375" bestFit="1" customWidth="1"/>
    <col min="2" max="2" width="12.5546875" bestFit="1" customWidth="1"/>
    <col min="3" max="3" width="11.44140625" bestFit="1" customWidth="1"/>
    <col min="4" max="4" width="13.6640625" bestFit="1" customWidth="1"/>
    <col min="5" max="5" width="17" bestFit="1" customWidth="1"/>
    <col min="6" max="6" width="12.6640625" bestFit="1" customWidth="1"/>
    <col min="7" max="7" width="9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14.5546875" bestFit="1" customWidth="1"/>
    <col min="12" max="12" width="20" bestFit="1" customWidth="1"/>
    <col min="13" max="13" width="12.77734375" bestFit="1" customWidth="1"/>
    <col min="14" max="14" width="10.33203125" bestFit="1" customWidth="1"/>
    <col min="15" max="15" width="11.6640625" bestFit="1" customWidth="1"/>
    <col min="16" max="16" width="10.44140625" bestFit="1" customWidth="1"/>
    <col min="17" max="19" width="9" bestFit="1" customWidth="1"/>
    <col min="20" max="20" width="16.88671875" bestFit="1" customWidth="1"/>
    <col min="21" max="21" width="13.77734375" bestFit="1" customWidth="1"/>
    <col min="22" max="22" width="22" bestFit="1" customWidth="1"/>
    <col min="23" max="23" width="22.77734375" bestFit="1" customWidth="1"/>
    <col min="24" max="24" width="18.109375" bestFit="1" customWidth="1"/>
    <col min="25" max="25" width="16.5546875" bestFit="1" customWidth="1"/>
    <col min="26" max="26" width="16.33203125" bestFit="1" customWidth="1"/>
    <col min="27" max="27" width="14.21875" bestFit="1" customWidth="1"/>
    <col min="28" max="28" width="21" bestFit="1" customWidth="1"/>
    <col min="29" max="29" width="14.109375" bestFit="1" customWidth="1"/>
    <col min="30" max="30" width="12.109375" bestFit="1" customWidth="1"/>
    <col min="31" max="31" width="18" bestFit="1" customWidth="1"/>
  </cols>
  <sheetData>
    <row r="1" spans="1:31">
      <c r="A1" s="9" t="s">
        <v>2830</v>
      </c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</row>
    <row r="4" spans="1:31">
      <c r="A4" t="s">
        <v>945</v>
      </c>
      <c r="B4" s="8">
        <v>45522</v>
      </c>
      <c r="C4" s="8">
        <v>45528</v>
      </c>
      <c r="D4" t="s">
        <v>946</v>
      </c>
      <c r="E4" t="s">
        <v>63</v>
      </c>
      <c r="F4" t="s">
        <v>34</v>
      </c>
      <c r="G4" t="s">
        <v>64</v>
      </c>
      <c r="H4" t="s">
        <v>94</v>
      </c>
      <c r="I4" t="s">
        <v>95</v>
      </c>
      <c r="J4" t="s">
        <v>51</v>
      </c>
      <c r="K4" t="s">
        <v>76</v>
      </c>
      <c r="L4" t="s">
        <v>947</v>
      </c>
      <c r="M4" t="s">
        <v>60</v>
      </c>
      <c r="N4">
        <v>7</v>
      </c>
      <c r="O4">
        <v>557.21</v>
      </c>
      <c r="P4">
        <v>0.1</v>
      </c>
      <c r="Q4">
        <v>3797.79</v>
      </c>
      <c r="R4">
        <v>2191.5</v>
      </c>
      <c r="S4">
        <v>1213.48</v>
      </c>
      <c r="T4" t="s">
        <v>42</v>
      </c>
      <c r="U4" t="s">
        <v>113</v>
      </c>
      <c r="V4" t="s">
        <v>2812</v>
      </c>
      <c r="W4" t="s">
        <v>2812</v>
      </c>
      <c r="X4">
        <v>-0.10880696539805437</v>
      </c>
      <c r="Y4">
        <v>3510.4230000000002</v>
      </c>
      <c r="Z4">
        <v>1318.9230000000002</v>
      </c>
      <c r="AA4">
        <v>0.37571625983535323</v>
      </c>
      <c r="AB4">
        <v>6</v>
      </c>
      <c r="AC4" t="s">
        <v>2813</v>
      </c>
      <c r="AD4">
        <v>2024</v>
      </c>
      <c r="AE4" t="s">
        <v>2814</v>
      </c>
    </row>
    <row r="5" spans="1:31">
      <c r="A5" t="s">
        <v>1400</v>
      </c>
      <c r="B5" s="8">
        <v>45342</v>
      </c>
      <c r="C5" s="8">
        <v>45349</v>
      </c>
      <c r="D5" t="s">
        <v>1401</v>
      </c>
      <c r="E5" t="s">
        <v>172</v>
      </c>
      <c r="F5" t="s">
        <v>34</v>
      </c>
      <c r="G5" t="s">
        <v>64</v>
      </c>
      <c r="H5" t="s">
        <v>195</v>
      </c>
      <c r="I5" t="s">
        <v>196</v>
      </c>
      <c r="J5" t="s">
        <v>84</v>
      </c>
      <c r="K5" t="s">
        <v>85</v>
      </c>
      <c r="L5" t="s">
        <v>1402</v>
      </c>
      <c r="M5" t="s">
        <v>60</v>
      </c>
      <c r="N5">
        <v>9</v>
      </c>
      <c r="O5">
        <v>3779.31</v>
      </c>
      <c r="P5">
        <v>0.2</v>
      </c>
      <c r="Q5">
        <v>27322.9</v>
      </c>
      <c r="R5">
        <v>17940.43</v>
      </c>
      <c r="S5">
        <v>9270.6</v>
      </c>
      <c r="T5" t="s">
        <v>42</v>
      </c>
      <c r="U5" t="s">
        <v>113</v>
      </c>
      <c r="V5" t="s">
        <v>2812</v>
      </c>
      <c r="W5" t="s">
        <v>2812</v>
      </c>
      <c r="X5">
        <v>0.84852144912701888</v>
      </c>
      <c r="Y5">
        <v>27211.032000000003</v>
      </c>
      <c r="Z5">
        <v>9270.6020000000026</v>
      </c>
      <c r="AA5">
        <v>0.34069277490100347</v>
      </c>
      <c r="AB5">
        <v>7</v>
      </c>
      <c r="AC5" t="s">
        <v>2815</v>
      </c>
      <c r="AD5">
        <v>2024</v>
      </c>
      <c r="AE5" t="s">
        <v>2814</v>
      </c>
    </row>
    <row r="6" spans="1:31">
      <c r="A6" t="s">
        <v>2796</v>
      </c>
      <c r="B6" s="8">
        <v>45650</v>
      </c>
      <c r="C6" s="8">
        <v>45651</v>
      </c>
      <c r="D6" t="s">
        <v>2797</v>
      </c>
      <c r="E6" t="s">
        <v>72</v>
      </c>
      <c r="F6" t="s">
        <v>47</v>
      </c>
      <c r="G6" t="s">
        <v>64</v>
      </c>
      <c r="H6" t="s">
        <v>259</v>
      </c>
      <c r="I6" t="s">
        <v>260</v>
      </c>
      <c r="J6" t="s">
        <v>84</v>
      </c>
      <c r="K6" t="s">
        <v>90</v>
      </c>
      <c r="L6" t="s">
        <v>2798</v>
      </c>
      <c r="M6" t="s">
        <v>41</v>
      </c>
      <c r="N6">
        <v>1</v>
      </c>
      <c r="O6">
        <v>3693.03</v>
      </c>
      <c r="P6">
        <v>0.05</v>
      </c>
      <c r="Q6">
        <v>3508.38</v>
      </c>
      <c r="R6">
        <v>2828.06</v>
      </c>
      <c r="S6">
        <v>680.32</v>
      </c>
      <c r="T6" t="s">
        <v>165</v>
      </c>
      <c r="U6" t="s">
        <v>113</v>
      </c>
      <c r="V6" t="s">
        <v>2812</v>
      </c>
      <c r="W6" t="s">
        <v>2812</v>
      </c>
      <c r="X6">
        <v>-0.58747117266059101</v>
      </c>
      <c r="Y6">
        <v>3508.3784999999998</v>
      </c>
      <c r="Z6">
        <v>680.31849999999986</v>
      </c>
      <c r="AA6">
        <v>0.19391251542557336</v>
      </c>
      <c r="AB6">
        <v>1</v>
      </c>
      <c r="AC6" t="s">
        <v>2816</v>
      </c>
      <c r="AD6">
        <v>2024</v>
      </c>
      <c r="AE6" t="s">
        <v>2814</v>
      </c>
    </row>
    <row r="7" spans="1:31">
      <c r="A7" t="s">
        <v>61</v>
      </c>
      <c r="B7" s="8">
        <v>45624</v>
      </c>
      <c r="C7" s="8">
        <v>45625</v>
      </c>
      <c r="D7" t="s">
        <v>62</v>
      </c>
      <c r="E7" t="s">
        <v>63</v>
      </c>
      <c r="F7" t="s">
        <v>47</v>
      </c>
      <c r="G7" t="s">
        <v>64</v>
      </c>
      <c r="H7" t="s">
        <v>65</v>
      </c>
      <c r="I7" t="s">
        <v>66</v>
      </c>
      <c r="J7" t="s">
        <v>51</v>
      </c>
      <c r="K7" t="s">
        <v>67</v>
      </c>
      <c r="L7" t="s">
        <v>68</v>
      </c>
      <c r="M7" t="s">
        <v>69</v>
      </c>
      <c r="N7">
        <v>6</v>
      </c>
      <c r="O7">
        <v>1848.43</v>
      </c>
      <c r="P7">
        <v>0.25</v>
      </c>
      <c r="Q7">
        <v>8317.93</v>
      </c>
      <c r="R7">
        <v>6796.77</v>
      </c>
      <c r="S7">
        <v>1521.16</v>
      </c>
      <c r="T7" t="s">
        <v>42</v>
      </c>
      <c r="U7" t="s">
        <v>43</v>
      </c>
      <c r="V7" t="s">
        <v>2812</v>
      </c>
      <c r="W7" t="s">
        <v>2812</v>
      </c>
      <c r="X7">
        <v>1.3271856563895552</v>
      </c>
      <c r="Y7">
        <v>8317.9349999999995</v>
      </c>
      <c r="Z7">
        <v>1521.1649999999991</v>
      </c>
      <c r="AA7">
        <v>0.18287772145370204</v>
      </c>
      <c r="AB7">
        <v>1</v>
      </c>
      <c r="AC7" t="s">
        <v>2817</v>
      </c>
      <c r="AD7">
        <v>2024</v>
      </c>
      <c r="AE7" t="s">
        <v>2814</v>
      </c>
    </row>
    <row r="8" spans="1:31">
      <c r="A8" t="s">
        <v>2793</v>
      </c>
      <c r="B8" s="8">
        <v>45601</v>
      </c>
      <c r="C8" s="8">
        <v>45576</v>
      </c>
      <c r="D8" t="s">
        <v>2794</v>
      </c>
      <c r="E8" t="s">
        <v>63</v>
      </c>
      <c r="F8" t="s">
        <v>34</v>
      </c>
      <c r="G8" t="s">
        <v>64</v>
      </c>
      <c r="H8" t="s">
        <v>195</v>
      </c>
      <c r="I8" t="s">
        <v>196</v>
      </c>
      <c r="J8" t="s">
        <v>51</v>
      </c>
      <c r="K8" t="s">
        <v>76</v>
      </c>
      <c r="L8" t="s">
        <v>2795</v>
      </c>
      <c r="M8" t="s">
        <v>54</v>
      </c>
      <c r="N8">
        <v>4</v>
      </c>
      <c r="O8">
        <v>711.18</v>
      </c>
      <c r="P8">
        <v>0.15</v>
      </c>
      <c r="Q8">
        <v>2418.0100000000002</v>
      </c>
      <c r="R8">
        <v>1441.89</v>
      </c>
      <c r="S8">
        <v>976.12</v>
      </c>
      <c r="T8" t="s">
        <v>121</v>
      </c>
      <c r="U8" t="s">
        <v>113</v>
      </c>
      <c r="V8" t="s">
        <v>2812</v>
      </c>
      <c r="W8" t="s">
        <v>2818</v>
      </c>
      <c r="X8">
        <v>0.3698572418644821</v>
      </c>
      <c r="Y8">
        <v>2418.0119999999997</v>
      </c>
      <c r="Z8">
        <v>976.12199999999962</v>
      </c>
      <c r="AA8">
        <v>0.40368782288921634</v>
      </c>
      <c r="AB8" t="e">
        <v>#NUM!</v>
      </c>
      <c r="AC8" t="s">
        <v>2817</v>
      </c>
      <c r="AD8">
        <v>2024</v>
      </c>
      <c r="AE8" t="s">
        <v>2819</v>
      </c>
    </row>
    <row r="9" spans="1:31">
      <c r="A9" t="s">
        <v>2790</v>
      </c>
      <c r="B9" s="8">
        <v>45344</v>
      </c>
      <c r="C9" s="8">
        <v>45351</v>
      </c>
      <c r="D9" t="s">
        <v>2791</v>
      </c>
      <c r="E9" t="s">
        <v>57</v>
      </c>
      <c r="F9" t="s">
        <v>105</v>
      </c>
      <c r="G9" t="s">
        <v>64</v>
      </c>
      <c r="H9" t="s">
        <v>65</v>
      </c>
      <c r="I9" t="s">
        <v>66</v>
      </c>
      <c r="J9" t="s">
        <v>51</v>
      </c>
      <c r="K9" t="s">
        <v>52</v>
      </c>
      <c r="L9" t="s">
        <v>2792</v>
      </c>
      <c r="M9" t="s">
        <v>60</v>
      </c>
      <c r="N9">
        <v>6</v>
      </c>
      <c r="O9">
        <v>4254.05</v>
      </c>
      <c r="P9">
        <v>0</v>
      </c>
      <c r="Q9">
        <v>25524.3</v>
      </c>
      <c r="R9">
        <v>16711.93</v>
      </c>
      <c r="S9">
        <v>8812.3700000000008</v>
      </c>
      <c r="T9" t="s">
        <v>42</v>
      </c>
      <c r="U9" t="s">
        <v>43</v>
      </c>
      <c r="V9" t="s">
        <v>2812</v>
      </c>
      <c r="W9" t="s">
        <v>2812</v>
      </c>
      <c r="X9">
        <v>-1.0661353799231277</v>
      </c>
      <c r="Y9">
        <v>25524.300000000003</v>
      </c>
      <c r="Z9">
        <v>8812.3700000000026</v>
      </c>
      <c r="AA9">
        <v>0.34525413037771857</v>
      </c>
      <c r="AB9">
        <v>7</v>
      </c>
      <c r="AC9" t="s">
        <v>2815</v>
      </c>
      <c r="AD9">
        <v>2024</v>
      </c>
      <c r="AE9" t="s">
        <v>2814</v>
      </c>
    </row>
    <row r="10" spans="1:31">
      <c r="A10" t="s">
        <v>2787</v>
      </c>
      <c r="B10" s="8">
        <v>45449</v>
      </c>
      <c r="C10" s="8">
        <v>45451</v>
      </c>
      <c r="D10" t="s">
        <v>2788</v>
      </c>
      <c r="E10" t="s">
        <v>138</v>
      </c>
      <c r="F10" t="s">
        <v>100</v>
      </c>
      <c r="G10" t="s">
        <v>64</v>
      </c>
      <c r="H10" t="s">
        <v>185</v>
      </c>
      <c r="I10" t="s">
        <v>186</v>
      </c>
      <c r="J10" t="s">
        <v>51</v>
      </c>
      <c r="K10" t="s">
        <v>52</v>
      </c>
      <c r="L10" t="s">
        <v>2789</v>
      </c>
      <c r="M10" t="s">
        <v>41</v>
      </c>
      <c r="N10">
        <v>3</v>
      </c>
      <c r="O10">
        <v>395.49</v>
      </c>
      <c r="P10">
        <v>0.05</v>
      </c>
      <c r="Q10">
        <v>1127.1500000000001</v>
      </c>
      <c r="R10">
        <v>845.62</v>
      </c>
      <c r="S10">
        <v>281.52999999999997</v>
      </c>
      <c r="T10" t="s">
        <v>42</v>
      </c>
      <c r="U10" t="s">
        <v>113</v>
      </c>
      <c r="V10" t="s">
        <v>2812</v>
      </c>
      <c r="W10" t="s">
        <v>2812</v>
      </c>
      <c r="X10">
        <v>-0.58747117266059101</v>
      </c>
      <c r="Y10">
        <v>1127.1465000000001</v>
      </c>
      <c r="Z10">
        <v>281.52650000000006</v>
      </c>
      <c r="AA10">
        <v>0.24976921810962466</v>
      </c>
      <c r="AB10">
        <v>2</v>
      </c>
      <c r="AC10" t="s">
        <v>2820</v>
      </c>
      <c r="AD10">
        <v>2024</v>
      </c>
      <c r="AE10" t="s">
        <v>2814</v>
      </c>
    </row>
    <row r="11" spans="1:31">
      <c r="A11" t="s">
        <v>92</v>
      </c>
      <c r="B11" s="8">
        <v>45711</v>
      </c>
      <c r="C11" s="8">
        <v>45714</v>
      </c>
      <c r="D11" t="s">
        <v>93</v>
      </c>
      <c r="E11" t="s">
        <v>57</v>
      </c>
      <c r="F11" t="s">
        <v>47</v>
      </c>
      <c r="G11" t="s">
        <v>64</v>
      </c>
      <c r="H11" t="s">
        <v>94</v>
      </c>
      <c r="I11" t="s">
        <v>95</v>
      </c>
      <c r="J11" t="s">
        <v>38</v>
      </c>
      <c r="K11" t="s">
        <v>58</v>
      </c>
      <c r="L11" t="s">
        <v>96</v>
      </c>
      <c r="M11" t="s">
        <v>60</v>
      </c>
      <c r="N11">
        <v>1</v>
      </c>
      <c r="O11">
        <v>2980.71</v>
      </c>
      <c r="P11">
        <v>0</v>
      </c>
      <c r="Q11">
        <v>2980.71</v>
      </c>
      <c r="R11">
        <v>2357.2199999999998</v>
      </c>
      <c r="S11">
        <v>623.49</v>
      </c>
      <c r="T11" t="s">
        <v>42</v>
      </c>
      <c r="U11" t="s">
        <v>43</v>
      </c>
      <c r="V11" t="s">
        <v>2812</v>
      </c>
      <c r="W11" t="s">
        <v>2812</v>
      </c>
      <c r="X11">
        <v>-1.0661353799231277</v>
      </c>
      <c r="Y11">
        <v>2980.71</v>
      </c>
      <c r="Z11">
        <v>623.49000000000024</v>
      </c>
      <c r="AA11">
        <v>0.20917499521925992</v>
      </c>
      <c r="AB11">
        <v>3</v>
      </c>
      <c r="AC11" t="s">
        <v>2815</v>
      </c>
      <c r="AD11">
        <v>2025</v>
      </c>
      <c r="AE11" t="s">
        <v>2814</v>
      </c>
    </row>
    <row r="12" spans="1:31">
      <c r="A12" t="s">
        <v>97</v>
      </c>
      <c r="B12" s="8">
        <v>45423</v>
      </c>
      <c r="C12" s="8">
        <v>45576</v>
      </c>
      <c r="D12" t="s">
        <v>98</v>
      </c>
      <c r="E12" t="s">
        <v>99</v>
      </c>
      <c r="F12" t="s">
        <v>100</v>
      </c>
      <c r="G12" t="s">
        <v>64</v>
      </c>
      <c r="H12" t="s">
        <v>65</v>
      </c>
      <c r="I12" t="s">
        <v>66</v>
      </c>
      <c r="J12" t="s">
        <v>38</v>
      </c>
      <c r="K12" t="s">
        <v>101</v>
      </c>
      <c r="L12" t="s">
        <v>102</v>
      </c>
      <c r="M12" t="s">
        <v>60</v>
      </c>
      <c r="N12">
        <v>8</v>
      </c>
      <c r="O12">
        <v>3134.2</v>
      </c>
      <c r="P12">
        <v>0</v>
      </c>
      <c r="Q12">
        <v>25073.599999999999</v>
      </c>
      <c r="R12">
        <v>17347.23</v>
      </c>
      <c r="S12">
        <v>7726.37</v>
      </c>
      <c r="T12" t="s">
        <v>42</v>
      </c>
      <c r="U12" t="s">
        <v>43</v>
      </c>
      <c r="V12" t="s">
        <v>2812</v>
      </c>
      <c r="W12" t="s">
        <v>2812</v>
      </c>
      <c r="X12">
        <v>-1.0661353799231277</v>
      </c>
      <c r="Y12">
        <v>25073.599999999999</v>
      </c>
      <c r="Z12">
        <v>7726.369999999999</v>
      </c>
      <c r="AA12">
        <v>0.30814761342607361</v>
      </c>
      <c r="AB12">
        <v>153</v>
      </c>
      <c r="AC12" t="s">
        <v>2821</v>
      </c>
      <c r="AD12">
        <v>2024</v>
      </c>
      <c r="AE12" t="s">
        <v>2814</v>
      </c>
    </row>
    <row r="13" spans="1:31">
      <c r="A13" t="s">
        <v>103</v>
      </c>
      <c r="B13" s="8">
        <v>45907</v>
      </c>
      <c r="C13" s="8">
        <v>46000</v>
      </c>
      <c r="D13" t="s">
        <v>104</v>
      </c>
      <c r="E13" t="s">
        <v>46</v>
      </c>
      <c r="F13" t="s">
        <v>105</v>
      </c>
      <c r="G13" t="s">
        <v>64</v>
      </c>
      <c r="H13" t="s">
        <v>65</v>
      </c>
      <c r="I13" t="s">
        <v>66</v>
      </c>
      <c r="J13" t="s">
        <v>38</v>
      </c>
      <c r="K13" t="s">
        <v>39</v>
      </c>
      <c r="L13" t="s">
        <v>106</v>
      </c>
      <c r="M13" t="s">
        <v>41</v>
      </c>
      <c r="N13">
        <v>9</v>
      </c>
      <c r="O13">
        <v>852.04</v>
      </c>
      <c r="P13">
        <v>0.2</v>
      </c>
      <c r="Q13">
        <v>6134.69</v>
      </c>
      <c r="R13">
        <v>3800.19</v>
      </c>
      <c r="S13">
        <v>2334.5</v>
      </c>
      <c r="T13" t="s">
        <v>42</v>
      </c>
      <c r="U13" t="s">
        <v>43</v>
      </c>
      <c r="V13" t="s">
        <v>2812</v>
      </c>
      <c r="W13" t="s">
        <v>2812</v>
      </c>
      <c r="X13">
        <v>0.84852144912701888</v>
      </c>
      <c r="Y13">
        <v>6134.6880000000001</v>
      </c>
      <c r="Z13">
        <v>2334.498</v>
      </c>
      <c r="AA13">
        <v>0.38054062407085737</v>
      </c>
      <c r="AB13">
        <v>93</v>
      </c>
      <c r="AC13" t="s">
        <v>2822</v>
      </c>
      <c r="AD13">
        <v>2025</v>
      </c>
      <c r="AE13" t="s">
        <v>2814</v>
      </c>
    </row>
    <row r="14" spans="1:31">
      <c r="A14" t="s">
        <v>2781</v>
      </c>
      <c r="B14" s="8">
        <v>45573</v>
      </c>
      <c r="C14" s="8">
        <v>45574</v>
      </c>
      <c r="D14" t="s">
        <v>2782</v>
      </c>
      <c r="E14" t="s">
        <v>276</v>
      </c>
      <c r="F14" t="s">
        <v>100</v>
      </c>
      <c r="G14" t="s">
        <v>64</v>
      </c>
      <c r="H14" t="s">
        <v>259</v>
      </c>
      <c r="I14" t="s">
        <v>260</v>
      </c>
      <c r="J14" t="s">
        <v>84</v>
      </c>
      <c r="K14" t="s">
        <v>286</v>
      </c>
      <c r="L14" t="s">
        <v>2783</v>
      </c>
      <c r="M14" t="s">
        <v>54</v>
      </c>
      <c r="N14">
        <v>5</v>
      </c>
      <c r="O14">
        <v>2407.9699999999998</v>
      </c>
      <c r="P14">
        <v>0.1</v>
      </c>
      <c r="Q14">
        <v>10835.86</v>
      </c>
      <c r="R14">
        <v>6419.92</v>
      </c>
      <c r="S14">
        <v>4415.9399999999996</v>
      </c>
      <c r="T14" t="s">
        <v>165</v>
      </c>
      <c r="U14" t="s">
        <v>78</v>
      </c>
      <c r="V14" t="s">
        <v>2812</v>
      </c>
      <c r="W14" t="s">
        <v>2812</v>
      </c>
      <c r="X14">
        <v>-0.10880696539805437</v>
      </c>
      <c r="Y14">
        <v>10835.865</v>
      </c>
      <c r="Z14">
        <v>4415.9449999999997</v>
      </c>
      <c r="AA14">
        <v>0.40753045557507406</v>
      </c>
      <c r="AB14">
        <v>1</v>
      </c>
      <c r="AC14" t="s">
        <v>2823</v>
      </c>
      <c r="AD14">
        <v>2024</v>
      </c>
      <c r="AE14" t="s">
        <v>2824</v>
      </c>
    </row>
    <row r="15" spans="1:31">
      <c r="A15" t="s">
        <v>2770</v>
      </c>
      <c r="B15" s="8">
        <v>45455</v>
      </c>
      <c r="C15" s="8">
        <v>45461</v>
      </c>
      <c r="D15" t="s">
        <v>2771</v>
      </c>
      <c r="E15" t="s">
        <v>138</v>
      </c>
      <c r="F15" t="s">
        <v>47</v>
      </c>
      <c r="G15" t="s">
        <v>64</v>
      </c>
      <c r="H15" t="s">
        <v>94</v>
      </c>
      <c r="I15" t="s">
        <v>95</v>
      </c>
      <c r="J15" t="s">
        <v>38</v>
      </c>
      <c r="K15" t="s">
        <v>58</v>
      </c>
      <c r="L15" t="s">
        <v>2772</v>
      </c>
      <c r="M15" t="s">
        <v>69</v>
      </c>
      <c r="N15">
        <v>4</v>
      </c>
      <c r="O15">
        <v>4176.13</v>
      </c>
      <c r="P15">
        <v>0</v>
      </c>
      <c r="Q15">
        <v>16704.52</v>
      </c>
      <c r="R15">
        <v>10158.280000000001</v>
      </c>
      <c r="S15">
        <v>6546.24</v>
      </c>
      <c r="T15" t="s">
        <v>42</v>
      </c>
      <c r="U15" t="s">
        <v>43</v>
      </c>
      <c r="V15" t="s">
        <v>2812</v>
      </c>
      <c r="W15" t="s">
        <v>2812</v>
      </c>
      <c r="X15">
        <v>-1.0661353799231277</v>
      </c>
      <c r="Y15">
        <v>16704.52</v>
      </c>
      <c r="Z15">
        <v>6546.24</v>
      </c>
      <c r="AA15">
        <v>0.39188435225914897</v>
      </c>
      <c r="AB15">
        <v>6</v>
      </c>
      <c r="AC15" t="s">
        <v>2820</v>
      </c>
      <c r="AD15">
        <v>2024</v>
      </c>
      <c r="AE15" t="s">
        <v>2814</v>
      </c>
    </row>
    <row r="16" spans="1:31">
      <c r="A16" t="s">
        <v>2767</v>
      </c>
      <c r="B16" s="8">
        <v>45773</v>
      </c>
      <c r="C16" s="8">
        <v>45780</v>
      </c>
      <c r="D16" t="s">
        <v>2768</v>
      </c>
      <c r="E16" t="s">
        <v>63</v>
      </c>
      <c r="F16" t="s">
        <v>105</v>
      </c>
      <c r="G16" t="s">
        <v>64</v>
      </c>
      <c r="H16" t="s">
        <v>259</v>
      </c>
      <c r="I16" t="s">
        <v>260</v>
      </c>
      <c r="J16" t="s">
        <v>84</v>
      </c>
      <c r="K16" t="s">
        <v>85</v>
      </c>
      <c r="L16" t="s">
        <v>2769</v>
      </c>
      <c r="M16" t="s">
        <v>60</v>
      </c>
      <c r="N16">
        <v>7</v>
      </c>
      <c r="O16">
        <v>3989.9</v>
      </c>
      <c r="P16">
        <v>0.15</v>
      </c>
      <c r="Q16">
        <v>23739.9</v>
      </c>
      <c r="R16">
        <v>17716.52</v>
      </c>
      <c r="S16">
        <v>6023.38</v>
      </c>
      <c r="T16" t="s">
        <v>42</v>
      </c>
      <c r="U16" t="s">
        <v>78</v>
      </c>
      <c r="V16" t="s">
        <v>2812</v>
      </c>
      <c r="W16" t="s">
        <v>2812</v>
      </c>
      <c r="X16">
        <v>0.3698572418644821</v>
      </c>
      <c r="Y16">
        <v>23739.904999999999</v>
      </c>
      <c r="Z16">
        <v>6023.3849999999984</v>
      </c>
      <c r="AA16">
        <v>0.25372405660427028</v>
      </c>
      <c r="AB16">
        <v>7</v>
      </c>
      <c r="AC16" t="s">
        <v>2825</v>
      </c>
      <c r="AD16">
        <v>2025</v>
      </c>
      <c r="AE16" t="s">
        <v>2824</v>
      </c>
    </row>
    <row r="17" spans="1:31">
      <c r="A17" t="s">
        <v>2761</v>
      </c>
      <c r="B17" s="8">
        <v>45675</v>
      </c>
      <c r="C17" s="8">
        <v>45682</v>
      </c>
      <c r="D17" t="s">
        <v>2762</v>
      </c>
      <c r="E17" t="s">
        <v>89</v>
      </c>
      <c r="F17" t="s">
        <v>105</v>
      </c>
      <c r="G17" t="s">
        <v>64</v>
      </c>
      <c r="H17" t="s">
        <v>185</v>
      </c>
      <c r="I17" t="s">
        <v>186</v>
      </c>
      <c r="J17" t="s">
        <v>38</v>
      </c>
      <c r="K17" t="s">
        <v>134</v>
      </c>
      <c r="L17" t="s">
        <v>2763</v>
      </c>
      <c r="M17" t="s">
        <v>54</v>
      </c>
      <c r="N17">
        <v>2</v>
      </c>
      <c r="O17">
        <v>2098.54</v>
      </c>
      <c r="P17">
        <v>0.15</v>
      </c>
      <c r="Q17">
        <v>3567.52</v>
      </c>
      <c r="R17">
        <v>2411.8000000000002</v>
      </c>
      <c r="S17">
        <v>1155.72</v>
      </c>
      <c r="T17" t="s">
        <v>42</v>
      </c>
      <c r="U17" t="s">
        <v>43</v>
      </c>
      <c r="V17" t="s">
        <v>2812</v>
      </c>
      <c r="W17" t="s">
        <v>2812</v>
      </c>
      <c r="X17">
        <v>0.3698572418644821</v>
      </c>
      <c r="Y17">
        <v>3567.518</v>
      </c>
      <c r="Z17">
        <v>1155.7179999999998</v>
      </c>
      <c r="AA17">
        <v>0.32395575859743381</v>
      </c>
      <c r="AB17">
        <v>7</v>
      </c>
      <c r="AC17" t="s">
        <v>2826</v>
      </c>
      <c r="AD17">
        <v>2025</v>
      </c>
      <c r="AE17" t="s">
        <v>2814</v>
      </c>
    </row>
    <row r="18" spans="1:31">
      <c r="A18" t="s">
        <v>2752</v>
      </c>
      <c r="B18" s="8">
        <v>45627</v>
      </c>
      <c r="C18" s="8">
        <v>45631</v>
      </c>
      <c r="D18" t="s">
        <v>2753</v>
      </c>
      <c r="E18" t="s">
        <v>72</v>
      </c>
      <c r="F18" t="s">
        <v>47</v>
      </c>
      <c r="G18" t="s">
        <v>64</v>
      </c>
      <c r="H18" t="s">
        <v>94</v>
      </c>
      <c r="I18" t="s">
        <v>95</v>
      </c>
      <c r="J18" t="s">
        <v>84</v>
      </c>
      <c r="K18" t="s">
        <v>90</v>
      </c>
      <c r="L18" t="s">
        <v>2754</v>
      </c>
      <c r="M18" t="s">
        <v>41</v>
      </c>
      <c r="N18">
        <v>9</v>
      </c>
      <c r="O18">
        <v>3726.75</v>
      </c>
      <c r="P18">
        <v>0.25</v>
      </c>
      <c r="Q18">
        <v>25155.56</v>
      </c>
      <c r="R18">
        <v>17592.689999999999</v>
      </c>
      <c r="S18">
        <v>7562.87</v>
      </c>
      <c r="T18" t="s">
        <v>42</v>
      </c>
      <c r="U18" t="s">
        <v>43</v>
      </c>
      <c r="V18" t="s">
        <v>2812</v>
      </c>
      <c r="W18" t="s">
        <v>2812</v>
      </c>
      <c r="X18">
        <v>1.3271856563895552</v>
      </c>
      <c r="Y18">
        <v>25155.5625</v>
      </c>
      <c r="Z18">
        <v>7562.8725000000013</v>
      </c>
      <c r="AA18">
        <v>0.30064414182747856</v>
      </c>
      <c r="AB18">
        <v>4</v>
      </c>
      <c r="AC18" t="s">
        <v>2816</v>
      </c>
      <c r="AD18">
        <v>2024</v>
      </c>
      <c r="AE18" t="s">
        <v>2814</v>
      </c>
    </row>
    <row r="19" spans="1:31">
      <c r="A19" t="s">
        <v>2725</v>
      </c>
      <c r="B19" s="8">
        <v>45342</v>
      </c>
      <c r="C19" s="8">
        <v>45344</v>
      </c>
      <c r="D19" t="s">
        <v>2594</v>
      </c>
      <c r="E19" t="s">
        <v>89</v>
      </c>
      <c r="F19" t="s">
        <v>47</v>
      </c>
      <c r="G19" t="s">
        <v>64</v>
      </c>
      <c r="H19" t="s">
        <v>65</v>
      </c>
      <c r="I19" t="s">
        <v>66</v>
      </c>
      <c r="J19" t="s">
        <v>84</v>
      </c>
      <c r="K19" t="s">
        <v>85</v>
      </c>
      <c r="L19" t="s">
        <v>2726</v>
      </c>
      <c r="M19" t="s">
        <v>60</v>
      </c>
      <c r="N19">
        <v>9</v>
      </c>
      <c r="O19">
        <v>2186.23</v>
      </c>
      <c r="P19">
        <v>0</v>
      </c>
      <c r="Q19">
        <v>19676.07</v>
      </c>
      <c r="R19">
        <v>12458.62</v>
      </c>
      <c r="S19">
        <v>7217.45</v>
      </c>
      <c r="T19" t="s">
        <v>112</v>
      </c>
      <c r="U19" t="s">
        <v>78</v>
      </c>
      <c r="V19" t="s">
        <v>2812</v>
      </c>
      <c r="W19" t="s">
        <v>2812</v>
      </c>
      <c r="X19">
        <v>-1.0661353799231277</v>
      </c>
      <c r="Y19">
        <v>19676.07</v>
      </c>
      <c r="Z19">
        <v>7217.4499999999989</v>
      </c>
      <c r="AA19">
        <v>0.36681359641432454</v>
      </c>
      <c r="AB19">
        <v>2</v>
      </c>
      <c r="AC19" t="s">
        <v>2815</v>
      </c>
      <c r="AD19">
        <v>2024</v>
      </c>
      <c r="AE19" t="s">
        <v>2824</v>
      </c>
    </row>
    <row r="20" spans="1:31">
      <c r="A20" t="s">
        <v>136</v>
      </c>
      <c r="B20" s="8">
        <v>45509</v>
      </c>
      <c r="C20" s="8">
        <v>45427</v>
      </c>
      <c r="D20" t="s">
        <v>137</v>
      </c>
      <c r="E20" t="s">
        <v>138</v>
      </c>
      <c r="F20" t="s">
        <v>34</v>
      </c>
      <c r="G20" t="s">
        <v>64</v>
      </c>
      <c r="H20" t="s">
        <v>65</v>
      </c>
      <c r="I20" t="s">
        <v>66</v>
      </c>
      <c r="J20" t="s">
        <v>38</v>
      </c>
      <c r="K20" t="s">
        <v>58</v>
      </c>
      <c r="L20" t="s">
        <v>139</v>
      </c>
      <c r="M20" t="s">
        <v>60</v>
      </c>
      <c r="N20">
        <v>4</v>
      </c>
      <c r="O20">
        <v>3323.51</v>
      </c>
      <c r="P20">
        <v>0.25</v>
      </c>
      <c r="Q20">
        <v>9970.5300000000007</v>
      </c>
      <c r="R20">
        <v>5668.17</v>
      </c>
      <c r="S20">
        <v>4302.3599999999997</v>
      </c>
      <c r="T20" t="s">
        <v>42</v>
      </c>
      <c r="U20" t="s">
        <v>43</v>
      </c>
      <c r="V20" t="s">
        <v>2812</v>
      </c>
      <c r="W20" t="s">
        <v>2818</v>
      </c>
      <c r="X20">
        <v>1.3271856563895552</v>
      </c>
      <c r="Y20">
        <v>9970.5300000000007</v>
      </c>
      <c r="Z20">
        <v>4302.3600000000006</v>
      </c>
      <c r="AA20">
        <v>0.43150765305354882</v>
      </c>
      <c r="AB20" t="e">
        <v>#NUM!</v>
      </c>
      <c r="AC20" t="s">
        <v>2813</v>
      </c>
      <c r="AD20">
        <v>2024</v>
      </c>
      <c r="AE20" t="s">
        <v>2819</v>
      </c>
    </row>
    <row r="21" spans="1:31">
      <c r="A21" t="s">
        <v>2717</v>
      </c>
      <c r="B21" s="8">
        <v>45758</v>
      </c>
      <c r="C21" s="8">
        <v>45762</v>
      </c>
      <c r="D21" t="s">
        <v>2718</v>
      </c>
      <c r="E21" t="s">
        <v>81</v>
      </c>
      <c r="F21" t="s">
        <v>105</v>
      </c>
      <c r="G21" t="s">
        <v>64</v>
      </c>
      <c r="H21" t="s">
        <v>185</v>
      </c>
      <c r="I21" t="s">
        <v>186</v>
      </c>
      <c r="J21" t="s">
        <v>38</v>
      </c>
      <c r="K21" t="s">
        <v>134</v>
      </c>
      <c r="L21" t="s">
        <v>2719</v>
      </c>
      <c r="M21" t="s">
        <v>54</v>
      </c>
      <c r="N21">
        <v>9</v>
      </c>
      <c r="O21">
        <v>224.94</v>
      </c>
      <c r="P21">
        <v>0.05</v>
      </c>
      <c r="Q21">
        <v>1923.24</v>
      </c>
      <c r="R21">
        <v>1093.6600000000001</v>
      </c>
      <c r="S21">
        <v>829.58</v>
      </c>
      <c r="T21" t="s">
        <v>42</v>
      </c>
      <c r="U21" t="s">
        <v>43</v>
      </c>
      <c r="V21" t="s">
        <v>2812</v>
      </c>
      <c r="W21" t="s">
        <v>2812</v>
      </c>
      <c r="X21">
        <v>-0.58747117266059101</v>
      </c>
      <c r="Y21">
        <v>1923.2369999999999</v>
      </c>
      <c r="Z21">
        <v>829.57699999999977</v>
      </c>
      <c r="AA21">
        <v>0.43134413491420964</v>
      </c>
      <c r="AB21">
        <v>4</v>
      </c>
      <c r="AC21" t="s">
        <v>2825</v>
      </c>
      <c r="AD21">
        <v>2025</v>
      </c>
      <c r="AE21" t="s">
        <v>2814</v>
      </c>
    </row>
    <row r="22" spans="1:31">
      <c r="A22" t="s">
        <v>2714</v>
      </c>
      <c r="B22" s="8">
        <v>45617</v>
      </c>
      <c r="C22" s="8">
        <v>45618</v>
      </c>
      <c r="D22" t="s">
        <v>2715</v>
      </c>
      <c r="E22" t="s">
        <v>128</v>
      </c>
      <c r="F22" t="s">
        <v>105</v>
      </c>
      <c r="G22" t="s">
        <v>64</v>
      </c>
      <c r="H22" t="s">
        <v>94</v>
      </c>
      <c r="I22" t="s">
        <v>95</v>
      </c>
      <c r="J22" t="s">
        <v>84</v>
      </c>
      <c r="K22" t="s">
        <v>85</v>
      </c>
      <c r="L22" t="s">
        <v>2716</v>
      </c>
      <c r="M22" t="s">
        <v>54</v>
      </c>
      <c r="N22">
        <v>6</v>
      </c>
      <c r="O22">
        <v>1043.49</v>
      </c>
      <c r="P22">
        <v>0.25</v>
      </c>
      <c r="Q22">
        <v>4695.7</v>
      </c>
      <c r="R22">
        <v>3871.69</v>
      </c>
      <c r="S22">
        <v>824.01</v>
      </c>
      <c r="T22" t="s">
        <v>165</v>
      </c>
      <c r="U22" t="s">
        <v>78</v>
      </c>
      <c r="V22" t="s">
        <v>2812</v>
      </c>
      <c r="W22" t="s">
        <v>2812</v>
      </c>
      <c r="X22">
        <v>1.3271856563895552</v>
      </c>
      <c r="Y22">
        <v>4695.7049999999999</v>
      </c>
      <c r="Z22">
        <v>824.01499999999987</v>
      </c>
      <c r="AA22">
        <v>0.17548270174553127</v>
      </c>
      <c r="AB22">
        <v>1</v>
      </c>
      <c r="AC22" t="s">
        <v>2817</v>
      </c>
      <c r="AD22">
        <v>2024</v>
      </c>
      <c r="AE22" t="s">
        <v>2824</v>
      </c>
    </row>
    <row r="23" spans="1:31">
      <c r="A23" t="s">
        <v>2705</v>
      </c>
      <c r="B23" s="8">
        <v>45902</v>
      </c>
      <c r="C23" s="8">
        <v>45905</v>
      </c>
      <c r="D23" t="s">
        <v>2706</v>
      </c>
      <c r="E23" t="s">
        <v>81</v>
      </c>
      <c r="F23" t="s">
        <v>34</v>
      </c>
      <c r="G23" t="s">
        <v>64</v>
      </c>
      <c r="H23" t="s">
        <v>259</v>
      </c>
      <c r="I23" t="s">
        <v>260</v>
      </c>
      <c r="J23" t="s">
        <v>84</v>
      </c>
      <c r="K23" t="s">
        <v>181</v>
      </c>
      <c r="L23" t="s">
        <v>2707</v>
      </c>
      <c r="M23" t="s">
        <v>60</v>
      </c>
      <c r="N23">
        <v>5</v>
      </c>
      <c r="O23">
        <v>3406.87</v>
      </c>
      <c r="P23">
        <v>0</v>
      </c>
      <c r="Q23">
        <v>17034.349999999999</v>
      </c>
      <c r="R23">
        <v>14631.36</v>
      </c>
      <c r="S23">
        <v>2402.9899999999998</v>
      </c>
      <c r="T23" t="s">
        <v>42</v>
      </c>
      <c r="U23" t="s">
        <v>43</v>
      </c>
      <c r="V23" t="s">
        <v>2812</v>
      </c>
      <c r="W23" t="s">
        <v>2812</v>
      </c>
      <c r="X23">
        <v>-1.0661353799231277</v>
      </c>
      <c r="Y23">
        <v>17034.349999999999</v>
      </c>
      <c r="Z23">
        <v>2402.989999999998</v>
      </c>
      <c r="AA23">
        <v>0.14106731398615141</v>
      </c>
      <c r="AB23">
        <v>3</v>
      </c>
      <c r="AC23" t="s">
        <v>2822</v>
      </c>
      <c r="AD23">
        <v>2025</v>
      </c>
      <c r="AE23" t="s">
        <v>2814</v>
      </c>
    </row>
    <row r="24" spans="1:31">
      <c r="A24" t="s">
        <v>2690</v>
      </c>
      <c r="B24" s="8">
        <v>45592</v>
      </c>
      <c r="C24" s="8">
        <v>45597</v>
      </c>
      <c r="D24" t="s">
        <v>2691</v>
      </c>
      <c r="E24" t="s">
        <v>99</v>
      </c>
      <c r="F24" t="s">
        <v>100</v>
      </c>
      <c r="G24" t="s">
        <v>64</v>
      </c>
      <c r="H24" t="s">
        <v>259</v>
      </c>
      <c r="I24" t="s">
        <v>260</v>
      </c>
      <c r="J24" t="s">
        <v>84</v>
      </c>
      <c r="K24" t="s">
        <v>181</v>
      </c>
      <c r="L24" t="s">
        <v>2692</v>
      </c>
      <c r="M24" t="s">
        <v>69</v>
      </c>
      <c r="N24">
        <v>6</v>
      </c>
      <c r="O24">
        <v>4399.2</v>
      </c>
      <c r="P24">
        <v>0.05</v>
      </c>
      <c r="Q24">
        <v>25075.439999999999</v>
      </c>
      <c r="R24">
        <v>16282.74</v>
      </c>
      <c r="S24">
        <v>8792.7000000000007</v>
      </c>
      <c r="T24" t="s">
        <v>42</v>
      </c>
      <c r="U24" t="s">
        <v>43</v>
      </c>
      <c r="V24" t="s">
        <v>2812</v>
      </c>
      <c r="W24" t="s">
        <v>2812</v>
      </c>
      <c r="X24">
        <v>-0.58747117266059101</v>
      </c>
      <c r="Y24">
        <v>25075.439999999995</v>
      </c>
      <c r="Z24">
        <v>8792.6999999999953</v>
      </c>
      <c r="AA24">
        <v>0.35064987892535471</v>
      </c>
      <c r="AB24">
        <v>5</v>
      </c>
      <c r="AC24" t="s">
        <v>2823</v>
      </c>
      <c r="AD24">
        <v>2024</v>
      </c>
      <c r="AE24" t="s">
        <v>2814</v>
      </c>
    </row>
    <row r="25" spans="1:31">
      <c r="A25" t="s">
        <v>2685</v>
      </c>
      <c r="B25" s="8">
        <v>45447</v>
      </c>
      <c r="C25" s="8">
        <v>45447</v>
      </c>
      <c r="D25" t="s">
        <v>2185</v>
      </c>
      <c r="E25" t="s">
        <v>142</v>
      </c>
      <c r="F25" t="s">
        <v>105</v>
      </c>
      <c r="G25" t="s">
        <v>64</v>
      </c>
      <c r="H25" t="s">
        <v>195</v>
      </c>
      <c r="I25" t="s">
        <v>196</v>
      </c>
      <c r="J25" t="s">
        <v>38</v>
      </c>
      <c r="K25" t="s">
        <v>134</v>
      </c>
      <c r="L25" t="s">
        <v>2686</v>
      </c>
      <c r="M25" t="s">
        <v>60</v>
      </c>
      <c r="N25">
        <v>6</v>
      </c>
      <c r="O25">
        <v>2708.97</v>
      </c>
      <c r="P25">
        <v>0.25</v>
      </c>
      <c r="Q25">
        <v>12190.36</v>
      </c>
      <c r="R25">
        <v>10176.99</v>
      </c>
      <c r="S25">
        <v>2013.37</v>
      </c>
      <c r="T25" t="s">
        <v>42</v>
      </c>
      <c r="U25" t="s">
        <v>43</v>
      </c>
      <c r="V25" t="s">
        <v>2812</v>
      </c>
      <c r="W25" t="s">
        <v>2812</v>
      </c>
      <c r="X25">
        <v>1.3271856563895552</v>
      </c>
      <c r="Y25">
        <v>12190.365</v>
      </c>
      <c r="Z25">
        <v>2013.375</v>
      </c>
      <c r="AA25">
        <v>0.16516117441930575</v>
      </c>
      <c r="AB25">
        <v>0</v>
      </c>
      <c r="AC25" t="s">
        <v>2820</v>
      </c>
      <c r="AD25">
        <v>2024</v>
      </c>
      <c r="AE25" t="s">
        <v>2814</v>
      </c>
    </row>
    <row r="26" spans="1:31">
      <c r="A26" t="s">
        <v>161</v>
      </c>
      <c r="B26" s="8">
        <v>45676</v>
      </c>
      <c r="C26" s="8">
        <v>45678</v>
      </c>
      <c r="D26" t="s">
        <v>162</v>
      </c>
      <c r="E26" t="s">
        <v>46</v>
      </c>
      <c r="F26" t="s">
        <v>34</v>
      </c>
      <c r="G26" t="s">
        <v>64</v>
      </c>
      <c r="H26" t="s">
        <v>65</v>
      </c>
      <c r="I26" t="s">
        <v>66</v>
      </c>
      <c r="J26" t="s">
        <v>38</v>
      </c>
      <c r="K26" t="s">
        <v>163</v>
      </c>
      <c r="L26" t="s">
        <v>164</v>
      </c>
      <c r="M26" t="s">
        <v>69</v>
      </c>
      <c r="N26">
        <v>8</v>
      </c>
      <c r="O26">
        <v>1219.3399999999999</v>
      </c>
      <c r="P26">
        <v>0.15</v>
      </c>
      <c r="Q26">
        <v>8291.51</v>
      </c>
      <c r="R26">
        <v>6685.03</v>
      </c>
      <c r="S26">
        <v>1606.48</v>
      </c>
      <c r="T26" t="s">
        <v>165</v>
      </c>
      <c r="U26" t="s">
        <v>113</v>
      </c>
      <c r="V26" t="s">
        <v>2812</v>
      </c>
      <c r="W26" t="s">
        <v>2812</v>
      </c>
      <c r="X26">
        <v>0.3698572418644821</v>
      </c>
      <c r="Y26">
        <v>8291.5119999999988</v>
      </c>
      <c r="Z26">
        <v>1606.4819999999991</v>
      </c>
      <c r="AA26">
        <v>0.19375018693816029</v>
      </c>
      <c r="AB26">
        <v>2</v>
      </c>
      <c r="AC26" t="s">
        <v>2826</v>
      </c>
      <c r="AD26">
        <v>2025</v>
      </c>
      <c r="AE26" t="s">
        <v>2814</v>
      </c>
    </row>
    <row r="27" spans="1:31">
      <c r="A27" t="s">
        <v>2683</v>
      </c>
      <c r="B27" s="8">
        <v>45455</v>
      </c>
      <c r="C27" s="8">
        <v>45462</v>
      </c>
      <c r="D27" t="s">
        <v>1328</v>
      </c>
      <c r="E27" t="s">
        <v>151</v>
      </c>
      <c r="F27" t="s">
        <v>105</v>
      </c>
      <c r="G27" t="s">
        <v>64</v>
      </c>
      <c r="H27" t="s">
        <v>259</v>
      </c>
      <c r="I27" t="s">
        <v>260</v>
      </c>
      <c r="J27" t="s">
        <v>38</v>
      </c>
      <c r="K27" t="s">
        <v>134</v>
      </c>
      <c r="L27" t="s">
        <v>2684</v>
      </c>
      <c r="M27" t="s">
        <v>69</v>
      </c>
      <c r="N27">
        <v>4</v>
      </c>
      <c r="O27">
        <v>395.1</v>
      </c>
      <c r="P27">
        <v>-0.16</v>
      </c>
      <c r="Q27">
        <v>1185.3</v>
      </c>
      <c r="R27">
        <v>966.55</v>
      </c>
      <c r="S27">
        <v>218.75</v>
      </c>
      <c r="T27" t="s">
        <v>165</v>
      </c>
      <c r="U27" t="s">
        <v>78</v>
      </c>
      <c r="V27" t="s">
        <v>2827</v>
      </c>
      <c r="W27" t="s">
        <v>2812</v>
      </c>
      <c r="X27">
        <v>-2.5978608431632444</v>
      </c>
      <c r="Y27">
        <v>1833.2639999999999</v>
      </c>
      <c r="Z27">
        <v>866.71399999999994</v>
      </c>
      <c r="AA27">
        <v>0.47277097024760206</v>
      </c>
      <c r="AB27">
        <v>7</v>
      </c>
      <c r="AC27" t="s">
        <v>2820</v>
      </c>
      <c r="AD27">
        <v>2024</v>
      </c>
      <c r="AE27" t="s">
        <v>2819</v>
      </c>
    </row>
    <row r="28" spans="1:31">
      <c r="A28" t="s">
        <v>2677</v>
      </c>
      <c r="B28" s="8">
        <v>45741</v>
      </c>
      <c r="C28" s="8">
        <v>45692</v>
      </c>
      <c r="D28" t="s">
        <v>2678</v>
      </c>
      <c r="E28" t="s">
        <v>124</v>
      </c>
      <c r="F28" t="s">
        <v>34</v>
      </c>
      <c r="G28" t="s">
        <v>64</v>
      </c>
      <c r="H28" t="s">
        <v>185</v>
      </c>
      <c r="I28" t="s">
        <v>186</v>
      </c>
      <c r="J28" t="s">
        <v>51</v>
      </c>
      <c r="K28" t="s">
        <v>168</v>
      </c>
      <c r="L28" t="s">
        <v>2679</v>
      </c>
      <c r="M28" t="s">
        <v>41</v>
      </c>
      <c r="N28">
        <v>4</v>
      </c>
      <c r="O28">
        <v>2233.64</v>
      </c>
      <c r="P28">
        <v>0.05</v>
      </c>
      <c r="Q28">
        <v>8487.83</v>
      </c>
      <c r="R28">
        <v>5245.72</v>
      </c>
      <c r="S28">
        <v>3242.11</v>
      </c>
      <c r="T28" t="s">
        <v>42</v>
      </c>
      <c r="U28" t="s">
        <v>43</v>
      </c>
      <c r="V28" t="s">
        <v>2812</v>
      </c>
      <c r="W28" t="s">
        <v>2818</v>
      </c>
      <c r="X28">
        <v>-0.58747117266059101</v>
      </c>
      <c r="Y28">
        <v>8487.8319999999985</v>
      </c>
      <c r="Z28">
        <v>3242.1119999999983</v>
      </c>
      <c r="AA28">
        <v>0.38197174496384928</v>
      </c>
      <c r="AB28" t="e">
        <v>#NUM!</v>
      </c>
      <c r="AC28" t="s">
        <v>2828</v>
      </c>
      <c r="AD28">
        <v>2025</v>
      </c>
      <c r="AE28" t="s">
        <v>2819</v>
      </c>
    </row>
    <row r="29" spans="1:31">
      <c r="A29" t="s">
        <v>2674</v>
      </c>
      <c r="B29" s="8">
        <v>45793</v>
      </c>
      <c r="C29" s="8">
        <v>45799</v>
      </c>
      <c r="D29" t="s">
        <v>2675</v>
      </c>
      <c r="E29" t="s">
        <v>63</v>
      </c>
      <c r="F29" t="s">
        <v>100</v>
      </c>
      <c r="G29" t="s">
        <v>64</v>
      </c>
      <c r="H29" t="s">
        <v>259</v>
      </c>
      <c r="I29" t="s">
        <v>260</v>
      </c>
      <c r="J29" t="s">
        <v>84</v>
      </c>
      <c r="K29" t="s">
        <v>85</v>
      </c>
      <c r="L29" t="s">
        <v>2676</v>
      </c>
      <c r="M29" t="s">
        <v>54</v>
      </c>
      <c r="N29">
        <v>8</v>
      </c>
      <c r="O29">
        <v>579.79999999999995</v>
      </c>
      <c r="P29">
        <v>0.2</v>
      </c>
      <c r="Q29">
        <v>3710.72</v>
      </c>
      <c r="R29">
        <v>3115.29</v>
      </c>
      <c r="S29">
        <v>595.42999999999995</v>
      </c>
      <c r="T29" t="s">
        <v>42</v>
      </c>
      <c r="U29" t="s">
        <v>43</v>
      </c>
      <c r="V29" t="s">
        <v>2812</v>
      </c>
      <c r="W29" t="s">
        <v>2812</v>
      </c>
      <c r="X29">
        <v>0.84852144912701888</v>
      </c>
      <c r="Y29">
        <v>3710.72</v>
      </c>
      <c r="Z29">
        <v>595.42999999999984</v>
      </c>
      <c r="AA29">
        <v>0.16046212055881334</v>
      </c>
      <c r="AB29">
        <v>6</v>
      </c>
      <c r="AC29" t="s">
        <v>2821</v>
      </c>
      <c r="AD29">
        <v>2025</v>
      </c>
      <c r="AE29" t="s">
        <v>2814</v>
      </c>
    </row>
    <row r="30" spans="1:31">
      <c r="A30" t="s">
        <v>2659</v>
      </c>
      <c r="B30" s="8">
        <v>45804</v>
      </c>
      <c r="C30" s="8">
        <v>45806</v>
      </c>
      <c r="D30" t="s">
        <v>2660</v>
      </c>
      <c r="E30" t="s">
        <v>128</v>
      </c>
      <c r="F30" t="s">
        <v>105</v>
      </c>
      <c r="G30" t="s">
        <v>64</v>
      </c>
      <c r="H30" t="s">
        <v>259</v>
      </c>
      <c r="I30" t="s">
        <v>260</v>
      </c>
      <c r="J30" t="s">
        <v>51</v>
      </c>
      <c r="K30" t="s">
        <v>67</v>
      </c>
      <c r="L30" t="s">
        <v>2661</v>
      </c>
      <c r="M30" t="s">
        <v>41</v>
      </c>
      <c r="N30">
        <v>1</v>
      </c>
      <c r="O30">
        <v>1744.35</v>
      </c>
      <c r="P30">
        <v>0.25</v>
      </c>
      <c r="Q30">
        <v>1308.26</v>
      </c>
      <c r="R30">
        <v>1083.56</v>
      </c>
      <c r="S30">
        <v>224.7</v>
      </c>
      <c r="T30" t="s">
        <v>42</v>
      </c>
      <c r="U30" t="s">
        <v>43</v>
      </c>
      <c r="V30" t="s">
        <v>2812</v>
      </c>
      <c r="W30" t="s">
        <v>2812</v>
      </c>
      <c r="X30">
        <v>1.3271856563895552</v>
      </c>
      <c r="Y30">
        <v>1308.2624999999998</v>
      </c>
      <c r="Z30">
        <v>224.70249999999987</v>
      </c>
      <c r="AA30">
        <v>0.17175643267310645</v>
      </c>
      <c r="AB30">
        <v>2</v>
      </c>
      <c r="AC30" t="s">
        <v>2821</v>
      </c>
      <c r="AD30">
        <v>2025</v>
      </c>
      <c r="AE30" t="s">
        <v>2814</v>
      </c>
    </row>
    <row r="31" spans="1:31">
      <c r="A31" t="s">
        <v>183</v>
      </c>
      <c r="B31" s="8">
        <v>45929</v>
      </c>
      <c r="C31" s="8">
        <v>45935</v>
      </c>
      <c r="D31" t="s">
        <v>184</v>
      </c>
      <c r="E31" t="s">
        <v>63</v>
      </c>
      <c r="F31" t="s">
        <v>47</v>
      </c>
      <c r="G31" t="s">
        <v>64</v>
      </c>
      <c r="H31" t="s">
        <v>185</v>
      </c>
      <c r="I31" t="s">
        <v>186</v>
      </c>
      <c r="J31" t="s">
        <v>38</v>
      </c>
      <c r="K31" t="s">
        <v>39</v>
      </c>
      <c r="L31" t="s">
        <v>187</v>
      </c>
      <c r="M31" t="s">
        <v>41</v>
      </c>
      <c r="N31">
        <v>5</v>
      </c>
      <c r="O31">
        <v>1806.51</v>
      </c>
      <c r="P31">
        <v>0.25</v>
      </c>
      <c r="Q31">
        <v>6774.41</v>
      </c>
      <c r="R31">
        <v>4710.3599999999997</v>
      </c>
      <c r="S31">
        <v>2064.0500000000002</v>
      </c>
      <c r="T31" t="s">
        <v>165</v>
      </c>
      <c r="U31" t="s">
        <v>113</v>
      </c>
      <c r="V31" t="s">
        <v>2812</v>
      </c>
      <c r="W31" t="s">
        <v>2812</v>
      </c>
      <c r="X31">
        <v>1.3271856563895552</v>
      </c>
      <c r="Y31">
        <v>6774.4124999999995</v>
      </c>
      <c r="Z31">
        <v>2064.0524999999998</v>
      </c>
      <c r="AA31">
        <v>0.30468361647596748</v>
      </c>
      <c r="AB31">
        <v>6</v>
      </c>
      <c r="AC31" t="s">
        <v>2822</v>
      </c>
      <c r="AD31">
        <v>2025</v>
      </c>
      <c r="AE31" t="s">
        <v>2814</v>
      </c>
    </row>
    <row r="32" spans="1:31">
      <c r="A32" t="s">
        <v>2617</v>
      </c>
      <c r="B32" s="8">
        <v>45583</v>
      </c>
      <c r="C32" s="8">
        <v>45587</v>
      </c>
      <c r="D32" t="s">
        <v>2618</v>
      </c>
      <c r="E32" t="s">
        <v>138</v>
      </c>
      <c r="F32" t="s">
        <v>105</v>
      </c>
      <c r="G32" t="s">
        <v>64</v>
      </c>
      <c r="H32" t="s">
        <v>65</v>
      </c>
      <c r="I32" t="s">
        <v>66</v>
      </c>
      <c r="J32" t="s">
        <v>38</v>
      </c>
      <c r="K32" t="s">
        <v>58</v>
      </c>
      <c r="L32" t="s">
        <v>2619</v>
      </c>
      <c r="M32" t="s">
        <v>60</v>
      </c>
      <c r="N32">
        <v>6</v>
      </c>
      <c r="O32">
        <v>674.61</v>
      </c>
      <c r="P32">
        <v>0</v>
      </c>
      <c r="Q32">
        <v>4047.66</v>
      </c>
      <c r="R32">
        <v>3078.93</v>
      </c>
      <c r="S32">
        <v>1279.79</v>
      </c>
      <c r="T32" t="s">
        <v>42</v>
      </c>
      <c r="U32" t="s">
        <v>43</v>
      </c>
      <c r="V32" t="s">
        <v>2812</v>
      </c>
      <c r="W32" t="s">
        <v>2812</v>
      </c>
      <c r="X32">
        <v>-1.0661353799231277</v>
      </c>
      <c r="Y32">
        <v>4047.66</v>
      </c>
      <c r="Z32">
        <v>968.73</v>
      </c>
      <c r="AA32">
        <v>0.23933087265234729</v>
      </c>
      <c r="AB32">
        <v>4</v>
      </c>
      <c r="AC32" t="s">
        <v>2823</v>
      </c>
      <c r="AD32">
        <v>2024</v>
      </c>
      <c r="AE32" t="s">
        <v>2814</v>
      </c>
    </row>
    <row r="33" spans="1:31">
      <c r="A33" t="s">
        <v>193</v>
      </c>
      <c r="B33" s="8">
        <v>45882</v>
      </c>
      <c r="C33" s="8">
        <v>45882</v>
      </c>
      <c r="D33" t="s">
        <v>194</v>
      </c>
      <c r="E33" t="s">
        <v>151</v>
      </c>
      <c r="F33" t="s">
        <v>105</v>
      </c>
      <c r="G33" t="s">
        <v>64</v>
      </c>
      <c r="H33" t="s">
        <v>195</v>
      </c>
      <c r="I33" t="s">
        <v>196</v>
      </c>
      <c r="J33" t="s">
        <v>84</v>
      </c>
      <c r="K33" t="s">
        <v>181</v>
      </c>
      <c r="L33" t="s">
        <v>197</v>
      </c>
      <c r="M33" t="s">
        <v>69</v>
      </c>
      <c r="N33">
        <v>1</v>
      </c>
      <c r="O33">
        <v>256.01</v>
      </c>
      <c r="P33">
        <v>0.15</v>
      </c>
      <c r="Q33">
        <v>217.61</v>
      </c>
      <c r="R33">
        <v>119.77</v>
      </c>
      <c r="S33">
        <v>97.84</v>
      </c>
      <c r="T33" t="s">
        <v>42</v>
      </c>
      <c r="U33" t="s">
        <v>43</v>
      </c>
      <c r="V33" t="s">
        <v>2812</v>
      </c>
      <c r="W33" t="s">
        <v>2812</v>
      </c>
      <c r="X33">
        <v>0.3698572418644821</v>
      </c>
      <c r="Y33">
        <v>217.60849999999999</v>
      </c>
      <c r="Z33">
        <v>97.838499999999996</v>
      </c>
      <c r="AA33">
        <v>0.44960789675035673</v>
      </c>
      <c r="AB33">
        <v>0</v>
      </c>
      <c r="AC33" t="s">
        <v>2813</v>
      </c>
      <c r="AD33">
        <v>2025</v>
      </c>
      <c r="AE33" t="s">
        <v>2814</v>
      </c>
    </row>
    <row r="34" spans="1:31">
      <c r="A34" t="s">
        <v>2611</v>
      </c>
      <c r="B34" s="8">
        <v>45803</v>
      </c>
      <c r="C34" s="8">
        <v>45805</v>
      </c>
      <c r="D34" t="s">
        <v>2612</v>
      </c>
      <c r="E34" t="s">
        <v>276</v>
      </c>
      <c r="F34" t="s">
        <v>47</v>
      </c>
      <c r="G34" t="s">
        <v>64</v>
      </c>
      <c r="H34" t="s">
        <v>94</v>
      </c>
      <c r="I34" t="s">
        <v>95</v>
      </c>
      <c r="J34" t="s">
        <v>84</v>
      </c>
      <c r="K34" t="s">
        <v>181</v>
      </c>
      <c r="L34" t="s">
        <v>2613</v>
      </c>
      <c r="M34" t="s">
        <v>41</v>
      </c>
      <c r="N34">
        <v>9</v>
      </c>
      <c r="O34">
        <v>4302.0200000000004</v>
      </c>
      <c r="P34">
        <v>0.05</v>
      </c>
      <c r="Q34">
        <v>36782.269999999997</v>
      </c>
      <c r="R34">
        <v>25902.81</v>
      </c>
      <c r="S34">
        <v>10879.46</v>
      </c>
      <c r="T34" t="s">
        <v>42</v>
      </c>
      <c r="U34" t="s">
        <v>43</v>
      </c>
      <c r="V34" t="s">
        <v>2812</v>
      </c>
      <c r="W34" t="s">
        <v>2812</v>
      </c>
      <c r="X34">
        <v>-0.58747117266059101</v>
      </c>
      <c r="Y34">
        <v>36782.271000000008</v>
      </c>
      <c r="Z34">
        <v>10879.461000000007</v>
      </c>
      <c r="AA34">
        <v>0.29578002402298664</v>
      </c>
      <c r="AB34">
        <v>2</v>
      </c>
      <c r="AC34" t="s">
        <v>2821</v>
      </c>
      <c r="AD34">
        <v>2025</v>
      </c>
      <c r="AE34" t="s">
        <v>2814</v>
      </c>
    </row>
    <row r="35" spans="1:31">
      <c r="A35" t="s">
        <v>2596</v>
      </c>
      <c r="B35" s="8">
        <v>45620</v>
      </c>
      <c r="C35" s="8">
        <v>45627</v>
      </c>
      <c r="D35" t="s">
        <v>2597</v>
      </c>
      <c r="E35" t="s">
        <v>124</v>
      </c>
      <c r="F35" t="s">
        <v>105</v>
      </c>
      <c r="G35" t="s">
        <v>64</v>
      </c>
      <c r="H35" t="s">
        <v>259</v>
      </c>
      <c r="I35" t="s">
        <v>260</v>
      </c>
      <c r="J35" t="s">
        <v>38</v>
      </c>
      <c r="K35" t="s">
        <v>39</v>
      </c>
      <c r="L35" t="s">
        <v>2598</v>
      </c>
      <c r="M35" t="s">
        <v>54</v>
      </c>
      <c r="N35">
        <v>1</v>
      </c>
      <c r="O35">
        <v>844.89</v>
      </c>
      <c r="P35">
        <v>0.25</v>
      </c>
      <c r="Q35">
        <v>633.66999999999996</v>
      </c>
      <c r="R35">
        <v>520.47</v>
      </c>
      <c r="S35">
        <v>113.2</v>
      </c>
      <c r="T35" t="s">
        <v>42</v>
      </c>
      <c r="U35" t="s">
        <v>78</v>
      </c>
      <c r="V35" t="s">
        <v>2812</v>
      </c>
      <c r="W35" t="s">
        <v>2812</v>
      </c>
      <c r="X35">
        <v>1.3271856563895552</v>
      </c>
      <c r="Y35">
        <v>633.66750000000002</v>
      </c>
      <c r="Z35">
        <v>113.19749999999999</v>
      </c>
      <c r="AA35">
        <v>0.17863863934950111</v>
      </c>
      <c r="AB35">
        <v>7</v>
      </c>
      <c r="AC35" t="s">
        <v>2817</v>
      </c>
      <c r="AD35">
        <v>2024</v>
      </c>
      <c r="AE35" t="s">
        <v>2824</v>
      </c>
    </row>
    <row r="36" spans="1:31">
      <c r="A36" t="s">
        <v>206</v>
      </c>
      <c r="B36" s="8">
        <v>45618</v>
      </c>
      <c r="C36" s="8">
        <v>45622</v>
      </c>
      <c r="D36" t="s">
        <v>207</v>
      </c>
      <c r="E36" t="s">
        <v>138</v>
      </c>
      <c r="F36" t="s">
        <v>100</v>
      </c>
      <c r="G36" t="s">
        <v>64</v>
      </c>
      <c r="H36" t="s">
        <v>94</v>
      </c>
      <c r="I36" t="s">
        <v>95</v>
      </c>
      <c r="J36" t="s">
        <v>84</v>
      </c>
      <c r="K36" t="s">
        <v>181</v>
      </c>
      <c r="L36" t="s">
        <v>208</v>
      </c>
      <c r="M36" t="s">
        <v>41</v>
      </c>
      <c r="N36">
        <v>3</v>
      </c>
      <c r="O36">
        <v>4001.25</v>
      </c>
      <c r="Q36">
        <v>9002.81</v>
      </c>
      <c r="R36">
        <v>7529.92</v>
      </c>
      <c r="S36">
        <v>1472.89</v>
      </c>
      <c r="T36" t="s">
        <v>42</v>
      </c>
      <c r="U36" t="s">
        <v>43</v>
      </c>
      <c r="V36" t="s">
        <v>2812</v>
      </c>
      <c r="W36" t="s">
        <v>2812</v>
      </c>
      <c r="X36">
        <v>-1.0661353799231277</v>
      </c>
      <c r="Y36">
        <v>12003.75</v>
      </c>
      <c r="Z36">
        <v>4473.83</v>
      </c>
      <c r="AA36">
        <v>0.37270269707383108</v>
      </c>
      <c r="AB36">
        <v>4</v>
      </c>
      <c r="AC36" t="s">
        <v>2817</v>
      </c>
      <c r="AD36">
        <v>2024</v>
      </c>
      <c r="AE36" t="s">
        <v>2814</v>
      </c>
    </row>
    <row r="37" spans="1:31">
      <c r="A37" t="s">
        <v>2578</v>
      </c>
      <c r="B37" s="8">
        <v>45476</v>
      </c>
      <c r="C37" s="8">
        <v>45479</v>
      </c>
      <c r="D37" t="s">
        <v>2579</v>
      </c>
      <c r="E37" t="s">
        <v>138</v>
      </c>
      <c r="F37" t="s">
        <v>100</v>
      </c>
      <c r="G37" t="s">
        <v>64</v>
      </c>
      <c r="H37" t="s">
        <v>185</v>
      </c>
      <c r="I37" t="s">
        <v>186</v>
      </c>
      <c r="J37" t="s">
        <v>84</v>
      </c>
      <c r="K37" t="s">
        <v>85</v>
      </c>
      <c r="L37" t="s">
        <v>2580</v>
      </c>
      <c r="M37" t="s">
        <v>60</v>
      </c>
      <c r="N37">
        <v>7</v>
      </c>
      <c r="O37">
        <v>1942.49</v>
      </c>
      <c r="P37">
        <v>0.2</v>
      </c>
      <c r="Q37">
        <v>10877.94</v>
      </c>
      <c r="R37">
        <v>9110.14</v>
      </c>
      <c r="S37">
        <v>1767.8</v>
      </c>
      <c r="T37" t="s">
        <v>42</v>
      </c>
      <c r="U37" t="s">
        <v>43</v>
      </c>
      <c r="V37" t="s">
        <v>2812</v>
      </c>
      <c r="W37" t="s">
        <v>2812</v>
      </c>
      <c r="X37">
        <v>0.84852144912701888</v>
      </c>
      <c r="Y37">
        <v>10877.944000000001</v>
      </c>
      <c r="Z37">
        <v>1767.8040000000019</v>
      </c>
      <c r="AA37">
        <v>0.16251269541376584</v>
      </c>
      <c r="AB37">
        <v>3</v>
      </c>
      <c r="AC37" t="s">
        <v>2829</v>
      </c>
      <c r="AD37">
        <v>2024</v>
      </c>
      <c r="AE37" t="s">
        <v>2814</v>
      </c>
    </row>
    <row r="38" spans="1:31">
      <c r="A38" t="s">
        <v>2571</v>
      </c>
      <c r="B38" s="8">
        <v>45504</v>
      </c>
      <c r="C38" s="8">
        <v>45504</v>
      </c>
      <c r="D38" t="s">
        <v>2572</v>
      </c>
      <c r="E38" t="s">
        <v>33</v>
      </c>
      <c r="F38" t="s">
        <v>105</v>
      </c>
      <c r="G38" t="s">
        <v>64</v>
      </c>
      <c r="H38" t="s">
        <v>195</v>
      </c>
      <c r="I38" t="s">
        <v>196</v>
      </c>
      <c r="J38" t="s">
        <v>84</v>
      </c>
      <c r="K38" t="s">
        <v>286</v>
      </c>
      <c r="L38" t="s">
        <v>2574</v>
      </c>
      <c r="M38" t="s">
        <v>69</v>
      </c>
      <c r="N38">
        <v>8</v>
      </c>
      <c r="O38">
        <v>4246.01</v>
      </c>
      <c r="P38">
        <v>0</v>
      </c>
      <c r="Q38">
        <v>33968.080000000002</v>
      </c>
      <c r="R38">
        <v>26902.44</v>
      </c>
      <c r="S38">
        <v>7065.64</v>
      </c>
      <c r="T38" t="s">
        <v>165</v>
      </c>
      <c r="U38" t="s">
        <v>78</v>
      </c>
      <c r="V38" t="s">
        <v>2812</v>
      </c>
      <c r="W38" t="s">
        <v>2812</v>
      </c>
      <c r="X38">
        <v>-1.0661353799231277</v>
      </c>
      <c r="Y38">
        <v>33968.080000000002</v>
      </c>
      <c r="Z38">
        <v>7065.6400000000031</v>
      </c>
      <c r="AA38">
        <v>0.20800822419165294</v>
      </c>
      <c r="AB38">
        <v>0</v>
      </c>
      <c r="AC38" t="s">
        <v>2829</v>
      </c>
      <c r="AD38">
        <v>2024</v>
      </c>
      <c r="AE38" t="s">
        <v>2824</v>
      </c>
    </row>
    <row r="39" spans="1:31">
      <c r="A39" t="s">
        <v>2540</v>
      </c>
      <c r="B39" s="8">
        <v>45900</v>
      </c>
      <c r="C39" s="8">
        <v>45897</v>
      </c>
      <c r="D39" t="s">
        <v>2541</v>
      </c>
      <c r="E39" t="s">
        <v>138</v>
      </c>
      <c r="F39" t="s">
        <v>47</v>
      </c>
      <c r="G39" t="s">
        <v>64</v>
      </c>
      <c r="H39" t="s">
        <v>259</v>
      </c>
      <c r="I39" t="s">
        <v>260</v>
      </c>
      <c r="J39" t="s">
        <v>51</v>
      </c>
      <c r="K39" t="s">
        <v>67</v>
      </c>
      <c r="L39" t="s">
        <v>2542</v>
      </c>
      <c r="M39" t="s">
        <v>60</v>
      </c>
      <c r="N39">
        <v>7</v>
      </c>
      <c r="O39">
        <v>977.28</v>
      </c>
      <c r="P39">
        <v>0.2</v>
      </c>
      <c r="Q39">
        <v>5472.77</v>
      </c>
      <c r="R39">
        <v>4477.33</v>
      </c>
      <c r="S39">
        <v>995.44</v>
      </c>
      <c r="T39" t="s">
        <v>42</v>
      </c>
      <c r="U39" t="s">
        <v>43</v>
      </c>
      <c r="V39" t="s">
        <v>2812</v>
      </c>
      <c r="W39" t="s">
        <v>2818</v>
      </c>
      <c r="X39">
        <v>0.84852144912701888</v>
      </c>
      <c r="Y39">
        <v>5472.768</v>
      </c>
      <c r="Z39">
        <v>995.4380000000001</v>
      </c>
      <c r="AA39">
        <v>0.18188931085695575</v>
      </c>
      <c r="AB39" t="e">
        <v>#NUM!</v>
      </c>
      <c r="AC39" t="s">
        <v>2813</v>
      </c>
      <c r="AD39">
        <v>2025</v>
      </c>
      <c r="AE39" t="s">
        <v>2819</v>
      </c>
    </row>
    <row r="40" spans="1:31">
      <c r="A40" t="s">
        <v>2536</v>
      </c>
      <c r="B40" s="8">
        <v>45695</v>
      </c>
      <c r="C40" s="8">
        <v>45696</v>
      </c>
      <c r="D40" t="s">
        <v>2537</v>
      </c>
      <c r="E40" t="s">
        <v>33</v>
      </c>
      <c r="F40" t="s">
        <v>47</v>
      </c>
      <c r="G40" t="s">
        <v>64</v>
      </c>
      <c r="H40" t="s">
        <v>65</v>
      </c>
      <c r="I40" t="s">
        <v>66</v>
      </c>
      <c r="J40" t="s">
        <v>38</v>
      </c>
      <c r="K40" t="s">
        <v>101</v>
      </c>
      <c r="L40" t="s">
        <v>2538</v>
      </c>
      <c r="M40" t="s">
        <v>69</v>
      </c>
      <c r="N40">
        <v>2</v>
      </c>
      <c r="O40">
        <v>2432.98</v>
      </c>
      <c r="P40">
        <v>0.1</v>
      </c>
      <c r="Q40">
        <v>4379.3599999999997</v>
      </c>
      <c r="R40">
        <v>3723.93</v>
      </c>
      <c r="S40">
        <v>655.43</v>
      </c>
      <c r="T40" t="s">
        <v>42</v>
      </c>
      <c r="U40" t="s">
        <v>43</v>
      </c>
      <c r="V40" t="s">
        <v>2812</v>
      </c>
      <c r="W40" t="s">
        <v>2812</v>
      </c>
      <c r="X40">
        <v>-0.10880696539805437</v>
      </c>
      <c r="Y40">
        <v>4379.3640000000005</v>
      </c>
      <c r="Z40">
        <v>655.43400000000065</v>
      </c>
      <c r="AA40">
        <v>0.14966419781502532</v>
      </c>
      <c r="AB40">
        <v>1</v>
      </c>
      <c r="AC40" t="s">
        <v>2815</v>
      </c>
      <c r="AD40">
        <v>2025</v>
      </c>
      <c r="AE40" t="s">
        <v>2814</v>
      </c>
    </row>
    <row r="41" spans="1:31">
      <c r="A41" t="s">
        <v>2528</v>
      </c>
      <c r="B41" s="8">
        <v>45910</v>
      </c>
      <c r="C41" s="8">
        <v>45918</v>
      </c>
      <c r="D41" t="s">
        <v>2529</v>
      </c>
      <c r="E41" t="s">
        <v>128</v>
      </c>
      <c r="F41" t="s">
        <v>105</v>
      </c>
      <c r="G41" t="s">
        <v>64</v>
      </c>
      <c r="H41" t="s">
        <v>65</v>
      </c>
      <c r="I41" t="s">
        <v>66</v>
      </c>
      <c r="J41" t="s">
        <v>51</v>
      </c>
      <c r="K41" t="s">
        <v>67</v>
      </c>
      <c r="L41" t="s">
        <v>2530</v>
      </c>
      <c r="M41" t="s">
        <v>69</v>
      </c>
      <c r="N41">
        <v>1</v>
      </c>
      <c r="O41">
        <v>2050.62</v>
      </c>
      <c r="P41">
        <v>0.05</v>
      </c>
      <c r="Q41">
        <v>1948.09</v>
      </c>
      <c r="R41">
        <v>1507.08</v>
      </c>
      <c r="S41">
        <v>441.01</v>
      </c>
      <c r="T41" t="s">
        <v>42</v>
      </c>
      <c r="U41" t="s">
        <v>43</v>
      </c>
      <c r="V41" t="s">
        <v>2812</v>
      </c>
      <c r="W41" t="s">
        <v>2812</v>
      </c>
      <c r="X41">
        <v>-0.58747117266059101</v>
      </c>
      <c r="Y41">
        <v>1948.0889999999997</v>
      </c>
      <c r="Z41">
        <v>441.00899999999979</v>
      </c>
      <c r="AA41">
        <v>0.22638031424642296</v>
      </c>
      <c r="AB41">
        <v>8</v>
      </c>
      <c r="AC41" t="s">
        <v>2822</v>
      </c>
      <c r="AD41">
        <v>2025</v>
      </c>
      <c r="AE41" t="s">
        <v>2814</v>
      </c>
    </row>
    <row r="42" spans="1:31">
      <c r="A42" t="s">
        <v>2503</v>
      </c>
      <c r="B42" s="8">
        <v>45374</v>
      </c>
      <c r="C42" s="8">
        <v>45381</v>
      </c>
      <c r="D42" t="s">
        <v>2504</v>
      </c>
      <c r="E42" t="s">
        <v>151</v>
      </c>
      <c r="F42" t="s">
        <v>47</v>
      </c>
      <c r="G42" t="s">
        <v>64</v>
      </c>
      <c r="H42" t="s">
        <v>94</v>
      </c>
      <c r="I42" t="s">
        <v>95</v>
      </c>
      <c r="J42" t="s">
        <v>84</v>
      </c>
      <c r="K42" t="s">
        <v>286</v>
      </c>
      <c r="L42" t="s">
        <v>2505</v>
      </c>
      <c r="M42" t="s">
        <v>60</v>
      </c>
      <c r="N42">
        <v>6</v>
      </c>
      <c r="O42">
        <v>1894.44</v>
      </c>
      <c r="P42">
        <v>0.15</v>
      </c>
      <c r="Q42">
        <v>9661.64</v>
      </c>
      <c r="R42">
        <v>6303.77</v>
      </c>
      <c r="S42">
        <v>3357.87</v>
      </c>
      <c r="T42" t="s">
        <v>42</v>
      </c>
      <c r="U42" t="s">
        <v>43</v>
      </c>
      <c r="V42" t="s">
        <v>2812</v>
      </c>
      <c r="W42" t="s">
        <v>2812</v>
      </c>
      <c r="X42">
        <v>0.3698572418644821</v>
      </c>
      <c r="Y42">
        <v>9661.6439999999984</v>
      </c>
      <c r="Z42">
        <v>3357.873999999998</v>
      </c>
      <c r="AA42">
        <v>0.34754685641491223</v>
      </c>
      <c r="AB42">
        <v>7</v>
      </c>
      <c r="AC42" t="s">
        <v>2828</v>
      </c>
      <c r="AD42">
        <v>2024</v>
      </c>
      <c r="AE42" t="s">
        <v>2814</v>
      </c>
    </row>
    <row r="43" spans="1:31">
      <c r="A43" t="s">
        <v>2488</v>
      </c>
      <c r="B43" s="8">
        <v>45567</v>
      </c>
      <c r="C43" s="8">
        <v>45571</v>
      </c>
      <c r="D43" t="s">
        <v>2489</v>
      </c>
      <c r="E43" t="s">
        <v>128</v>
      </c>
      <c r="F43" t="s">
        <v>105</v>
      </c>
      <c r="G43" t="s">
        <v>64</v>
      </c>
      <c r="H43" t="s">
        <v>185</v>
      </c>
      <c r="I43" t="s">
        <v>186</v>
      </c>
      <c r="J43" t="s">
        <v>51</v>
      </c>
      <c r="K43" t="s">
        <v>168</v>
      </c>
      <c r="L43" t="s">
        <v>2490</v>
      </c>
      <c r="M43" t="s">
        <v>54</v>
      </c>
      <c r="N43">
        <v>8</v>
      </c>
      <c r="O43">
        <v>1558.77</v>
      </c>
      <c r="P43">
        <v>0.25</v>
      </c>
      <c r="Q43">
        <v>9352.6200000000008</v>
      </c>
      <c r="R43">
        <v>5269.41</v>
      </c>
      <c r="S43">
        <v>4083.21</v>
      </c>
      <c r="T43" t="s">
        <v>42</v>
      </c>
      <c r="U43" t="s">
        <v>43</v>
      </c>
      <c r="V43" t="s">
        <v>2812</v>
      </c>
      <c r="W43" t="s">
        <v>2812</v>
      </c>
      <c r="X43">
        <v>1.3271856563895552</v>
      </c>
      <c r="Y43">
        <v>9352.619999999999</v>
      </c>
      <c r="Z43">
        <v>4083.2099999999991</v>
      </c>
      <c r="AA43">
        <v>0.43658461479243243</v>
      </c>
      <c r="AB43">
        <v>4</v>
      </c>
      <c r="AC43" t="s">
        <v>2823</v>
      </c>
      <c r="AD43">
        <v>2024</v>
      </c>
      <c r="AE43" t="s">
        <v>2814</v>
      </c>
    </row>
    <row r="44" spans="1:31">
      <c r="A44" t="s">
        <v>2485</v>
      </c>
      <c r="B44" s="8">
        <v>45443</v>
      </c>
      <c r="C44" s="8">
        <v>45445</v>
      </c>
      <c r="D44" t="s">
        <v>2486</v>
      </c>
      <c r="E44" t="s">
        <v>128</v>
      </c>
      <c r="F44" t="s">
        <v>100</v>
      </c>
      <c r="G44" t="s">
        <v>64</v>
      </c>
      <c r="H44" t="s">
        <v>94</v>
      </c>
      <c r="I44" t="s">
        <v>95</v>
      </c>
      <c r="J44" t="s">
        <v>38</v>
      </c>
      <c r="K44" t="s">
        <v>58</v>
      </c>
      <c r="L44" t="s">
        <v>2487</v>
      </c>
      <c r="M44" t="s">
        <v>69</v>
      </c>
      <c r="N44">
        <v>8</v>
      </c>
      <c r="O44">
        <v>667.59</v>
      </c>
      <c r="P44">
        <v>0.2</v>
      </c>
      <c r="Q44">
        <v>4272.58</v>
      </c>
      <c r="R44">
        <v>3328.92</v>
      </c>
      <c r="S44">
        <v>943.66</v>
      </c>
      <c r="T44" t="s">
        <v>42</v>
      </c>
      <c r="U44" t="s">
        <v>43</v>
      </c>
      <c r="V44" t="s">
        <v>2812</v>
      </c>
      <c r="W44" t="s">
        <v>2812</v>
      </c>
      <c r="X44">
        <v>0.84852144912701888</v>
      </c>
      <c r="Y44">
        <v>4272.576</v>
      </c>
      <c r="Z44">
        <v>943.65599999999995</v>
      </c>
      <c r="AA44">
        <v>0.22086347908147214</v>
      </c>
      <c r="AB44">
        <v>2</v>
      </c>
      <c r="AC44" t="s">
        <v>2821</v>
      </c>
      <c r="AD44">
        <v>2024</v>
      </c>
      <c r="AE44" t="s">
        <v>2814</v>
      </c>
    </row>
    <row r="45" spans="1:31">
      <c r="A45" t="s">
        <v>2451</v>
      </c>
      <c r="B45" s="8">
        <v>45306</v>
      </c>
      <c r="C45" s="8">
        <v>45311</v>
      </c>
      <c r="D45" t="s">
        <v>2452</v>
      </c>
      <c r="E45" t="s">
        <v>124</v>
      </c>
      <c r="F45" t="s">
        <v>47</v>
      </c>
      <c r="G45" t="s">
        <v>64</v>
      </c>
      <c r="H45" t="s">
        <v>94</v>
      </c>
      <c r="I45" t="s">
        <v>95</v>
      </c>
      <c r="J45" t="s">
        <v>51</v>
      </c>
      <c r="K45" t="s">
        <v>76</v>
      </c>
      <c r="L45" t="s">
        <v>2453</v>
      </c>
      <c r="M45" t="s">
        <v>69</v>
      </c>
      <c r="N45">
        <v>4</v>
      </c>
      <c r="O45">
        <v>3153.54</v>
      </c>
      <c r="P45">
        <v>0.05</v>
      </c>
      <c r="Q45">
        <v>11983.45</v>
      </c>
      <c r="R45">
        <v>8572.9</v>
      </c>
      <c r="S45">
        <v>3410.55</v>
      </c>
      <c r="T45" t="s">
        <v>42</v>
      </c>
      <c r="U45" t="s">
        <v>43</v>
      </c>
      <c r="V45" t="s">
        <v>2812</v>
      </c>
      <c r="W45" t="s">
        <v>2812</v>
      </c>
      <c r="X45">
        <v>-0.58747117266059101</v>
      </c>
      <c r="Y45">
        <v>11983.451999999999</v>
      </c>
      <c r="Z45">
        <v>3410.5519999999997</v>
      </c>
      <c r="AA45">
        <v>0.2846051371507976</v>
      </c>
      <c r="AB45">
        <v>5</v>
      </c>
      <c r="AC45" t="s">
        <v>2826</v>
      </c>
      <c r="AD45">
        <v>2024</v>
      </c>
      <c r="AE45" t="s">
        <v>2814</v>
      </c>
    </row>
    <row r="46" spans="1:31">
      <c r="A46" t="s">
        <v>2430</v>
      </c>
      <c r="B46" s="8">
        <v>45853</v>
      </c>
      <c r="C46" s="8">
        <v>45857</v>
      </c>
      <c r="D46" t="s">
        <v>2431</v>
      </c>
      <c r="E46" t="s">
        <v>172</v>
      </c>
      <c r="F46" t="s">
        <v>34</v>
      </c>
      <c r="G46" t="s">
        <v>64</v>
      </c>
      <c r="H46" t="s">
        <v>259</v>
      </c>
      <c r="I46" t="s">
        <v>260</v>
      </c>
      <c r="J46" t="s">
        <v>51</v>
      </c>
      <c r="K46" t="s">
        <v>76</v>
      </c>
      <c r="L46" t="s">
        <v>2432</v>
      </c>
      <c r="M46" t="s">
        <v>54</v>
      </c>
      <c r="N46">
        <v>1</v>
      </c>
      <c r="O46">
        <v>3903.22</v>
      </c>
      <c r="P46">
        <v>0.05</v>
      </c>
      <c r="Q46">
        <v>3708.06</v>
      </c>
      <c r="R46">
        <v>2760.29</v>
      </c>
      <c r="S46">
        <v>947.77</v>
      </c>
      <c r="T46" t="s">
        <v>121</v>
      </c>
      <c r="U46" t="s">
        <v>78</v>
      </c>
      <c r="V46" t="s">
        <v>2812</v>
      </c>
      <c r="W46" t="s">
        <v>2812</v>
      </c>
      <c r="X46">
        <v>-0.58747117266059101</v>
      </c>
      <c r="Y46">
        <v>3708.0589999999997</v>
      </c>
      <c r="Z46">
        <v>947.76899999999978</v>
      </c>
      <c r="AA46">
        <v>0.25559706574248142</v>
      </c>
      <c r="AB46">
        <v>4</v>
      </c>
      <c r="AC46" t="s">
        <v>2829</v>
      </c>
      <c r="AD46">
        <v>2025</v>
      </c>
      <c r="AE46" t="s">
        <v>2824</v>
      </c>
    </row>
    <row r="47" spans="1:31">
      <c r="A47" t="s">
        <v>2408</v>
      </c>
      <c r="B47" s="8">
        <v>45760</v>
      </c>
      <c r="C47" s="8">
        <v>45760</v>
      </c>
      <c r="D47" t="s">
        <v>908</v>
      </c>
      <c r="E47" t="s">
        <v>124</v>
      </c>
      <c r="F47" t="s">
        <v>100</v>
      </c>
      <c r="G47" t="s">
        <v>64</v>
      </c>
      <c r="H47" t="s">
        <v>195</v>
      </c>
      <c r="I47" t="s">
        <v>196</v>
      </c>
      <c r="J47" t="s">
        <v>51</v>
      </c>
      <c r="K47" t="s">
        <v>168</v>
      </c>
      <c r="L47" t="s">
        <v>2409</v>
      </c>
      <c r="M47" t="s">
        <v>60</v>
      </c>
      <c r="N47">
        <v>6</v>
      </c>
      <c r="O47">
        <v>4414</v>
      </c>
      <c r="P47">
        <v>0.05</v>
      </c>
      <c r="Q47">
        <v>25159.8</v>
      </c>
      <c r="R47">
        <v>21606.83</v>
      </c>
      <c r="S47">
        <v>3552.97</v>
      </c>
      <c r="T47" t="s">
        <v>42</v>
      </c>
      <c r="U47" t="s">
        <v>43</v>
      </c>
      <c r="V47" t="s">
        <v>2812</v>
      </c>
      <c r="W47" t="s">
        <v>2812</v>
      </c>
      <c r="X47">
        <v>-0.58747117266059101</v>
      </c>
      <c r="Y47">
        <v>25159.8</v>
      </c>
      <c r="Z47">
        <v>3552.9699999999975</v>
      </c>
      <c r="AA47">
        <v>0.14121614639226057</v>
      </c>
      <c r="AB47">
        <v>0</v>
      </c>
      <c r="AC47" t="s">
        <v>2825</v>
      </c>
      <c r="AD47">
        <v>2025</v>
      </c>
      <c r="AE47" t="s">
        <v>2814</v>
      </c>
    </row>
    <row r="48" spans="1:31">
      <c r="A48" t="s">
        <v>2399</v>
      </c>
      <c r="B48" s="8">
        <v>45896</v>
      </c>
      <c r="C48" s="8">
        <v>45900</v>
      </c>
      <c r="D48" t="s">
        <v>2400</v>
      </c>
      <c r="E48" t="s">
        <v>57</v>
      </c>
      <c r="F48" t="s">
        <v>34</v>
      </c>
      <c r="G48" t="s">
        <v>64</v>
      </c>
      <c r="H48" t="s">
        <v>185</v>
      </c>
      <c r="I48" t="s">
        <v>186</v>
      </c>
      <c r="J48" t="s">
        <v>84</v>
      </c>
      <c r="K48" t="s">
        <v>286</v>
      </c>
      <c r="L48" t="s">
        <v>2401</v>
      </c>
      <c r="M48" t="s">
        <v>60</v>
      </c>
      <c r="N48">
        <v>3</v>
      </c>
      <c r="O48">
        <v>2489.12</v>
      </c>
      <c r="P48">
        <v>0</v>
      </c>
      <c r="Q48">
        <v>7467.36</v>
      </c>
      <c r="R48">
        <v>5010.6099999999997</v>
      </c>
      <c r="S48">
        <v>2456.75</v>
      </c>
      <c r="T48" t="s">
        <v>42</v>
      </c>
      <c r="U48" t="s">
        <v>43</v>
      </c>
      <c r="V48" t="s">
        <v>2812</v>
      </c>
      <c r="W48" t="s">
        <v>2812</v>
      </c>
      <c r="X48">
        <v>-1.0661353799231277</v>
      </c>
      <c r="Y48">
        <v>7467.36</v>
      </c>
      <c r="Z48">
        <v>2456.75</v>
      </c>
      <c r="AA48">
        <v>0.32899846799940008</v>
      </c>
      <c r="AB48">
        <v>4</v>
      </c>
      <c r="AC48" t="s">
        <v>2813</v>
      </c>
      <c r="AD48">
        <v>2025</v>
      </c>
      <c r="AE48" t="s">
        <v>2814</v>
      </c>
    </row>
    <row r="49" spans="1:31">
      <c r="A49" t="s">
        <v>2393</v>
      </c>
      <c r="B49" s="8">
        <v>45492</v>
      </c>
      <c r="C49" s="8">
        <v>45499</v>
      </c>
      <c r="D49" t="s">
        <v>2394</v>
      </c>
      <c r="E49" t="s">
        <v>63</v>
      </c>
      <c r="F49" t="s">
        <v>105</v>
      </c>
      <c r="G49" t="s">
        <v>64</v>
      </c>
      <c r="H49" t="s">
        <v>185</v>
      </c>
      <c r="I49" t="s">
        <v>186</v>
      </c>
      <c r="J49" t="s">
        <v>51</v>
      </c>
      <c r="K49" t="s">
        <v>52</v>
      </c>
      <c r="L49" t="s">
        <v>2395</v>
      </c>
      <c r="M49" t="s">
        <v>41</v>
      </c>
      <c r="N49">
        <v>5</v>
      </c>
      <c r="O49">
        <v>3986.01</v>
      </c>
      <c r="P49">
        <v>0.25</v>
      </c>
      <c r="Q49">
        <v>14947.54</v>
      </c>
      <c r="R49">
        <v>9438.4599999999991</v>
      </c>
      <c r="S49">
        <v>5509.08</v>
      </c>
      <c r="T49" t="s">
        <v>42</v>
      </c>
      <c r="U49" t="s">
        <v>43</v>
      </c>
      <c r="V49" t="s">
        <v>2812</v>
      </c>
      <c r="W49" t="s">
        <v>2812</v>
      </c>
      <c r="X49">
        <v>1.3271856563895552</v>
      </c>
      <c r="Y49">
        <v>14947.537500000002</v>
      </c>
      <c r="Z49">
        <v>5509.0775000000031</v>
      </c>
      <c r="AA49">
        <v>0.36856087499362367</v>
      </c>
      <c r="AB49">
        <v>7</v>
      </c>
      <c r="AC49" t="s">
        <v>2829</v>
      </c>
      <c r="AD49">
        <v>2024</v>
      </c>
      <c r="AE49" t="s">
        <v>2814</v>
      </c>
    </row>
    <row r="50" spans="1:31">
      <c r="A50" t="s">
        <v>254</v>
      </c>
      <c r="B50" s="8">
        <v>45492</v>
      </c>
      <c r="C50" s="8">
        <v>45492</v>
      </c>
      <c r="D50" t="s">
        <v>255</v>
      </c>
      <c r="E50" t="s">
        <v>72</v>
      </c>
      <c r="F50" t="s">
        <v>47</v>
      </c>
      <c r="G50" t="s">
        <v>64</v>
      </c>
      <c r="H50" t="s">
        <v>195</v>
      </c>
      <c r="I50" t="s">
        <v>196</v>
      </c>
      <c r="J50" t="s">
        <v>51</v>
      </c>
      <c r="K50" t="s">
        <v>168</v>
      </c>
      <c r="L50" t="s">
        <v>256</v>
      </c>
      <c r="M50" t="s">
        <v>69</v>
      </c>
      <c r="N50">
        <v>9</v>
      </c>
      <c r="O50">
        <v>2386.79</v>
      </c>
      <c r="P50">
        <v>0.25</v>
      </c>
      <c r="Q50">
        <v>16110.83</v>
      </c>
      <c r="R50">
        <v>10680.03</v>
      </c>
      <c r="S50">
        <v>5430.8</v>
      </c>
      <c r="T50" t="s">
        <v>112</v>
      </c>
      <c r="U50" t="s">
        <v>113</v>
      </c>
      <c r="V50" t="s">
        <v>2812</v>
      </c>
      <c r="W50" t="s">
        <v>2812</v>
      </c>
      <c r="X50">
        <v>1.3271856563895552</v>
      </c>
      <c r="Y50">
        <v>16110.8325</v>
      </c>
      <c r="Z50">
        <v>5430.8024999999998</v>
      </c>
      <c r="AA50">
        <v>0.33709012243780695</v>
      </c>
      <c r="AB50">
        <v>0</v>
      </c>
      <c r="AC50" t="s">
        <v>2829</v>
      </c>
      <c r="AD50">
        <v>2024</v>
      </c>
      <c r="AE50" t="s">
        <v>2814</v>
      </c>
    </row>
    <row r="51" spans="1:31">
      <c r="A51" t="s">
        <v>257</v>
      </c>
      <c r="B51" s="8">
        <v>45516</v>
      </c>
      <c r="C51" s="8">
        <v>45516</v>
      </c>
      <c r="D51" t="s">
        <v>258</v>
      </c>
      <c r="E51" t="s">
        <v>128</v>
      </c>
      <c r="F51" t="s">
        <v>100</v>
      </c>
      <c r="G51" t="s">
        <v>64</v>
      </c>
      <c r="H51" t="s">
        <v>259</v>
      </c>
      <c r="I51" t="s">
        <v>260</v>
      </c>
      <c r="J51" t="s">
        <v>38</v>
      </c>
      <c r="K51" t="s">
        <v>134</v>
      </c>
      <c r="L51" t="s">
        <v>261</v>
      </c>
      <c r="M51" t="s">
        <v>69</v>
      </c>
      <c r="N51">
        <v>8</v>
      </c>
      <c r="O51">
        <v>2445.31</v>
      </c>
      <c r="P51">
        <v>0.1</v>
      </c>
      <c r="Q51">
        <v>17606.23</v>
      </c>
      <c r="R51">
        <v>12438.96</v>
      </c>
      <c r="S51">
        <v>5167.2700000000004</v>
      </c>
      <c r="T51" t="s">
        <v>42</v>
      </c>
      <c r="U51" t="s">
        <v>43</v>
      </c>
      <c r="V51" t="s">
        <v>2812</v>
      </c>
      <c r="W51" t="s">
        <v>2812</v>
      </c>
      <c r="X51">
        <v>-0.10880696539805437</v>
      </c>
      <c r="Y51">
        <v>17606.232</v>
      </c>
      <c r="Z51">
        <v>5167.2720000000008</v>
      </c>
      <c r="AA51">
        <v>0.29349107747756592</v>
      </c>
      <c r="AB51">
        <v>0</v>
      </c>
      <c r="AC51" t="s">
        <v>2813</v>
      </c>
      <c r="AD51">
        <v>2024</v>
      </c>
      <c r="AE51" t="s">
        <v>2814</v>
      </c>
    </row>
    <row r="52" spans="1:31">
      <c r="A52" t="s">
        <v>2390</v>
      </c>
      <c r="B52" s="8">
        <v>45414</v>
      </c>
      <c r="C52" s="8">
        <v>45422</v>
      </c>
      <c r="D52" t="s">
        <v>2391</v>
      </c>
      <c r="E52" t="s">
        <v>138</v>
      </c>
      <c r="F52" t="s">
        <v>47</v>
      </c>
      <c r="G52" t="s">
        <v>64</v>
      </c>
      <c r="H52" t="s">
        <v>185</v>
      </c>
      <c r="I52" t="s">
        <v>186</v>
      </c>
      <c r="J52" t="s">
        <v>51</v>
      </c>
      <c r="K52" t="s">
        <v>76</v>
      </c>
      <c r="L52" t="s">
        <v>2392</v>
      </c>
      <c r="M52" t="s">
        <v>69</v>
      </c>
      <c r="N52">
        <v>1</v>
      </c>
      <c r="O52">
        <v>4166.91</v>
      </c>
      <c r="P52">
        <v>0</v>
      </c>
      <c r="Q52">
        <v>4166.91</v>
      </c>
      <c r="R52">
        <v>3412.63</v>
      </c>
      <c r="S52">
        <v>754.28</v>
      </c>
      <c r="T52" t="s">
        <v>42</v>
      </c>
      <c r="U52" t="s">
        <v>43</v>
      </c>
      <c r="V52" t="s">
        <v>2812</v>
      </c>
      <c r="W52" t="s">
        <v>2812</v>
      </c>
      <c r="X52">
        <v>-1.0661353799231277</v>
      </c>
      <c r="Y52">
        <v>4166.91</v>
      </c>
      <c r="Z52">
        <v>754.27999999999975</v>
      </c>
      <c r="AA52">
        <v>0.18101662862888801</v>
      </c>
      <c r="AB52">
        <v>8</v>
      </c>
      <c r="AC52" t="s">
        <v>2821</v>
      </c>
      <c r="AD52">
        <v>2024</v>
      </c>
      <c r="AE52" t="s">
        <v>2814</v>
      </c>
    </row>
    <row r="53" spans="1:31">
      <c r="A53" t="s">
        <v>2387</v>
      </c>
      <c r="B53" s="8">
        <v>45870</v>
      </c>
      <c r="C53" s="8">
        <v>45872</v>
      </c>
      <c r="D53" t="s">
        <v>2388</v>
      </c>
      <c r="E53" t="s">
        <v>99</v>
      </c>
      <c r="F53" t="s">
        <v>47</v>
      </c>
      <c r="G53" t="s">
        <v>64</v>
      </c>
      <c r="H53" t="s">
        <v>195</v>
      </c>
      <c r="I53" t="s">
        <v>196</v>
      </c>
      <c r="J53" t="s">
        <v>51</v>
      </c>
      <c r="K53" t="s">
        <v>168</v>
      </c>
      <c r="L53" t="s">
        <v>2389</v>
      </c>
      <c r="M53" t="s">
        <v>69</v>
      </c>
      <c r="N53">
        <v>3</v>
      </c>
      <c r="O53">
        <v>1904.78</v>
      </c>
      <c r="P53">
        <v>0.25</v>
      </c>
      <c r="Q53">
        <v>4285.76</v>
      </c>
      <c r="R53">
        <v>2386.33</v>
      </c>
      <c r="S53">
        <v>1899.43</v>
      </c>
      <c r="T53" t="s">
        <v>165</v>
      </c>
      <c r="U53" t="s">
        <v>78</v>
      </c>
      <c r="V53" t="s">
        <v>2812</v>
      </c>
      <c r="W53" t="s">
        <v>2812</v>
      </c>
      <c r="X53">
        <v>1.3271856563895552</v>
      </c>
      <c r="Y53">
        <v>4285.7550000000001</v>
      </c>
      <c r="Z53">
        <v>1899.4250000000002</v>
      </c>
      <c r="AA53">
        <v>0.44319495631458172</v>
      </c>
      <c r="AB53">
        <v>2</v>
      </c>
      <c r="AC53" t="s">
        <v>2813</v>
      </c>
      <c r="AD53">
        <v>2025</v>
      </c>
      <c r="AE53" t="s">
        <v>2824</v>
      </c>
    </row>
    <row r="54" spans="1:31">
      <c r="A54" t="s">
        <v>2378</v>
      </c>
      <c r="B54" s="8">
        <v>45753</v>
      </c>
      <c r="C54" s="8">
        <v>45753</v>
      </c>
      <c r="D54" t="s">
        <v>2379</v>
      </c>
      <c r="E54" t="s">
        <v>89</v>
      </c>
      <c r="F54" t="s">
        <v>100</v>
      </c>
      <c r="G54" t="s">
        <v>64</v>
      </c>
      <c r="H54" t="s">
        <v>195</v>
      </c>
      <c r="I54" t="s">
        <v>196</v>
      </c>
      <c r="J54" t="s">
        <v>38</v>
      </c>
      <c r="K54" t="s">
        <v>134</v>
      </c>
      <c r="L54" t="s">
        <v>2380</v>
      </c>
      <c r="M54" t="s">
        <v>69</v>
      </c>
      <c r="N54">
        <v>4</v>
      </c>
      <c r="O54">
        <v>891.34</v>
      </c>
      <c r="P54">
        <v>0.25</v>
      </c>
      <c r="Q54">
        <v>2674.02</v>
      </c>
      <c r="R54">
        <v>2207.5700000000002</v>
      </c>
      <c r="S54">
        <v>466.45</v>
      </c>
      <c r="T54" t="s">
        <v>42</v>
      </c>
      <c r="U54" t="s">
        <v>43</v>
      </c>
      <c r="V54" t="s">
        <v>2812</v>
      </c>
      <c r="W54" t="s">
        <v>2812</v>
      </c>
      <c r="X54">
        <v>1.3271856563895552</v>
      </c>
      <c r="Y54">
        <v>2674.02</v>
      </c>
      <c r="Z54">
        <v>466.44999999999982</v>
      </c>
      <c r="AA54">
        <v>0.17443773793763689</v>
      </c>
      <c r="AB54">
        <v>0</v>
      </c>
      <c r="AC54" t="s">
        <v>2825</v>
      </c>
      <c r="AD54">
        <v>2025</v>
      </c>
      <c r="AE54" t="s">
        <v>2814</v>
      </c>
    </row>
    <row r="55" spans="1:31">
      <c r="A55" t="s">
        <v>271</v>
      </c>
      <c r="B55" s="8">
        <v>45406</v>
      </c>
      <c r="C55" s="8">
        <v>45411</v>
      </c>
      <c r="D55" t="s">
        <v>272</v>
      </c>
      <c r="E55" t="s">
        <v>72</v>
      </c>
      <c r="F55" t="s">
        <v>100</v>
      </c>
      <c r="G55" t="s">
        <v>64</v>
      </c>
      <c r="H55" t="s">
        <v>65</v>
      </c>
      <c r="I55" t="s">
        <v>66</v>
      </c>
      <c r="J55" t="s">
        <v>38</v>
      </c>
      <c r="K55" t="s">
        <v>58</v>
      </c>
      <c r="L55" t="s">
        <v>273</v>
      </c>
      <c r="M55" t="s">
        <v>69</v>
      </c>
      <c r="N55">
        <v>6</v>
      </c>
      <c r="O55">
        <v>1528.08</v>
      </c>
      <c r="P55">
        <v>0</v>
      </c>
      <c r="Q55">
        <v>9168.48</v>
      </c>
      <c r="R55">
        <v>7439.77</v>
      </c>
      <c r="S55">
        <v>1728.71</v>
      </c>
      <c r="T55" t="s">
        <v>42</v>
      </c>
      <c r="U55" t="s">
        <v>43</v>
      </c>
      <c r="V55" t="s">
        <v>2812</v>
      </c>
      <c r="W55" t="s">
        <v>2812</v>
      </c>
      <c r="X55">
        <v>-1.0661353799231277</v>
      </c>
      <c r="Y55">
        <v>9168.48</v>
      </c>
      <c r="Z55">
        <v>1728.7099999999991</v>
      </c>
      <c r="AA55">
        <v>0.18854924698532355</v>
      </c>
      <c r="AB55">
        <v>5</v>
      </c>
      <c r="AC55" t="s">
        <v>2825</v>
      </c>
      <c r="AD55">
        <v>2024</v>
      </c>
      <c r="AE55" t="s">
        <v>2814</v>
      </c>
    </row>
    <row r="56" spans="1:31">
      <c r="A56" t="s">
        <v>2366</v>
      </c>
      <c r="B56" s="8">
        <v>45694</v>
      </c>
      <c r="C56" s="8">
        <v>45810</v>
      </c>
      <c r="D56" t="s">
        <v>2367</v>
      </c>
      <c r="E56" t="s">
        <v>138</v>
      </c>
      <c r="F56" t="s">
        <v>105</v>
      </c>
      <c r="G56" t="s">
        <v>64</v>
      </c>
      <c r="H56" t="s">
        <v>65</v>
      </c>
      <c r="I56" t="s">
        <v>66</v>
      </c>
      <c r="J56" t="s">
        <v>84</v>
      </c>
      <c r="K56" t="s">
        <v>85</v>
      </c>
      <c r="L56" t="s">
        <v>2368</v>
      </c>
      <c r="M56" t="s">
        <v>60</v>
      </c>
      <c r="N56">
        <v>8</v>
      </c>
      <c r="O56">
        <v>3925.93</v>
      </c>
      <c r="P56">
        <v>0.15</v>
      </c>
      <c r="Q56">
        <v>26696.32</v>
      </c>
      <c r="R56">
        <v>22724.52</v>
      </c>
      <c r="S56">
        <v>3971.8</v>
      </c>
      <c r="T56" t="s">
        <v>42</v>
      </c>
      <c r="U56" t="s">
        <v>43</v>
      </c>
      <c r="V56" t="s">
        <v>2812</v>
      </c>
      <c r="W56" t="s">
        <v>2812</v>
      </c>
      <c r="X56">
        <v>0.3698572418644821</v>
      </c>
      <c r="Y56">
        <v>26696.323999999997</v>
      </c>
      <c r="Z56">
        <v>3971.8039999999964</v>
      </c>
      <c r="AA56">
        <v>0.14877718745097629</v>
      </c>
      <c r="AB56">
        <v>116</v>
      </c>
      <c r="AC56" t="s">
        <v>2815</v>
      </c>
      <c r="AD56">
        <v>2025</v>
      </c>
      <c r="AE56" t="s">
        <v>2814</v>
      </c>
    </row>
    <row r="57" spans="1:31">
      <c r="A57" t="s">
        <v>2339</v>
      </c>
      <c r="B57" s="8">
        <v>45770</v>
      </c>
      <c r="C57" s="8">
        <v>45772</v>
      </c>
      <c r="D57" t="s">
        <v>2340</v>
      </c>
      <c r="E57" t="s">
        <v>57</v>
      </c>
      <c r="F57" t="s">
        <v>105</v>
      </c>
      <c r="G57" t="s">
        <v>64</v>
      </c>
      <c r="H57" t="s">
        <v>259</v>
      </c>
      <c r="I57" t="s">
        <v>260</v>
      </c>
      <c r="J57" t="s">
        <v>51</v>
      </c>
      <c r="K57" t="s">
        <v>76</v>
      </c>
      <c r="L57" t="s">
        <v>2341</v>
      </c>
      <c r="M57" t="s">
        <v>41</v>
      </c>
      <c r="N57">
        <v>3</v>
      </c>
      <c r="O57">
        <v>2951.12</v>
      </c>
      <c r="Q57">
        <v>7082.69</v>
      </c>
      <c r="R57">
        <v>5596.34</v>
      </c>
      <c r="S57">
        <v>1486.35</v>
      </c>
      <c r="T57" t="s">
        <v>42</v>
      </c>
      <c r="U57" t="s">
        <v>78</v>
      </c>
      <c r="V57" t="s">
        <v>2812</v>
      </c>
      <c r="W57" t="s">
        <v>2812</v>
      </c>
      <c r="X57">
        <v>-1.0661353799231277</v>
      </c>
      <c r="Y57">
        <v>8853.36</v>
      </c>
      <c r="Z57">
        <v>3257.0200000000004</v>
      </c>
      <c r="AA57">
        <v>0.36788518709280998</v>
      </c>
      <c r="AB57">
        <v>2</v>
      </c>
      <c r="AC57" t="s">
        <v>2825</v>
      </c>
      <c r="AD57">
        <v>2025</v>
      </c>
      <c r="AE57" t="s">
        <v>2824</v>
      </c>
    </row>
    <row r="58" spans="1:31">
      <c r="A58" t="s">
        <v>281</v>
      </c>
      <c r="B58" s="8">
        <v>45807</v>
      </c>
      <c r="C58" s="8">
        <v>45810</v>
      </c>
      <c r="D58" t="s">
        <v>282</v>
      </c>
      <c r="E58" t="s">
        <v>63</v>
      </c>
      <c r="F58" t="s">
        <v>100</v>
      </c>
      <c r="G58" t="s">
        <v>64</v>
      </c>
      <c r="H58" t="s">
        <v>259</v>
      </c>
      <c r="I58" t="s">
        <v>260</v>
      </c>
      <c r="J58" t="s">
        <v>38</v>
      </c>
      <c r="K58" t="s">
        <v>101</v>
      </c>
      <c r="L58" t="s">
        <v>283</v>
      </c>
      <c r="M58" t="s">
        <v>54</v>
      </c>
      <c r="N58">
        <v>8</v>
      </c>
      <c r="O58">
        <v>474.37</v>
      </c>
      <c r="P58">
        <v>0.1</v>
      </c>
      <c r="Q58">
        <v>3415.46</v>
      </c>
      <c r="R58">
        <v>1993.23</v>
      </c>
      <c r="S58">
        <v>1422.23</v>
      </c>
      <c r="T58" t="s">
        <v>165</v>
      </c>
      <c r="U58" t="s">
        <v>78</v>
      </c>
      <c r="V58" t="s">
        <v>2812</v>
      </c>
      <c r="W58" t="s">
        <v>2812</v>
      </c>
      <c r="X58">
        <v>-0.10880696539805437</v>
      </c>
      <c r="Y58">
        <v>3415.4639999999999</v>
      </c>
      <c r="Z58">
        <v>1422.2339999999999</v>
      </c>
      <c r="AA58">
        <v>0.4164101861416194</v>
      </c>
      <c r="AB58">
        <v>3</v>
      </c>
      <c r="AC58" t="s">
        <v>2821</v>
      </c>
      <c r="AD58">
        <v>2025</v>
      </c>
      <c r="AE58" t="s">
        <v>2824</v>
      </c>
    </row>
    <row r="59" spans="1:31">
      <c r="A59" t="s">
        <v>284</v>
      </c>
      <c r="B59" s="8">
        <v>45839</v>
      </c>
      <c r="C59" s="8">
        <v>45841</v>
      </c>
      <c r="D59" t="s">
        <v>285</v>
      </c>
      <c r="E59" t="s">
        <v>46</v>
      </c>
      <c r="F59" t="s">
        <v>47</v>
      </c>
      <c r="G59" t="s">
        <v>64</v>
      </c>
      <c r="H59" t="s">
        <v>94</v>
      </c>
      <c r="I59" t="s">
        <v>95</v>
      </c>
      <c r="J59" t="s">
        <v>84</v>
      </c>
      <c r="K59" t="s">
        <v>286</v>
      </c>
      <c r="L59" t="s">
        <v>287</v>
      </c>
      <c r="M59" t="s">
        <v>54</v>
      </c>
      <c r="N59">
        <v>3</v>
      </c>
      <c r="O59">
        <v>1516.24</v>
      </c>
      <c r="P59">
        <v>0.25</v>
      </c>
      <c r="Q59">
        <v>3411.54</v>
      </c>
      <c r="R59">
        <v>2803.13</v>
      </c>
      <c r="S59">
        <v>608.41</v>
      </c>
      <c r="T59" t="s">
        <v>42</v>
      </c>
      <c r="U59" t="s">
        <v>43</v>
      </c>
      <c r="V59" t="s">
        <v>2812</v>
      </c>
      <c r="W59" t="s">
        <v>2812</v>
      </c>
      <c r="X59">
        <v>1.3271856563895552</v>
      </c>
      <c r="Y59">
        <v>3411.54</v>
      </c>
      <c r="Z59">
        <v>608.40999999999985</v>
      </c>
      <c r="AA59">
        <v>0.17833881472883209</v>
      </c>
      <c r="AB59">
        <v>2</v>
      </c>
      <c r="AC59" t="s">
        <v>2829</v>
      </c>
      <c r="AD59">
        <v>2025</v>
      </c>
      <c r="AE59" t="s">
        <v>2814</v>
      </c>
    </row>
    <row r="60" spans="1:31">
      <c r="A60" t="s">
        <v>288</v>
      </c>
      <c r="B60" s="8">
        <v>45662</v>
      </c>
      <c r="C60" s="8">
        <v>45663</v>
      </c>
      <c r="D60" t="s">
        <v>289</v>
      </c>
      <c r="E60" t="s">
        <v>33</v>
      </c>
      <c r="F60" t="s">
        <v>34</v>
      </c>
      <c r="G60" t="s">
        <v>64</v>
      </c>
      <c r="H60" t="s">
        <v>185</v>
      </c>
      <c r="I60" t="s">
        <v>186</v>
      </c>
      <c r="J60" t="s">
        <v>38</v>
      </c>
      <c r="K60" t="s">
        <v>163</v>
      </c>
      <c r="L60" t="s">
        <v>290</v>
      </c>
      <c r="M60" t="s">
        <v>41</v>
      </c>
      <c r="N60">
        <v>3</v>
      </c>
      <c r="O60">
        <v>3155.61</v>
      </c>
      <c r="P60">
        <v>0</v>
      </c>
      <c r="Q60">
        <v>9466.83</v>
      </c>
      <c r="R60">
        <v>6557.83</v>
      </c>
      <c r="S60">
        <v>2909</v>
      </c>
      <c r="T60" t="s">
        <v>112</v>
      </c>
      <c r="U60" t="s">
        <v>78</v>
      </c>
      <c r="V60" t="s">
        <v>2812</v>
      </c>
      <c r="W60" t="s">
        <v>2812</v>
      </c>
      <c r="X60">
        <v>-1.0661353799231277</v>
      </c>
      <c r="Y60">
        <v>9466.83</v>
      </c>
      <c r="Z60">
        <v>2909</v>
      </c>
      <c r="AA60">
        <v>0.30728343067320318</v>
      </c>
      <c r="AB60">
        <v>1</v>
      </c>
      <c r="AC60" t="s">
        <v>2826</v>
      </c>
      <c r="AD60">
        <v>2025</v>
      </c>
      <c r="AE60" t="s">
        <v>2824</v>
      </c>
    </row>
    <row r="61" spans="1:31">
      <c r="A61" t="s">
        <v>2331</v>
      </c>
      <c r="B61" s="8">
        <v>45708</v>
      </c>
      <c r="C61" s="8">
        <v>45710</v>
      </c>
      <c r="D61" t="s">
        <v>2332</v>
      </c>
      <c r="E61" t="s">
        <v>124</v>
      </c>
      <c r="F61" t="s">
        <v>100</v>
      </c>
      <c r="G61" t="s">
        <v>64</v>
      </c>
      <c r="H61" t="s">
        <v>195</v>
      </c>
      <c r="I61" t="s">
        <v>196</v>
      </c>
      <c r="J61" t="s">
        <v>38</v>
      </c>
      <c r="K61" t="s">
        <v>39</v>
      </c>
      <c r="L61" t="s">
        <v>2333</v>
      </c>
      <c r="M61" t="s">
        <v>60</v>
      </c>
      <c r="N61">
        <v>1</v>
      </c>
      <c r="O61">
        <v>2188.19</v>
      </c>
      <c r="P61">
        <v>0</v>
      </c>
      <c r="Q61">
        <v>2188.19</v>
      </c>
      <c r="R61">
        <v>1298.8399999999999</v>
      </c>
      <c r="S61">
        <v>889.35</v>
      </c>
      <c r="T61" t="s">
        <v>42</v>
      </c>
      <c r="U61" t="s">
        <v>43</v>
      </c>
      <c r="V61" t="s">
        <v>2812</v>
      </c>
      <c r="W61" t="s">
        <v>2812</v>
      </c>
      <c r="X61">
        <v>-1.0661353799231277</v>
      </c>
      <c r="Y61">
        <v>2188.19</v>
      </c>
      <c r="Z61">
        <v>889.35000000000014</v>
      </c>
      <c r="AA61">
        <v>0.40643179979800664</v>
      </c>
      <c r="AB61">
        <v>2</v>
      </c>
      <c r="AC61" t="s">
        <v>2815</v>
      </c>
      <c r="AD61">
        <v>2025</v>
      </c>
      <c r="AE61" t="s">
        <v>2814</v>
      </c>
    </row>
    <row r="62" spans="1:31">
      <c r="A62" t="s">
        <v>2304</v>
      </c>
      <c r="B62" s="8">
        <v>45794</v>
      </c>
      <c r="C62" s="8">
        <v>45802</v>
      </c>
      <c r="D62" t="s">
        <v>2305</v>
      </c>
      <c r="E62" t="s">
        <v>72</v>
      </c>
      <c r="F62" t="s">
        <v>100</v>
      </c>
      <c r="G62" t="s">
        <v>64</v>
      </c>
      <c r="H62" t="s">
        <v>259</v>
      </c>
      <c r="I62" t="s">
        <v>260</v>
      </c>
      <c r="J62" t="s">
        <v>84</v>
      </c>
      <c r="K62" t="s">
        <v>286</v>
      </c>
      <c r="L62" t="s">
        <v>2306</v>
      </c>
      <c r="M62" t="s">
        <v>54</v>
      </c>
      <c r="N62">
        <v>6</v>
      </c>
      <c r="O62">
        <v>1810.63</v>
      </c>
      <c r="P62">
        <v>0.15</v>
      </c>
      <c r="Q62">
        <v>9234.2099999999991</v>
      </c>
      <c r="R62">
        <v>5516.52</v>
      </c>
      <c r="S62">
        <v>3717.69</v>
      </c>
      <c r="T62" t="s">
        <v>42</v>
      </c>
      <c r="U62" t="s">
        <v>43</v>
      </c>
      <c r="V62" t="s">
        <v>2812</v>
      </c>
      <c r="W62" t="s">
        <v>2812</v>
      </c>
      <c r="X62">
        <v>0.3698572418644821</v>
      </c>
      <c r="Y62">
        <v>9234.2129999999997</v>
      </c>
      <c r="Z62">
        <v>3717.6929999999993</v>
      </c>
      <c r="AA62">
        <v>0.40259987505161504</v>
      </c>
      <c r="AB62">
        <v>8</v>
      </c>
      <c r="AC62" t="s">
        <v>2821</v>
      </c>
      <c r="AD62">
        <v>2025</v>
      </c>
      <c r="AE62" t="s">
        <v>2814</v>
      </c>
    </row>
    <row r="63" spans="1:31">
      <c r="A63" t="s">
        <v>2301</v>
      </c>
      <c r="B63" s="8">
        <v>45295</v>
      </c>
      <c r="C63" s="8">
        <v>45298</v>
      </c>
      <c r="D63" t="s">
        <v>2302</v>
      </c>
      <c r="E63" t="s">
        <v>142</v>
      </c>
      <c r="F63" t="s">
        <v>47</v>
      </c>
      <c r="G63" t="s">
        <v>64</v>
      </c>
      <c r="H63" t="s">
        <v>185</v>
      </c>
      <c r="I63" t="s">
        <v>186</v>
      </c>
      <c r="J63" t="s">
        <v>84</v>
      </c>
      <c r="K63" t="s">
        <v>286</v>
      </c>
      <c r="L63" t="s">
        <v>2303</v>
      </c>
      <c r="M63" t="s">
        <v>60</v>
      </c>
      <c r="N63">
        <v>1</v>
      </c>
      <c r="O63">
        <v>2363.02</v>
      </c>
      <c r="P63">
        <v>0.15</v>
      </c>
      <c r="Q63">
        <v>2008.57</v>
      </c>
      <c r="R63">
        <v>1194.83</v>
      </c>
      <c r="S63">
        <v>813.74</v>
      </c>
      <c r="T63" t="s">
        <v>42</v>
      </c>
      <c r="U63" t="s">
        <v>43</v>
      </c>
      <c r="V63" t="s">
        <v>2812</v>
      </c>
      <c r="W63" t="s">
        <v>2812</v>
      </c>
      <c r="X63">
        <v>0.3698572418644821</v>
      </c>
      <c r="Y63">
        <v>2008.567</v>
      </c>
      <c r="Z63">
        <v>813.73700000000008</v>
      </c>
      <c r="AA63">
        <v>0.40513311231340554</v>
      </c>
      <c r="AB63">
        <v>3</v>
      </c>
      <c r="AC63" t="s">
        <v>2826</v>
      </c>
      <c r="AD63">
        <v>2024</v>
      </c>
      <c r="AE63" t="s">
        <v>2814</v>
      </c>
    </row>
    <row r="64" spans="1:31">
      <c r="A64" t="s">
        <v>2292</v>
      </c>
      <c r="B64" s="8">
        <v>45787</v>
      </c>
      <c r="C64" s="8">
        <v>45942</v>
      </c>
      <c r="D64" t="s">
        <v>2293</v>
      </c>
      <c r="E64" t="s">
        <v>124</v>
      </c>
      <c r="F64" t="s">
        <v>100</v>
      </c>
      <c r="G64" t="s">
        <v>64</v>
      </c>
      <c r="H64" t="s">
        <v>185</v>
      </c>
      <c r="I64" t="s">
        <v>186</v>
      </c>
      <c r="J64" t="s">
        <v>51</v>
      </c>
      <c r="K64" t="s">
        <v>52</v>
      </c>
      <c r="L64" t="s">
        <v>2294</v>
      </c>
      <c r="M64" t="s">
        <v>41</v>
      </c>
      <c r="N64">
        <v>7</v>
      </c>
      <c r="O64">
        <v>2134.73</v>
      </c>
      <c r="P64">
        <v>0</v>
      </c>
      <c r="Q64">
        <v>14943.11</v>
      </c>
      <c r="R64">
        <v>8521.5</v>
      </c>
      <c r="S64">
        <v>6421.61</v>
      </c>
      <c r="T64" t="s">
        <v>42</v>
      </c>
      <c r="U64" t="s">
        <v>43</v>
      </c>
      <c r="V64" t="s">
        <v>2812</v>
      </c>
      <c r="W64" t="s">
        <v>2812</v>
      </c>
      <c r="X64">
        <v>-1.0661353799231277</v>
      </c>
      <c r="Y64">
        <v>14943.11</v>
      </c>
      <c r="Z64">
        <v>6421.6100000000006</v>
      </c>
      <c r="AA64">
        <v>0.42973718322357263</v>
      </c>
      <c r="AB64">
        <v>155</v>
      </c>
      <c r="AC64" t="s">
        <v>2821</v>
      </c>
      <c r="AD64">
        <v>2025</v>
      </c>
      <c r="AE64" t="s">
        <v>2814</v>
      </c>
    </row>
    <row r="65" spans="1:31">
      <c r="A65" t="s">
        <v>2280</v>
      </c>
      <c r="B65" s="8">
        <v>45827</v>
      </c>
      <c r="C65" s="8">
        <v>45831</v>
      </c>
      <c r="D65" t="s">
        <v>2281</v>
      </c>
      <c r="E65" t="s">
        <v>142</v>
      </c>
      <c r="F65" t="s">
        <v>34</v>
      </c>
      <c r="G65" t="s">
        <v>64</v>
      </c>
      <c r="H65" t="s">
        <v>185</v>
      </c>
      <c r="I65" t="s">
        <v>186</v>
      </c>
      <c r="J65" t="s">
        <v>84</v>
      </c>
      <c r="K65" t="s">
        <v>90</v>
      </c>
      <c r="L65" t="s">
        <v>2282</v>
      </c>
      <c r="M65" t="s">
        <v>60</v>
      </c>
      <c r="N65">
        <v>5</v>
      </c>
      <c r="O65">
        <v>2729.95</v>
      </c>
      <c r="P65">
        <v>0</v>
      </c>
      <c r="Q65">
        <v>13649.75</v>
      </c>
      <c r="R65">
        <v>10288.030000000001</v>
      </c>
      <c r="S65">
        <v>3361.72</v>
      </c>
      <c r="T65" t="s">
        <v>42</v>
      </c>
      <c r="U65" t="s">
        <v>43</v>
      </c>
      <c r="V65" t="s">
        <v>2812</v>
      </c>
      <c r="W65" t="s">
        <v>2812</v>
      </c>
      <c r="X65">
        <v>-1.0661353799231277</v>
      </c>
      <c r="Y65">
        <v>13649.75</v>
      </c>
      <c r="Z65">
        <v>3361.7199999999993</v>
      </c>
      <c r="AA65">
        <v>0.24628436418249414</v>
      </c>
      <c r="AB65">
        <v>4</v>
      </c>
      <c r="AC65" t="s">
        <v>2820</v>
      </c>
      <c r="AD65">
        <v>2025</v>
      </c>
      <c r="AE65" t="s">
        <v>2814</v>
      </c>
    </row>
    <row r="66" spans="1:31">
      <c r="A66" t="s">
        <v>2231</v>
      </c>
      <c r="B66" s="8">
        <v>45364</v>
      </c>
      <c r="C66" s="8">
        <v>45371</v>
      </c>
      <c r="D66" t="s">
        <v>2232</v>
      </c>
      <c r="E66" t="s">
        <v>124</v>
      </c>
      <c r="F66" t="s">
        <v>105</v>
      </c>
      <c r="G66" t="s">
        <v>64</v>
      </c>
      <c r="H66" t="s">
        <v>259</v>
      </c>
      <c r="I66" t="s">
        <v>260</v>
      </c>
      <c r="J66" t="s">
        <v>51</v>
      </c>
      <c r="K66" t="s">
        <v>168</v>
      </c>
      <c r="L66" t="s">
        <v>2233</v>
      </c>
      <c r="M66" t="s">
        <v>215</v>
      </c>
      <c r="N66">
        <v>1</v>
      </c>
      <c r="O66">
        <v>2825.63</v>
      </c>
      <c r="P66">
        <v>0.15</v>
      </c>
      <c r="Q66">
        <v>2401.79</v>
      </c>
      <c r="R66">
        <v>1820.34</v>
      </c>
      <c r="S66">
        <v>581.45000000000005</v>
      </c>
      <c r="T66" t="s">
        <v>42</v>
      </c>
      <c r="U66" t="s">
        <v>43</v>
      </c>
      <c r="V66" t="s">
        <v>2812</v>
      </c>
      <c r="W66" t="s">
        <v>2812</v>
      </c>
      <c r="X66">
        <v>0.3698572418644821</v>
      </c>
      <c r="Y66">
        <v>2401.7855</v>
      </c>
      <c r="Z66">
        <v>581.44550000000004</v>
      </c>
      <c r="AA66">
        <v>0.24208885431276025</v>
      </c>
      <c r="AB66">
        <v>7</v>
      </c>
      <c r="AC66" t="s">
        <v>2828</v>
      </c>
      <c r="AD66">
        <v>2024</v>
      </c>
      <c r="AE66" t="s">
        <v>2814</v>
      </c>
    </row>
    <row r="67" spans="1:31">
      <c r="A67" t="s">
        <v>2216</v>
      </c>
      <c r="B67" s="8">
        <v>45454</v>
      </c>
      <c r="C67" s="8">
        <v>45454</v>
      </c>
      <c r="D67" t="s">
        <v>2217</v>
      </c>
      <c r="E67" t="s">
        <v>63</v>
      </c>
      <c r="F67" t="s">
        <v>47</v>
      </c>
      <c r="G67" t="s">
        <v>64</v>
      </c>
      <c r="H67" t="s">
        <v>185</v>
      </c>
      <c r="I67" t="s">
        <v>186</v>
      </c>
      <c r="J67" t="s">
        <v>51</v>
      </c>
      <c r="K67" t="s">
        <v>168</v>
      </c>
      <c r="L67" t="s">
        <v>2218</v>
      </c>
      <c r="M67" t="s">
        <v>69</v>
      </c>
      <c r="N67">
        <v>9</v>
      </c>
      <c r="O67">
        <v>1400.11</v>
      </c>
      <c r="P67">
        <v>0.25</v>
      </c>
      <c r="Q67">
        <v>9450.74</v>
      </c>
      <c r="R67">
        <v>7798.56</v>
      </c>
      <c r="S67">
        <v>1652.18</v>
      </c>
      <c r="T67" t="s">
        <v>42</v>
      </c>
      <c r="U67" t="s">
        <v>43</v>
      </c>
      <c r="V67" t="s">
        <v>2812</v>
      </c>
      <c r="W67" t="s">
        <v>2812</v>
      </c>
      <c r="X67">
        <v>1.3271856563895552</v>
      </c>
      <c r="Y67">
        <v>9450.7425000000003</v>
      </c>
      <c r="Z67">
        <v>1652.1824999999999</v>
      </c>
      <c r="AA67">
        <v>0.17482039109625511</v>
      </c>
      <c r="AB67">
        <v>0</v>
      </c>
      <c r="AC67" t="s">
        <v>2820</v>
      </c>
      <c r="AD67">
        <v>2024</v>
      </c>
      <c r="AE67" t="s">
        <v>2814</v>
      </c>
    </row>
    <row r="68" spans="1:31">
      <c r="A68" t="s">
        <v>2210</v>
      </c>
      <c r="B68" s="8">
        <v>45660</v>
      </c>
      <c r="C68" s="8">
        <v>45723</v>
      </c>
      <c r="D68" t="s">
        <v>2211</v>
      </c>
      <c r="E68" t="s">
        <v>63</v>
      </c>
      <c r="F68" t="s">
        <v>100</v>
      </c>
      <c r="G68" t="s">
        <v>64</v>
      </c>
      <c r="H68" t="s">
        <v>94</v>
      </c>
      <c r="I68" t="s">
        <v>95</v>
      </c>
      <c r="J68" t="s">
        <v>38</v>
      </c>
      <c r="K68" t="s">
        <v>101</v>
      </c>
      <c r="L68" t="s">
        <v>2212</v>
      </c>
      <c r="M68" t="s">
        <v>60</v>
      </c>
      <c r="N68">
        <v>7</v>
      </c>
      <c r="O68">
        <v>567.15</v>
      </c>
      <c r="Q68">
        <v>2977.54</v>
      </c>
      <c r="R68">
        <v>1849.3</v>
      </c>
      <c r="S68">
        <v>1128.24</v>
      </c>
      <c r="T68" t="s">
        <v>112</v>
      </c>
      <c r="U68" t="s">
        <v>113</v>
      </c>
      <c r="V68" t="s">
        <v>2812</v>
      </c>
      <c r="W68" t="s">
        <v>2812</v>
      </c>
      <c r="X68">
        <v>-1.0661353799231277</v>
      </c>
      <c r="Y68">
        <v>3970.0499999999997</v>
      </c>
      <c r="Z68">
        <v>2120.75</v>
      </c>
      <c r="AA68">
        <v>0.53418722686112274</v>
      </c>
      <c r="AB68">
        <v>63</v>
      </c>
      <c r="AC68" t="s">
        <v>2826</v>
      </c>
      <c r="AD68">
        <v>2025</v>
      </c>
      <c r="AE68" t="s">
        <v>2814</v>
      </c>
    </row>
    <row r="69" spans="1:31">
      <c r="A69" t="s">
        <v>2207</v>
      </c>
      <c r="B69" s="8">
        <v>45922</v>
      </c>
      <c r="C69" s="8">
        <v>45925</v>
      </c>
      <c r="D69" t="s">
        <v>2208</v>
      </c>
      <c r="E69" t="s">
        <v>57</v>
      </c>
      <c r="F69" t="s">
        <v>47</v>
      </c>
      <c r="G69" t="s">
        <v>64</v>
      </c>
      <c r="H69" t="s">
        <v>195</v>
      </c>
      <c r="I69" t="s">
        <v>196</v>
      </c>
      <c r="J69" t="s">
        <v>84</v>
      </c>
      <c r="K69" t="s">
        <v>181</v>
      </c>
      <c r="L69" t="s">
        <v>2209</v>
      </c>
      <c r="M69" t="s">
        <v>215</v>
      </c>
      <c r="N69">
        <v>4</v>
      </c>
      <c r="O69">
        <v>1178.8399999999999</v>
      </c>
      <c r="P69">
        <v>0.25</v>
      </c>
      <c r="Q69">
        <v>3536.52</v>
      </c>
      <c r="R69">
        <v>2102.41</v>
      </c>
      <c r="S69">
        <v>1363.28</v>
      </c>
      <c r="T69" t="s">
        <v>42</v>
      </c>
      <c r="U69" t="s">
        <v>43</v>
      </c>
      <c r="V69" t="s">
        <v>2812</v>
      </c>
      <c r="W69" t="s">
        <v>2812</v>
      </c>
      <c r="X69">
        <v>1.3271856563895552</v>
      </c>
      <c r="Y69">
        <v>3536.5199999999995</v>
      </c>
      <c r="Z69">
        <v>1434.1099999999997</v>
      </c>
      <c r="AA69">
        <v>0.40551446054313278</v>
      </c>
      <c r="AB69">
        <v>3</v>
      </c>
      <c r="AC69" t="s">
        <v>2822</v>
      </c>
      <c r="AD69">
        <v>2025</v>
      </c>
      <c r="AE69" t="s">
        <v>2814</v>
      </c>
    </row>
    <row r="70" spans="1:31">
      <c r="A70" t="s">
        <v>318</v>
      </c>
      <c r="B70" s="8">
        <v>45897</v>
      </c>
      <c r="C70" s="8">
        <v>45901</v>
      </c>
      <c r="D70" t="s">
        <v>319</v>
      </c>
      <c r="E70" t="s">
        <v>33</v>
      </c>
      <c r="F70" t="s">
        <v>47</v>
      </c>
      <c r="G70" t="s">
        <v>64</v>
      </c>
      <c r="H70" t="s">
        <v>259</v>
      </c>
      <c r="I70" t="s">
        <v>260</v>
      </c>
      <c r="J70" t="s">
        <v>84</v>
      </c>
      <c r="K70" t="s">
        <v>85</v>
      </c>
      <c r="L70" t="s">
        <v>320</v>
      </c>
      <c r="M70" t="s">
        <v>54</v>
      </c>
      <c r="N70">
        <v>7</v>
      </c>
      <c r="O70">
        <v>1057.46</v>
      </c>
      <c r="P70">
        <v>0.05</v>
      </c>
      <c r="Q70">
        <v>7032.11</v>
      </c>
      <c r="R70">
        <v>4610.34</v>
      </c>
      <c r="S70">
        <v>2421.77</v>
      </c>
      <c r="T70" t="s">
        <v>42</v>
      </c>
      <c r="U70" t="s">
        <v>43</v>
      </c>
      <c r="V70" t="s">
        <v>2812</v>
      </c>
      <c r="W70" t="s">
        <v>2812</v>
      </c>
      <c r="X70">
        <v>-0.58747117266059101</v>
      </c>
      <c r="Y70">
        <v>7032.1089999999995</v>
      </c>
      <c r="Z70">
        <v>2421.7689999999993</v>
      </c>
      <c r="AA70">
        <v>0.34438729547565311</v>
      </c>
      <c r="AB70">
        <v>4</v>
      </c>
      <c r="AC70" t="s">
        <v>2813</v>
      </c>
      <c r="AD70">
        <v>2025</v>
      </c>
      <c r="AE70" t="s">
        <v>2814</v>
      </c>
    </row>
    <row r="71" spans="1:31">
      <c r="A71" t="s">
        <v>2202</v>
      </c>
      <c r="B71" s="8">
        <v>45870</v>
      </c>
      <c r="C71" s="8">
        <v>45878</v>
      </c>
      <c r="D71" t="s">
        <v>1161</v>
      </c>
      <c r="E71" t="s">
        <v>57</v>
      </c>
      <c r="F71" t="s">
        <v>34</v>
      </c>
      <c r="G71" t="s">
        <v>64</v>
      </c>
      <c r="H71" t="s">
        <v>94</v>
      </c>
      <c r="I71" t="s">
        <v>95</v>
      </c>
      <c r="J71" t="s">
        <v>38</v>
      </c>
      <c r="K71" t="s">
        <v>134</v>
      </c>
      <c r="L71" t="s">
        <v>2203</v>
      </c>
      <c r="M71" t="s">
        <v>60</v>
      </c>
      <c r="N71">
        <v>5</v>
      </c>
      <c r="O71">
        <v>2736.24</v>
      </c>
      <c r="P71">
        <v>0.15</v>
      </c>
      <c r="Q71">
        <v>11629.02</v>
      </c>
      <c r="R71">
        <v>9627.2099999999991</v>
      </c>
      <c r="S71">
        <v>2001.81</v>
      </c>
      <c r="T71" t="s">
        <v>42</v>
      </c>
      <c r="U71" t="s">
        <v>43</v>
      </c>
      <c r="V71" t="s">
        <v>2812</v>
      </c>
      <c r="W71" t="s">
        <v>2812</v>
      </c>
      <c r="X71">
        <v>0.3698572418644821</v>
      </c>
      <c r="Y71">
        <v>11629.019999999999</v>
      </c>
      <c r="Z71">
        <v>2001.8099999999995</v>
      </c>
      <c r="AA71">
        <v>0.17213918283741877</v>
      </c>
      <c r="AB71">
        <v>8</v>
      </c>
      <c r="AC71" t="s">
        <v>2813</v>
      </c>
      <c r="AD71">
        <v>2025</v>
      </c>
      <c r="AE71" t="s">
        <v>2814</v>
      </c>
    </row>
    <row r="72" spans="1:31">
      <c r="A72" t="s">
        <v>2199</v>
      </c>
      <c r="B72" s="8">
        <v>45750</v>
      </c>
      <c r="C72" s="8">
        <v>45758</v>
      </c>
      <c r="D72" t="s">
        <v>2200</v>
      </c>
      <c r="E72" t="s">
        <v>63</v>
      </c>
      <c r="F72" t="s">
        <v>34</v>
      </c>
      <c r="G72" t="s">
        <v>64</v>
      </c>
      <c r="H72" t="s">
        <v>259</v>
      </c>
      <c r="I72" t="s">
        <v>260</v>
      </c>
      <c r="J72" t="s">
        <v>51</v>
      </c>
      <c r="K72" t="s">
        <v>168</v>
      </c>
      <c r="L72" t="s">
        <v>2201</v>
      </c>
      <c r="M72" t="s">
        <v>41</v>
      </c>
      <c r="N72">
        <v>3</v>
      </c>
      <c r="O72">
        <v>4149.7700000000004</v>
      </c>
      <c r="P72">
        <v>0.05</v>
      </c>
      <c r="Q72">
        <v>11826.84</v>
      </c>
      <c r="R72">
        <v>8035.96</v>
      </c>
      <c r="S72">
        <v>3790.88</v>
      </c>
      <c r="T72" t="s">
        <v>42</v>
      </c>
      <c r="U72" t="s">
        <v>43</v>
      </c>
      <c r="V72" t="s">
        <v>2812</v>
      </c>
      <c r="W72" t="s">
        <v>2812</v>
      </c>
      <c r="X72">
        <v>-0.58747117266059101</v>
      </c>
      <c r="Y72">
        <v>11826.844500000001</v>
      </c>
      <c r="Z72">
        <v>3790.884500000001</v>
      </c>
      <c r="AA72">
        <v>0.32053220112938835</v>
      </c>
      <c r="AB72">
        <v>8</v>
      </c>
      <c r="AC72" t="s">
        <v>2825</v>
      </c>
      <c r="AD72">
        <v>2025</v>
      </c>
      <c r="AE72" t="s">
        <v>2814</v>
      </c>
    </row>
    <row r="73" spans="1:31">
      <c r="A73" t="s">
        <v>2196</v>
      </c>
      <c r="B73" s="8">
        <v>45935</v>
      </c>
      <c r="C73" s="8">
        <v>45940</v>
      </c>
      <c r="D73" t="s">
        <v>2197</v>
      </c>
      <c r="E73" t="s">
        <v>57</v>
      </c>
      <c r="F73" t="s">
        <v>100</v>
      </c>
      <c r="G73" t="s">
        <v>64</v>
      </c>
      <c r="H73" t="s">
        <v>185</v>
      </c>
      <c r="I73" t="s">
        <v>186</v>
      </c>
      <c r="J73" t="s">
        <v>51</v>
      </c>
      <c r="K73" t="s">
        <v>67</v>
      </c>
      <c r="L73" t="s">
        <v>2198</v>
      </c>
      <c r="M73" t="s">
        <v>41</v>
      </c>
      <c r="N73">
        <v>4</v>
      </c>
      <c r="O73">
        <v>2365.6799999999998</v>
      </c>
      <c r="P73">
        <v>0.1</v>
      </c>
      <c r="Q73">
        <v>8516.4500000000007</v>
      </c>
      <c r="R73">
        <v>5903.81</v>
      </c>
      <c r="S73">
        <v>2612.64</v>
      </c>
      <c r="T73" t="s">
        <v>42</v>
      </c>
      <c r="U73" t="s">
        <v>43</v>
      </c>
      <c r="V73" t="s">
        <v>2812</v>
      </c>
      <c r="W73" t="s">
        <v>2812</v>
      </c>
      <c r="X73">
        <v>-0.10880696539805437</v>
      </c>
      <c r="Y73">
        <v>8516.4480000000003</v>
      </c>
      <c r="Z73">
        <v>2612.6379999999999</v>
      </c>
      <c r="AA73">
        <v>0.30677554774009069</v>
      </c>
      <c r="AB73">
        <v>5</v>
      </c>
      <c r="AC73" t="s">
        <v>2823</v>
      </c>
      <c r="AD73">
        <v>2025</v>
      </c>
      <c r="AE73" t="s">
        <v>2814</v>
      </c>
    </row>
    <row r="74" spans="1:31">
      <c r="A74" t="s">
        <v>330</v>
      </c>
      <c r="B74" s="8">
        <v>45891</v>
      </c>
      <c r="C74" s="8">
        <v>45896</v>
      </c>
      <c r="D74" t="s">
        <v>331</v>
      </c>
      <c r="E74" t="s">
        <v>33</v>
      </c>
      <c r="F74" t="s">
        <v>100</v>
      </c>
      <c r="G74" t="s">
        <v>64</v>
      </c>
      <c r="H74" t="s">
        <v>94</v>
      </c>
      <c r="I74" t="s">
        <v>95</v>
      </c>
      <c r="J74" t="s">
        <v>84</v>
      </c>
      <c r="K74" t="s">
        <v>181</v>
      </c>
      <c r="L74" t="s">
        <v>332</v>
      </c>
      <c r="M74" t="s">
        <v>60</v>
      </c>
      <c r="N74">
        <v>2</v>
      </c>
      <c r="O74">
        <v>905.87</v>
      </c>
      <c r="P74">
        <v>0.15</v>
      </c>
      <c r="Q74">
        <v>1539.98</v>
      </c>
      <c r="R74">
        <v>1070.2</v>
      </c>
      <c r="S74">
        <v>469.78</v>
      </c>
      <c r="T74" t="s">
        <v>42</v>
      </c>
      <c r="U74" t="s">
        <v>43</v>
      </c>
      <c r="V74" t="s">
        <v>2812</v>
      </c>
      <c r="W74" t="s">
        <v>2812</v>
      </c>
      <c r="X74">
        <v>0.3698572418644821</v>
      </c>
      <c r="Y74">
        <v>1539.979</v>
      </c>
      <c r="Z74">
        <v>469.779</v>
      </c>
      <c r="AA74">
        <v>0.30505545854846072</v>
      </c>
      <c r="AB74">
        <v>5</v>
      </c>
      <c r="AC74" t="s">
        <v>2813</v>
      </c>
      <c r="AD74">
        <v>2025</v>
      </c>
      <c r="AE74" t="s">
        <v>2814</v>
      </c>
    </row>
    <row r="75" spans="1:31">
      <c r="A75" t="s">
        <v>2190</v>
      </c>
      <c r="B75" s="8">
        <v>45605</v>
      </c>
      <c r="C75" s="8">
        <v>45550</v>
      </c>
      <c r="D75" t="s">
        <v>2191</v>
      </c>
      <c r="E75" t="s">
        <v>142</v>
      </c>
      <c r="F75" t="s">
        <v>100</v>
      </c>
      <c r="G75" t="s">
        <v>64</v>
      </c>
      <c r="H75" t="s">
        <v>259</v>
      </c>
      <c r="I75" t="s">
        <v>260</v>
      </c>
      <c r="J75" t="s">
        <v>38</v>
      </c>
      <c r="K75" t="s">
        <v>58</v>
      </c>
      <c r="L75" t="s">
        <v>2192</v>
      </c>
      <c r="M75" t="s">
        <v>69</v>
      </c>
      <c r="N75">
        <v>4</v>
      </c>
      <c r="O75">
        <v>865.63</v>
      </c>
      <c r="P75">
        <v>0</v>
      </c>
      <c r="Q75">
        <v>3462.52</v>
      </c>
      <c r="R75">
        <v>2797.29</v>
      </c>
      <c r="S75">
        <v>665.23</v>
      </c>
      <c r="T75" t="s">
        <v>165</v>
      </c>
      <c r="U75" t="s">
        <v>113</v>
      </c>
      <c r="V75" t="s">
        <v>2812</v>
      </c>
      <c r="W75" t="s">
        <v>2818</v>
      </c>
      <c r="X75">
        <v>-1.0661353799231277</v>
      </c>
      <c r="Y75">
        <v>3462.52</v>
      </c>
      <c r="Z75">
        <v>665.23</v>
      </c>
      <c r="AA75">
        <v>0.19212307798944123</v>
      </c>
      <c r="AB75" t="e">
        <v>#NUM!</v>
      </c>
      <c r="AC75" t="s">
        <v>2817</v>
      </c>
      <c r="AD75">
        <v>2024</v>
      </c>
      <c r="AE75" t="s">
        <v>2819</v>
      </c>
    </row>
    <row r="76" spans="1:31">
      <c r="A76" t="s">
        <v>336</v>
      </c>
      <c r="B76" s="8">
        <v>45333</v>
      </c>
      <c r="C76" s="8">
        <v>45329</v>
      </c>
      <c r="D76" t="s">
        <v>337</v>
      </c>
      <c r="E76" t="s">
        <v>33</v>
      </c>
      <c r="F76" t="s">
        <v>105</v>
      </c>
      <c r="G76" t="s">
        <v>64</v>
      </c>
      <c r="H76" t="s">
        <v>259</v>
      </c>
      <c r="I76" t="s">
        <v>260</v>
      </c>
      <c r="J76" t="s">
        <v>51</v>
      </c>
      <c r="K76" t="s">
        <v>52</v>
      </c>
      <c r="L76" t="s">
        <v>338</v>
      </c>
      <c r="M76" t="s">
        <v>60</v>
      </c>
      <c r="N76">
        <v>7</v>
      </c>
      <c r="O76">
        <v>2287.4699999999998</v>
      </c>
      <c r="P76">
        <v>0.15</v>
      </c>
      <c r="Q76">
        <v>13610.45</v>
      </c>
      <c r="R76">
        <v>10039.049999999999</v>
      </c>
      <c r="S76">
        <v>3571.4</v>
      </c>
      <c r="T76" t="s">
        <v>42</v>
      </c>
      <c r="U76" t="s">
        <v>43</v>
      </c>
      <c r="V76" t="s">
        <v>2812</v>
      </c>
      <c r="W76" t="s">
        <v>2818</v>
      </c>
      <c r="X76">
        <v>0.3698572418644821</v>
      </c>
      <c r="Y76">
        <v>13610.446499999998</v>
      </c>
      <c r="Z76">
        <v>3571.3964999999989</v>
      </c>
      <c r="AA76">
        <v>0.26240112695788487</v>
      </c>
      <c r="AB76" t="e">
        <v>#NUM!</v>
      </c>
      <c r="AC76" t="s">
        <v>2815</v>
      </c>
      <c r="AD76">
        <v>2024</v>
      </c>
      <c r="AE76" t="s">
        <v>2819</v>
      </c>
    </row>
    <row r="77" spans="1:31">
      <c r="A77" t="s">
        <v>2178</v>
      </c>
      <c r="B77" s="8">
        <v>45376</v>
      </c>
      <c r="C77" s="8">
        <v>45326</v>
      </c>
      <c r="D77" t="s">
        <v>2179</v>
      </c>
      <c r="E77" t="s">
        <v>142</v>
      </c>
      <c r="F77" t="s">
        <v>105</v>
      </c>
      <c r="G77" t="s">
        <v>64</v>
      </c>
      <c r="H77" t="s">
        <v>259</v>
      </c>
      <c r="I77" t="s">
        <v>260</v>
      </c>
      <c r="J77" t="s">
        <v>84</v>
      </c>
      <c r="K77" t="s">
        <v>90</v>
      </c>
      <c r="L77" t="s">
        <v>2180</v>
      </c>
      <c r="M77" t="s">
        <v>69</v>
      </c>
      <c r="N77">
        <v>2</v>
      </c>
      <c r="O77">
        <v>2349.13</v>
      </c>
      <c r="P77">
        <v>0</v>
      </c>
      <c r="Q77">
        <v>4698.26</v>
      </c>
      <c r="R77">
        <v>2654.92</v>
      </c>
      <c r="S77">
        <v>2043.34</v>
      </c>
      <c r="T77" t="s">
        <v>42</v>
      </c>
      <c r="U77" t="s">
        <v>43</v>
      </c>
      <c r="V77" t="s">
        <v>2812</v>
      </c>
      <c r="W77" t="s">
        <v>2818</v>
      </c>
      <c r="X77">
        <v>-1.0661353799231277</v>
      </c>
      <c r="Y77">
        <v>4698.26</v>
      </c>
      <c r="Z77">
        <v>2043.3400000000001</v>
      </c>
      <c r="AA77">
        <v>0.43491420227914163</v>
      </c>
      <c r="AB77" t="e">
        <v>#NUM!</v>
      </c>
      <c r="AC77" t="s">
        <v>2828</v>
      </c>
      <c r="AD77">
        <v>2024</v>
      </c>
      <c r="AE77" t="s">
        <v>2819</v>
      </c>
    </row>
    <row r="78" spans="1:31">
      <c r="A78" t="s">
        <v>2173</v>
      </c>
      <c r="B78" s="8">
        <v>45859</v>
      </c>
      <c r="C78" s="8">
        <v>45859</v>
      </c>
      <c r="D78" t="s">
        <v>2174</v>
      </c>
      <c r="E78" t="s">
        <v>57</v>
      </c>
      <c r="F78" t="s">
        <v>105</v>
      </c>
      <c r="G78" t="s">
        <v>64</v>
      </c>
      <c r="H78" t="s">
        <v>259</v>
      </c>
      <c r="I78" t="s">
        <v>260</v>
      </c>
      <c r="J78" t="s">
        <v>51</v>
      </c>
      <c r="K78" t="s">
        <v>168</v>
      </c>
      <c r="L78" t="s">
        <v>2175</v>
      </c>
      <c r="M78" t="s">
        <v>60</v>
      </c>
      <c r="N78">
        <v>7</v>
      </c>
      <c r="O78">
        <v>4396.6499999999996</v>
      </c>
      <c r="P78">
        <v>0.2</v>
      </c>
      <c r="Q78">
        <v>24621.24</v>
      </c>
      <c r="R78">
        <v>17155.48</v>
      </c>
      <c r="S78">
        <v>7465.76</v>
      </c>
      <c r="T78" t="s">
        <v>112</v>
      </c>
      <c r="U78" t="s">
        <v>78</v>
      </c>
      <c r="V78" t="s">
        <v>2812</v>
      </c>
      <c r="W78" t="s">
        <v>2812</v>
      </c>
      <c r="X78">
        <v>0.84852144912701888</v>
      </c>
      <c r="Y78">
        <v>24621.239999999998</v>
      </c>
      <c r="Z78">
        <v>7465.7599999999984</v>
      </c>
      <c r="AA78">
        <v>0.3032243705028666</v>
      </c>
      <c r="AB78">
        <v>0</v>
      </c>
      <c r="AC78" t="s">
        <v>2829</v>
      </c>
      <c r="AD78">
        <v>2025</v>
      </c>
      <c r="AE78" t="s">
        <v>2824</v>
      </c>
    </row>
    <row r="79" spans="1:31">
      <c r="A79" t="s">
        <v>2170</v>
      </c>
      <c r="B79" s="8">
        <v>45858</v>
      </c>
      <c r="C79" s="8">
        <v>45862</v>
      </c>
      <c r="D79" t="s">
        <v>2171</v>
      </c>
      <c r="E79" t="s">
        <v>63</v>
      </c>
      <c r="F79" t="s">
        <v>47</v>
      </c>
      <c r="G79" t="s">
        <v>64</v>
      </c>
      <c r="H79" t="s">
        <v>65</v>
      </c>
      <c r="I79" t="s">
        <v>66</v>
      </c>
      <c r="J79" t="s">
        <v>51</v>
      </c>
      <c r="K79" t="s">
        <v>67</v>
      </c>
      <c r="L79" t="s">
        <v>2172</v>
      </c>
      <c r="M79" t="s">
        <v>41</v>
      </c>
      <c r="N79">
        <v>6</v>
      </c>
      <c r="O79">
        <v>1646.45</v>
      </c>
      <c r="P79">
        <v>0.2</v>
      </c>
      <c r="Q79">
        <v>7902.96</v>
      </c>
      <c r="R79">
        <v>5512.03</v>
      </c>
      <c r="S79">
        <v>2390.9299999999998</v>
      </c>
      <c r="T79" t="s">
        <v>112</v>
      </c>
      <c r="U79" t="s">
        <v>78</v>
      </c>
      <c r="V79" t="s">
        <v>2812</v>
      </c>
      <c r="W79" t="s">
        <v>2812</v>
      </c>
      <c r="X79">
        <v>0.84852144912701888</v>
      </c>
      <c r="Y79">
        <v>7902.9600000000009</v>
      </c>
      <c r="Z79">
        <v>2390.9300000000012</v>
      </c>
      <c r="AA79">
        <v>0.30253601182341816</v>
      </c>
      <c r="AB79">
        <v>4</v>
      </c>
      <c r="AC79" t="s">
        <v>2829</v>
      </c>
      <c r="AD79">
        <v>2025</v>
      </c>
      <c r="AE79" t="s">
        <v>2824</v>
      </c>
    </row>
    <row r="80" spans="1:31">
      <c r="A80" t="s">
        <v>2160</v>
      </c>
      <c r="B80" s="8">
        <v>45441</v>
      </c>
      <c r="C80" s="8">
        <v>45448</v>
      </c>
      <c r="D80" t="s">
        <v>2161</v>
      </c>
      <c r="E80" t="s">
        <v>276</v>
      </c>
      <c r="F80" t="s">
        <v>100</v>
      </c>
      <c r="G80" t="s">
        <v>64</v>
      </c>
      <c r="H80" t="s">
        <v>259</v>
      </c>
      <c r="I80" t="s">
        <v>260</v>
      </c>
      <c r="J80" t="s">
        <v>84</v>
      </c>
      <c r="K80" t="s">
        <v>85</v>
      </c>
      <c r="L80" t="s">
        <v>2162</v>
      </c>
      <c r="M80" t="s">
        <v>60</v>
      </c>
      <c r="N80">
        <v>4</v>
      </c>
      <c r="O80">
        <v>3700.24</v>
      </c>
      <c r="P80">
        <v>0</v>
      </c>
      <c r="Q80">
        <v>14800.96</v>
      </c>
      <c r="R80">
        <v>12048.39</v>
      </c>
      <c r="S80">
        <v>2752.57</v>
      </c>
      <c r="T80" t="s">
        <v>42</v>
      </c>
      <c r="U80" t="s">
        <v>43</v>
      </c>
      <c r="V80" t="s">
        <v>2812</v>
      </c>
      <c r="W80" t="s">
        <v>2812</v>
      </c>
      <c r="X80">
        <v>-1.0661353799231277</v>
      </c>
      <c r="Y80">
        <v>14800.96</v>
      </c>
      <c r="Z80">
        <v>2752.5699999999997</v>
      </c>
      <c r="AA80">
        <v>0.18597239638509933</v>
      </c>
      <c r="AB80">
        <v>7</v>
      </c>
      <c r="AC80" t="s">
        <v>2821</v>
      </c>
      <c r="AD80">
        <v>2024</v>
      </c>
      <c r="AE80" t="s">
        <v>2814</v>
      </c>
    </row>
    <row r="81" spans="1:31">
      <c r="A81" t="s">
        <v>2154</v>
      </c>
      <c r="B81" s="8">
        <v>45620</v>
      </c>
      <c r="C81" s="8">
        <v>45303</v>
      </c>
      <c r="D81" t="s">
        <v>2155</v>
      </c>
      <c r="E81" t="s">
        <v>276</v>
      </c>
      <c r="F81" t="s">
        <v>100</v>
      </c>
      <c r="G81" t="s">
        <v>64</v>
      </c>
      <c r="H81" t="s">
        <v>185</v>
      </c>
      <c r="I81" t="s">
        <v>186</v>
      </c>
      <c r="J81" t="s">
        <v>51</v>
      </c>
      <c r="K81" t="s">
        <v>52</v>
      </c>
      <c r="L81" t="s">
        <v>2156</v>
      </c>
      <c r="M81" t="s">
        <v>41</v>
      </c>
      <c r="N81">
        <v>9</v>
      </c>
      <c r="O81">
        <v>2763.61</v>
      </c>
      <c r="P81">
        <v>0.15</v>
      </c>
      <c r="Q81">
        <v>21141.62</v>
      </c>
      <c r="R81">
        <v>11676.33</v>
      </c>
      <c r="S81">
        <v>9465.2900000000009</v>
      </c>
      <c r="T81" t="s">
        <v>42</v>
      </c>
      <c r="U81" t="s">
        <v>43</v>
      </c>
      <c r="V81" t="s">
        <v>2812</v>
      </c>
      <c r="W81" t="s">
        <v>2818</v>
      </c>
      <c r="X81">
        <v>0.3698572418644821</v>
      </c>
      <c r="Y81">
        <v>21141.6165</v>
      </c>
      <c r="Z81">
        <v>9465.2865000000002</v>
      </c>
      <c r="AA81">
        <v>0.44770874071999178</v>
      </c>
      <c r="AB81" t="e">
        <v>#NUM!</v>
      </c>
      <c r="AC81" t="s">
        <v>2817</v>
      </c>
      <c r="AD81">
        <v>2024</v>
      </c>
      <c r="AE81" t="s">
        <v>2819</v>
      </c>
    </row>
    <row r="82" spans="1:31">
      <c r="A82" t="s">
        <v>2152</v>
      </c>
      <c r="B82" s="8">
        <v>45465</v>
      </c>
      <c r="C82" s="8">
        <v>45470</v>
      </c>
      <c r="D82" t="s">
        <v>32</v>
      </c>
      <c r="E82" t="s">
        <v>57</v>
      </c>
      <c r="F82" t="s">
        <v>105</v>
      </c>
      <c r="G82" t="s">
        <v>64</v>
      </c>
      <c r="H82" t="s">
        <v>185</v>
      </c>
      <c r="I82" t="s">
        <v>186</v>
      </c>
      <c r="J82" t="s">
        <v>51</v>
      </c>
      <c r="K82" t="s">
        <v>76</v>
      </c>
      <c r="L82" t="s">
        <v>2153</v>
      </c>
      <c r="M82" t="s">
        <v>54</v>
      </c>
      <c r="N82">
        <v>7</v>
      </c>
      <c r="O82">
        <v>2623.48</v>
      </c>
      <c r="P82">
        <v>0</v>
      </c>
      <c r="Q82">
        <v>18364.36</v>
      </c>
      <c r="R82">
        <v>15445.81</v>
      </c>
      <c r="S82">
        <v>2918.55</v>
      </c>
      <c r="T82" t="s">
        <v>42</v>
      </c>
      <c r="U82" t="s">
        <v>43</v>
      </c>
      <c r="V82" t="s">
        <v>2812</v>
      </c>
      <c r="W82" t="s">
        <v>2812</v>
      </c>
      <c r="X82">
        <v>-1.0661353799231277</v>
      </c>
      <c r="Y82">
        <v>18364.36</v>
      </c>
      <c r="Z82">
        <v>2918.5500000000011</v>
      </c>
      <c r="AA82">
        <v>0.15892467801763857</v>
      </c>
      <c r="AB82">
        <v>5</v>
      </c>
      <c r="AC82" t="s">
        <v>2820</v>
      </c>
      <c r="AD82">
        <v>2024</v>
      </c>
      <c r="AE82" t="s">
        <v>2814</v>
      </c>
    </row>
    <row r="83" spans="1:31">
      <c r="A83" t="s">
        <v>357</v>
      </c>
      <c r="B83" s="8">
        <v>45927</v>
      </c>
      <c r="C83" s="8">
        <v>45933</v>
      </c>
      <c r="D83" t="s">
        <v>358</v>
      </c>
      <c r="E83" t="s">
        <v>172</v>
      </c>
      <c r="F83" t="s">
        <v>105</v>
      </c>
      <c r="G83" t="s">
        <v>64</v>
      </c>
      <c r="H83" t="s">
        <v>259</v>
      </c>
      <c r="I83" t="s">
        <v>260</v>
      </c>
      <c r="J83" t="s">
        <v>51</v>
      </c>
      <c r="K83" t="s">
        <v>76</v>
      </c>
      <c r="L83" t="s">
        <v>359</v>
      </c>
      <c r="M83" t="s">
        <v>54</v>
      </c>
      <c r="N83">
        <v>9</v>
      </c>
      <c r="O83">
        <v>4131.5200000000004</v>
      </c>
      <c r="P83">
        <v>0.1</v>
      </c>
      <c r="Q83">
        <v>33465.31</v>
      </c>
      <c r="R83">
        <v>24781.26</v>
      </c>
      <c r="S83">
        <v>8684.0499999999993</v>
      </c>
      <c r="T83" t="s">
        <v>42</v>
      </c>
      <c r="U83" t="s">
        <v>43</v>
      </c>
      <c r="V83" t="s">
        <v>2812</v>
      </c>
      <c r="W83" t="s">
        <v>2812</v>
      </c>
      <c r="X83">
        <v>-0.10880696539805437</v>
      </c>
      <c r="Y83">
        <v>33465.312000000005</v>
      </c>
      <c r="Z83">
        <v>8684.052000000007</v>
      </c>
      <c r="AA83">
        <v>0.25949412932411942</v>
      </c>
      <c r="AB83">
        <v>6</v>
      </c>
      <c r="AC83" t="s">
        <v>2822</v>
      </c>
      <c r="AD83">
        <v>2025</v>
      </c>
      <c r="AE83" t="s">
        <v>2814</v>
      </c>
    </row>
    <row r="84" spans="1:31">
      <c r="A84" t="s">
        <v>2114</v>
      </c>
      <c r="B84" s="8">
        <v>45633</v>
      </c>
      <c r="C84" s="8">
        <v>45636</v>
      </c>
      <c r="D84" t="s">
        <v>2115</v>
      </c>
      <c r="E84" t="s">
        <v>46</v>
      </c>
      <c r="F84" t="s">
        <v>105</v>
      </c>
      <c r="G84" t="s">
        <v>64</v>
      </c>
      <c r="H84" t="s">
        <v>65</v>
      </c>
      <c r="I84" t="s">
        <v>66</v>
      </c>
      <c r="J84" t="s">
        <v>84</v>
      </c>
      <c r="K84" t="s">
        <v>85</v>
      </c>
      <c r="L84" t="s">
        <v>2116</v>
      </c>
      <c r="M84" t="s">
        <v>69</v>
      </c>
      <c r="N84">
        <v>1</v>
      </c>
      <c r="O84">
        <v>1908.83</v>
      </c>
      <c r="P84">
        <v>0.2</v>
      </c>
      <c r="Q84">
        <v>1527.06</v>
      </c>
      <c r="R84">
        <v>1055.8900000000001</v>
      </c>
      <c r="S84">
        <v>471.17</v>
      </c>
      <c r="T84" t="s">
        <v>42</v>
      </c>
      <c r="U84" t="s">
        <v>43</v>
      </c>
      <c r="V84" t="s">
        <v>2812</v>
      </c>
      <c r="W84" t="s">
        <v>2812</v>
      </c>
      <c r="X84">
        <v>0.84852144912701888</v>
      </c>
      <c r="Y84">
        <v>1527.0640000000001</v>
      </c>
      <c r="Z84">
        <v>471.17399999999998</v>
      </c>
      <c r="AA84">
        <v>0.30854895407134209</v>
      </c>
      <c r="AB84">
        <v>3</v>
      </c>
      <c r="AC84" t="s">
        <v>2816</v>
      </c>
      <c r="AD84">
        <v>2024</v>
      </c>
      <c r="AE84" t="s">
        <v>2814</v>
      </c>
    </row>
    <row r="85" spans="1:31">
      <c r="A85" t="s">
        <v>2105</v>
      </c>
      <c r="B85" s="8">
        <v>45429</v>
      </c>
      <c r="C85" s="8">
        <v>45434</v>
      </c>
      <c r="D85" t="s">
        <v>2106</v>
      </c>
      <c r="E85" t="s">
        <v>142</v>
      </c>
      <c r="F85" t="s">
        <v>34</v>
      </c>
      <c r="G85" t="s">
        <v>64</v>
      </c>
      <c r="H85" t="s">
        <v>94</v>
      </c>
      <c r="I85" t="s">
        <v>95</v>
      </c>
      <c r="J85" t="s">
        <v>84</v>
      </c>
      <c r="K85" t="s">
        <v>286</v>
      </c>
      <c r="L85" t="s">
        <v>2107</v>
      </c>
      <c r="M85" t="s">
        <v>41</v>
      </c>
      <c r="N85">
        <v>7</v>
      </c>
      <c r="O85">
        <v>232.5</v>
      </c>
      <c r="P85">
        <v>0</v>
      </c>
      <c r="Q85">
        <v>1627.5</v>
      </c>
      <c r="R85">
        <v>939.9</v>
      </c>
      <c r="S85">
        <v>687.6</v>
      </c>
      <c r="T85" t="s">
        <v>42</v>
      </c>
      <c r="U85" t="s">
        <v>43</v>
      </c>
      <c r="V85" t="s">
        <v>2812</v>
      </c>
      <c r="W85" t="s">
        <v>2812</v>
      </c>
      <c r="X85">
        <v>-1.0661353799231277</v>
      </c>
      <c r="Y85">
        <v>1627.5</v>
      </c>
      <c r="Z85">
        <v>687.6</v>
      </c>
      <c r="AA85">
        <v>0.4224884792626728</v>
      </c>
      <c r="AB85">
        <v>5</v>
      </c>
      <c r="AC85" t="s">
        <v>2821</v>
      </c>
      <c r="AD85">
        <v>2024</v>
      </c>
      <c r="AE85" t="s">
        <v>2814</v>
      </c>
    </row>
    <row r="86" spans="1:31">
      <c r="A86" t="s">
        <v>2099</v>
      </c>
      <c r="B86" s="8">
        <v>45678</v>
      </c>
      <c r="C86" s="8">
        <v>45679</v>
      </c>
      <c r="D86" t="s">
        <v>2100</v>
      </c>
      <c r="E86" t="s">
        <v>172</v>
      </c>
      <c r="F86" t="s">
        <v>100</v>
      </c>
      <c r="G86" t="s">
        <v>64</v>
      </c>
      <c r="H86" t="s">
        <v>185</v>
      </c>
      <c r="I86" t="s">
        <v>186</v>
      </c>
      <c r="J86" t="s">
        <v>84</v>
      </c>
      <c r="K86" t="s">
        <v>181</v>
      </c>
      <c r="L86" t="s">
        <v>2101</v>
      </c>
      <c r="M86" t="s">
        <v>41</v>
      </c>
      <c r="N86">
        <v>2</v>
      </c>
      <c r="O86">
        <v>444.31</v>
      </c>
      <c r="P86">
        <v>0.2</v>
      </c>
      <c r="Q86">
        <v>710.9</v>
      </c>
      <c r="R86">
        <v>513.88</v>
      </c>
      <c r="S86">
        <v>197.02</v>
      </c>
      <c r="T86" t="s">
        <v>112</v>
      </c>
      <c r="U86" t="s">
        <v>78</v>
      </c>
      <c r="V86" t="s">
        <v>2812</v>
      </c>
      <c r="W86" t="s">
        <v>2812</v>
      </c>
      <c r="X86">
        <v>0.84852144912701888</v>
      </c>
      <c r="Y86">
        <v>710.89600000000007</v>
      </c>
      <c r="Z86">
        <v>197.01600000000008</v>
      </c>
      <c r="AA86">
        <v>0.27713758411919615</v>
      </c>
      <c r="AB86">
        <v>1</v>
      </c>
      <c r="AC86" t="s">
        <v>2826</v>
      </c>
      <c r="AD86">
        <v>2025</v>
      </c>
      <c r="AE86" t="s">
        <v>2824</v>
      </c>
    </row>
    <row r="87" spans="1:31">
      <c r="A87" t="s">
        <v>2082</v>
      </c>
      <c r="B87" s="8">
        <v>45751</v>
      </c>
      <c r="C87" s="8">
        <v>45842</v>
      </c>
      <c r="D87" t="s">
        <v>2083</v>
      </c>
      <c r="E87" t="s">
        <v>124</v>
      </c>
      <c r="F87" t="s">
        <v>47</v>
      </c>
      <c r="G87" t="s">
        <v>64</v>
      </c>
      <c r="H87" t="s">
        <v>259</v>
      </c>
      <c r="I87" t="s">
        <v>260</v>
      </c>
      <c r="J87" t="s">
        <v>84</v>
      </c>
      <c r="K87" t="s">
        <v>90</v>
      </c>
      <c r="L87" t="s">
        <v>2084</v>
      </c>
      <c r="M87" t="s">
        <v>41</v>
      </c>
      <c r="N87">
        <v>7</v>
      </c>
      <c r="O87">
        <v>4457.93</v>
      </c>
      <c r="P87">
        <v>0.15</v>
      </c>
      <c r="Q87">
        <v>26524.68</v>
      </c>
      <c r="R87">
        <v>20574.3</v>
      </c>
      <c r="S87">
        <v>5950.38</v>
      </c>
      <c r="T87" t="s">
        <v>42</v>
      </c>
      <c r="U87" t="s">
        <v>43</v>
      </c>
      <c r="V87" t="s">
        <v>2812</v>
      </c>
      <c r="W87" t="s">
        <v>2812</v>
      </c>
      <c r="X87">
        <v>0.3698572418644821</v>
      </c>
      <c r="Y87">
        <v>26524.683500000003</v>
      </c>
      <c r="Z87">
        <v>5950.3835000000036</v>
      </c>
      <c r="AA87">
        <v>0.22433381721595294</v>
      </c>
      <c r="AB87">
        <v>91</v>
      </c>
      <c r="AC87" t="s">
        <v>2825</v>
      </c>
      <c r="AD87">
        <v>2025</v>
      </c>
      <c r="AE87" t="s">
        <v>2814</v>
      </c>
    </row>
    <row r="88" spans="1:31">
      <c r="A88" t="s">
        <v>374</v>
      </c>
      <c r="B88" s="8">
        <v>45566</v>
      </c>
      <c r="C88" s="8">
        <v>45568</v>
      </c>
      <c r="D88" t="s">
        <v>375</v>
      </c>
      <c r="E88" t="s">
        <v>151</v>
      </c>
      <c r="F88" t="s">
        <v>100</v>
      </c>
      <c r="G88" t="s">
        <v>64</v>
      </c>
      <c r="H88" t="s">
        <v>259</v>
      </c>
      <c r="I88" t="s">
        <v>260</v>
      </c>
      <c r="J88" t="s">
        <v>84</v>
      </c>
      <c r="K88" t="s">
        <v>181</v>
      </c>
      <c r="L88" t="s">
        <v>376</v>
      </c>
      <c r="M88" t="s">
        <v>41</v>
      </c>
      <c r="N88">
        <v>6</v>
      </c>
      <c r="O88">
        <v>570.28</v>
      </c>
      <c r="P88">
        <v>0.2</v>
      </c>
      <c r="Q88">
        <v>2737.34</v>
      </c>
      <c r="R88">
        <v>2085.44</v>
      </c>
      <c r="S88">
        <v>651.9</v>
      </c>
      <c r="T88" t="s">
        <v>42</v>
      </c>
      <c r="U88" t="s">
        <v>43</v>
      </c>
      <c r="V88" t="s">
        <v>2812</v>
      </c>
      <c r="W88" t="s">
        <v>2812</v>
      </c>
      <c r="X88">
        <v>0.84852144912701888</v>
      </c>
      <c r="Y88">
        <v>2737.3440000000001</v>
      </c>
      <c r="Z88">
        <v>651.904</v>
      </c>
      <c r="AA88">
        <v>0.23815201889130486</v>
      </c>
      <c r="AB88">
        <v>2</v>
      </c>
      <c r="AC88" t="s">
        <v>2823</v>
      </c>
      <c r="AD88">
        <v>2024</v>
      </c>
      <c r="AE88" t="s">
        <v>2814</v>
      </c>
    </row>
    <row r="89" spans="1:31">
      <c r="A89" t="s">
        <v>2077</v>
      </c>
      <c r="B89" s="8">
        <v>45875</v>
      </c>
      <c r="C89" s="8">
        <v>45878</v>
      </c>
      <c r="D89" t="s">
        <v>2078</v>
      </c>
      <c r="E89" t="s">
        <v>46</v>
      </c>
      <c r="F89" t="s">
        <v>47</v>
      </c>
      <c r="G89" t="s">
        <v>64</v>
      </c>
      <c r="H89" t="s">
        <v>94</v>
      </c>
      <c r="I89" t="s">
        <v>95</v>
      </c>
      <c r="J89" t="s">
        <v>38</v>
      </c>
      <c r="K89" t="s">
        <v>39</v>
      </c>
      <c r="L89" t="s">
        <v>2079</v>
      </c>
      <c r="M89" t="s">
        <v>41</v>
      </c>
      <c r="N89">
        <v>3</v>
      </c>
      <c r="O89">
        <v>598.54999999999995</v>
      </c>
      <c r="P89">
        <v>0</v>
      </c>
      <c r="Q89">
        <v>1795.65</v>
      </c>
      <c r="R89">
        <v>996.72</v>
      </c>
      <c r="S89">
        <v>798.93</v>
      </c>
      <c r="T89" t="s">
        <v>42</v>
      </c>
      <c r="U89" t="s">
        <v>43</v>
      </c>
      <c r="V89" t="s">
        <v>2812</v>
      </c>
      <c r="W89" t="s">
        <v>2812</v>
      </c>
      <c r="X89">
        <v>-1.0661353799231277</v>
      </c>
      <c r="Y89">
        <v>1795.6499999999999</v>
      </c>
      <c r="Z89">
        <v>798.92999999999984</v>
      </c>
      <c r="AA89">
        <v>0.44492523598696843</v>
      </c>
      <c r="AB89">
        <v>3</v>
      </c>
      <c r="AC89" t="s">
        <v>2813</v>
      </c>
      <c r="AD89">
        <v>2025</v>
      </c>
      <c r="AE89" t="s">
        <v>2814</v>
      </c>
    </row>
    <row r="90" spans="1:31">
      <c r="A90" t="s">
        <v>2072</v>
      </c>
      <c r="B90" s="8">
        <v>45880</v>
      </c>
      <c r="C90" s="8">
        <v>45888</v>
      </c>
      <c r="D90" t="s">
        <v>2073</v>
      </c>
      <c r="E90" t="s">
        <v>276</v>
      </c>
      <c r="F90" t="s">
        <v>47</v>
      </c>
      <c r="G90" t="s">
        <v>64</v>
      </c>
      <c r="H90" t="s">
        <v>195</v>
      </c>
      <c r="I90" t="s">
        <v>196</v>
      </c>
      <c r="J90" t="s">
        <v>84</v>
      </c>
      <c r="K90" t="s">
        <v>85</v>
      </c>
      <c r="L90" t="s">
        <v>2074</v>
      </c>
      <c r="M90" t="s">
        <v>69</v>
      </c>
      <c r="N90">
        <v>4</v>
      </c>
      <c r="O90">
        <v>2258.96</v>
      </c>
      <c r="P90">
        <v>0.25</v>
      </c>
      <c r="Q90">
        <v>6776.88</v>
      </c>
      <c r="R90">
        <v>3836.24</v>
      </c>
      <c r="S90">
        <v>2940.64</v>
      </c>
      <c r="T90" t="s">
        <v>42</v>
      </c>
      <c r="U90" t="s">
        <v>43</v>
      </c>
      <c r="V90" t="s">
        <v>2812</v>
      </c>
      <c r="W90" t="s">
        <v>2812</v>
      </c>
      <c r="X90">
        <v>1.3271856563895552</v>
      </c>
      <c r="Y90">
        <v>6776.88</v>
      </c>
      <c r="Z90">
        <v>2940.6400000000003</v>
      </c>
      <c r="AA90">
        <v>0.43392239496641527</v>
      </c>
      <c r="AB90">
        <v>8</v>
      </c>
      <c r="AC90" t="s">
        <v>2813</v>
      </c>
      <c r="AD90">
        <v>2025</v>
      </c>
      <c r="AE90" t="s">
        <v>2814</v>
      </c>
    </row>
    <row r="91" spans="1:31">
      <c r="A91" t="s">
        <v>2069</v>
      </c>
      <c r="B91" s="8">
        <v>45403</v>
      </c>
      <c r="C91" s="8">
        <v>45406</v>
      </c>
      <c r="D91" t="s">
        <v>2070</v>
      </c>
      <c r="E91" t="s">
        <v>89</v>
      </c>
      <c r="F91" t="s">
        <v>47</v>
      </c>
      <c r="G91" t="s">
        <v>64</v>
      </c>
      <c r="H91" t="s">
        <v>94</v>
      </c>
      <c r="I91" t="s">
        <v>95</v>
      </c>
      <c r="J91" t="s">
        <v>38</v>
      </c>
      <c r="K91" t="s">
        <v>58</v>
      </c>
      <c r="L91" t="s">
        <v>2071</v>
      </c>
      <c r="M91" t="s">
        <v>54</v>
      </c>
      <c r="N91">
        <v>9</v>
      </c>
      <c r="O91">
        <v>703.59</v>
      </c>
      <c r="P91">
        <v>0.2</v>
      </c>
      <c r="Q91">
        <v>5065.8500000000004</v>
      </c>
      <c r="R91">
        <v>3517.23</v>
      </c>
      <c r="S91">
        <v>1548.62</v>
      </c>
      <c r="T91" t="s">
        <v>165</v>
      </c>
      <c r="U91" t="s">
        <v>113</v>
      </c>
      <c r="V91" t="s">
        <v>2812</v>
      </c>
      <c r="W91" t="s">
        <v>2812</v>
      </c>
      <c r="X91">
        <v>0.84852144912701888</v>
      </c>
      <c r="Y91">
        <v>5065.8480000000009</v>
      </c>
      <c r="Z91">
        <v>1548.6180000000008</v>
      </c>
      <c r="AA91">
        <v>0.30569768378364304</v>
      </c>
      <c r="AB91">
        <v>3</v>
      </c>
      <c r="AC91" t="s">
        <v>2825</v>
      </c>
      <c r="AD91">
        <v>2024</v>
      </c>
      <c r="AE91" t="s">
        <v>2814</v>
      </c>
    </row>
    <row r="92" spans="1:31">
      <c r="A92" t="s">
        <v>2039</v>
      </c>
      <c r="B92" s="8">
        <v>45317</v>
      </c>
      <c r="C92" s="8">
        <v>45322</v>
      </c>
      <c r="D92" t="s">
        <v>2040</v>
      </c>
      <c r="E92" t="s">
        <v>33</v>
      </c>
      <c r="F92" t="s">
        <v>100</v>
      </c>
      <c r="G92" t="s">
        <v>64</v>
      </c>
      <c r="H92" t="s">
        <v>195</v>
      </c>
      <c r="I92" t="s">
        <v>196</v>
      </c>
      <c r="J92" t="s">
        <v>38</v>
      </c>
      <c r="K92" t="s">
        <v>134</v>
      </c>
      <c r="L92" t="s">
        <v>2041</v>
      </c>
      <c r="M92" t="s">
        <v>41</v>
      </c>
      <c r="N92">
        <v>3</v>
      </c>
      <c r="O92">
        <v>3224.32</v>
      </c>
      <c r="P92">
        <v>0.2</v>
      </c>
      <c r="Q92">
        <v>7738.37</v>
      </c>
      <c r="R92">
        <v>4626.8500000000004</v>
      </c>
      <c r="S92">
        <v>3111.52</v>
      </c>
      <c r="T92" t="s">
        <v>165</v>
      </c>
      <c r="U92" t="s">
        <v>113</v>
      </c>
      <c r="V92" t="s">
        <v>2812</v>
      </c>
      <c r="W92" t="s">
        <v>2812</v>
      </c>
      <c r="X92">
        <v>0.84852144912701888</v>
      </c>
      <c r="Y92">
        <v>7738.3680000000013</v>
      </c>
      <c r="Z92">
        <v>3111.5180000000009</v>
      </c>
      <c r="AA92">
        <v>0.40208969126306743</v>
      </c>
      <c r="AB92">
        <v>5</v>
      </c>
      <c r="AC92" t="s">
        <v>2826</v>
      </c>
      <c r="AD92">
        <v>2024</v>
      </c>
      <c r="AE92" t="s">
        <v>2814</v>
      </c>
    </row>
    <row r="93" spans="1:31">
      <c r="A93" t="s">
        <v>389</v>
      </c>
      <c r="B93" s="8">
        <v>45540</v>
      </c>
      <c r="C93" s="8">
        <v>45540</v>
      </c>
      <c r="D93" t="s">
        <v>390</v>
      </c>
      <c r="E93" t="s">
        <v>276</v>
      </c>
      <c r="F93" t="s">
        <v>34</v>
      </c>
      <c r="G93" t="s">
        <v>64</v>
      </c>
      <c r="H93" t="s">
        <v>94</v>
      </c>
      <c r="I93" t="s">
        <v>95</v>
      </c>
      <c r="J93" t="s">
        <v>51</v>
      </c>
      <c r="K93" t="s">
        <v>168</v>
      </c>
      <c r="L93" t="s">
        <v>391</v>
      </c>
      <c r="M93" t="s">
        <v>69</v>
      </c>
      <c r="N93">
        <v>7</v>
      </c>
      <c r="O93">
        <v>3761.09</v>
      </c>
      <c r="P93">
        <v>0.2</v>
      </c>
      <c r="Q93">
        <v>21062.1</v>
      </c>
      <c r="R93">
        <v>12057.13</v>
      </c>
      <c r="S93">
        <v>9004.9699999999993</v>
      </c>
      <c r="T93" t="s">
        <v>121</v>
      </c>
      <c r="U93" t="s">
        <v>78</v>
      </c>
      <c r="V93" t="s">
        <v>2812</v>
      </c>
      <c r="W93" t="s">
        <v>2812</v>
      </c>
      <c r="X93">
        <v>0.84852144912701888</v>
      </c>
      <c r="Y93">
        <v>21062.104000000003</v>
      </c>
      <c r="Z93">
        <v>9004.9740000000038</v>
      </c>
      <c r="AA93">
        <v>0.42754389589947911</v>
      </c>
      <c r="AB93">
        <v>0</v>
      </c>
      <c r="AC93" t="s">
        <v>2822</v>
      </c>
      <c r="AD93">
        <v>2024</v>
      </c>
      <c r="AE93" t="s">
        <v>2824</v>
      </c>
    </row>
    <row r="94" spans="1:31">
      <c r="A94" t="s">
        <v>2033</v>
      </c>
      <c r="B94" s="8">
        <v>45567</v>
      </c>
      <c r="C94" s="8">
        <v>45574</v>
      </c>
      <c r="D94" t="s">
        <v>2034</v>
      </c>
      <c r="E94" t="s">
        <v>72</v>
      </c>
      <c r="F94" t="s">
        <v>34</v>
      </c>
      <c r="G94" t="s">
        <v>64</v>
      </c>
      <c r="H94" t="s">
        <v>259</v>
      </c>
      <c r="I94" t="s">
        <v>260</v>
      </c>
      <c r="J94" t="s">
        <v>38</v>
      </c>
      <c r="K94" t="s">
        <v>39</v>
      </c>
      <c r="L94" t="s">
        <v>2035</v>
      </c>
      <c r="M94" t="s">
        <v>69</v>
      </c>
      <c r="N94">
        <v>8</v>
      </c>
      <c r="O94">
        <v>1910.31</v>
      </c>
      <c r="P94">
        <v>0.15</v>
      </c>
      <c r="Q94">
        <v>12990.11</v>
      </c>
      <c r="R94">
        <v>10200.799999999999</v>
      </c>
      <c r="S94">
        <v>2789.31</v>
      </c>
      <c r="T94" t="s">
        <v>42</v>
      </c>
      <c r="U94" t="s">
        <v>43</v>
      </c>
      <c r="V94" t="s">
        <v>2812</v>
      </c>
      <c r="W94" t="s">
        <v>2812</v>
      </c>
      <c r="X94">
        <v>0.3698572418644821</v>
      </c>
      <c r="Y94">
        <v>12990.108</v>
      </c>
      <c r="Z94">
        <v>2789.3080000000009</v>
      </c>
      <c r="AA94">
        <v>0.2147255434673831</v>
      </c>
      <c r="AB94">
        <v>7</v>
      </c>
      <c r="AC94" t="s">
        <v>2823</v>
      </c>
      <c r="AD94">
        <v>2024</v>
      </c>
      <c r="AE94" t="s">
        <v>2814</v>
      </c>
    </row>
    <row r="95" spans="1:31">
      <c r="A95" t="s">
        <v>2030</v>
      </c>
      <c r="B95" s="8">
        <v>45432</v>
      </c>
      <c r="C95" s="8">
        <v>45437</v>
      </c>
      <c r="D95" t="s">
        <v>2031</v>
      </c>
      <c r="E95" t="s">
        <v>46</v>
      </c>
      <c r="F95" t="s">
        <v>100</v>
      </c>
      <c r="G95" t="s">
        <v>64</v>
      </c>
      <c r="H95" t="s">
        <v>94</v>
      </c>
      <c r="I95" t="s">
        <v>95</v>
      </c>
      <c r="J95" t="s">
        <v>51</v>
      </c>
      <c r="K95" t="s">
        <v>76</v>
      </c>
      <c r="L95" t="s">
        <v>2032</v>
      </c>
      <c r="M95" t="s">
        <v>54</v>
      </c>
      <c r="N95">
        <v>7</v>
      </c>
      <c r="O95">
        <v>3122.85</v>
      </c>
      <c r="P95">
        <v>0.25</v>
      </c>
      <c r="Q95">
        <v>16394.96</v>
      </c>
      <c r="R95">
        <v>10404.17</v>
      </c>
      <c r="S95">
        <v>5990.79</v>
      </c>
      <c r="T95" t="s">
        <v>42</v>
      </c>
      <c r="U95" t="s">
        <v>43</v>
      </c>
      <c r="V95" t="s">
        <v>2812</v>
      </c>
      <c r="W95" t="s">
        <v>2812</v>
      </c>
      <c r="X95">
        <v>1.3271856563895552</v>
      </c>
      <c r="Y95">
        <v>16394.962500000001</v>
      </c>
      <c r="Z95">
        <v>5990.7925000000014</v>
      </c>
      <c r="AA95">
        <v>0.36540446493854445</v>
      </c>
      <c r="AB95">
        <v>5</v>
      </c>
      <c r="AC95" t="s">
        <v>2821</v>
      </c>
      <c r="AD95">
        <v>2024</v>
      </c>
      <c r="AE95" t="s">
        <v>2814</v>
      </c>
    </row>
    <row r="96" spans="1:31">
      <c r="A96" t="s">
        <v>2027</v>
      </c>
      <c r="B96" s="8">
        <v>45962</v>
      </c>
      <c r="C96" s="8">
        <v>45669</v>
      </c>
      <c r="D96" t="s">
        <v>2028</v>
      </c>
      <c r="E96" t="s">
        <v>99</v>
      </c>
      <c r="F96" t="s">
        <v>34</v>
      </c>
      <c r="G96" t="s">
        <v>64</v>
      </c>
      <c r="H96" t="s">
        <v>65</v>
      </c>
      <c r="I96" t="s">
        <v>66</v>
      </c>
      <c r="J96" t="s">
        <v>51</v>
      </c>
      <c r="K96" t="s">
        <v>76</v>
      </c>
      <c r="L96" t="s">
        <v>2029</v>
      </c>
      <c r="M96" t="s">
        <v>41</v>
      </c>
      <c r="N96">
        <v>4</v>
      </c>
      <c r="O96">
        <v>2427.15</v>
      </c>
      <c r="P96">
        <v>0.05</v>
      </c>
      <c r="Q96">
        <v>9223.17</v>
      </c>
      <c r="R96">
        <v>5103.7</v>
      </c>
      <c r="S96">
        <v>4119.47</v>
      </c>
      <c r="T96" t="s">
        <v>42</v>
      </c>
      <c r="U96" t="s">
        <v>43</v>
      </c>
      <c r="V96" t="s">
        <v>2812</v>
      </c>
      <c r="W96" t="s">
        <v>2818</v>
      </c>
      <c r="X96">
        <v>-0.58747117266059101</v>
      </c>
      <c r="Y96">
        <v>9223.17</v>
      </c>
      <c r="Z96">
        <v>4119.47</v>
      </c>
      <c r="AA96">
        <v>0.44664361602355807</v>
      </c>
      <c r="AB96" t="e">
        <v>#NUM!</v>
      </c>
      <c r="AC96" t="s">
        <v>2817</v>
      </c>
      <c r="AD96">
        <v>2025</v>
      </c>
      <c r="AE96" t="s">
        <v>2819</v>
      </c>
    </row>
    <row r="97" spans="1:31">
      <c r="A97" t="s">
        <v>2024</v>
      </c>
      <c r="B97" s="8">
        <v>45765</v>
      </c>
      <c r="C97" s="8">
        <v>45767</v>
      </c>
      <c r="D97" t="s">
        <v>2025</v>
      </c>
      <c r="E97" t="s">
        <v>138</v>
      </c>
      <c r="F97" t="s">
        <v>47</v>
      </c>
      <c r="G97" t="s">
        <v>64</v>
      </c>
      <c r="H97" t="s">
        <v>259</v>
      </c>
      <c r="I97" t="s">
        <v>260</v>
      </c>
      <c r="J97" t="s">
        <v>84</v>
      </c>
      <c r="K97" t="s">
        <v>85</v>
      </c>
      <c r="L97" t="s">
        <v>2026</v>
      </c>
      <c r="M97" t="s">
        <v>41</v>
      </c>
      <c r="N97">
        <v>1</v>
      </c>
      <c r="O97">
        <v>1626.08</v>
      </c>
      <c r="P97">
        <v>0.15</v>
      </c>
      <c r="Q97">
        <v>1382.17</v>
      </c>
      <c r="R97">
        <v>810.03</v>
      </c>
      <c r="S97">
        <v>572.14</v>
      </c>
      <c r="T97" t="s">
        <v>42</v>
      </c>
      <c r="U97" t="s">
        <v>43</v>
      </c>
      <c r="V97" t="s">
        <v>2812</v>
      </c>
      <c r="W97" t="s">
        <v>2812</v>
      </c>
      <c r="X97">
        <v>0.3698572418644821</v>
      </c>
      <c r="Y97">
        <v>1382.1679999999999</v>
      </c>
      <c r="Z97">
        <v>572.13799999999992</v>
      </c>
      <c r="AA97">
        <v>0.4139424440444287</v>
      </c>
      <c r="AB97">
        <v>2</v>
      </c>
      <c r="AC97" t="s">
        <v>2825</v>
      </c>
      <c r="AD97">
        <v>2025</v>
      </c>
      <c r="AE97" t="s">
        <v>2814</v>
      </c>
    </row>
    <row r="98" spans="1:31">
      <c r="A98" t="s">
        <v>2021</v>
      </c>
      <c r="B98" s="8">
        <v>45762</v>
      </c>
      <c r="C98" s="8">
        <v>45763</v>
      </c>
      <c r="D98" t="s">
        <v>2022</v>
      </c>
      <c r="E98" t="s">
        <v>142</v>
      </c>
      <c r="F98" t="s">
        <v>47</v>
      </c>
      <c r="G98" t="s">
        <v>64</v>
      </c>
      <c r="H98" t="s">
        <v>185</v>
      </c>
      <c r="I98" t="s">
        <v>186</v>
      </c>
      <c r="J98" t="s">
        <v>51</v>
      </c>
      <c r="K98" t="s">
        <v>67</v>
      </c>
      <c r="L98" t="s">
        <v>2023</v>
      </c>
      <c r="M98" t="s">
        <v>60</v>
      </c>
      <c r="N98">
        <v>5</v>
      </c>
      <c r="O98">
        <v>2850.53</v>
      </c>
      <c r="P98">
        <v>0</v>
      </c>
      <c r="Q98">
        <v>14252.65</v>
      </c>
      <c r="R98">
        <v>11558.31</v>
      </c>
      <c r="S98">
        <v>2694.34</v>
      </c>
      <c r="T98" t="s">
        <v>42</v>
      </c>
      <c r="U98" t="s">
        <v>43</v>
      </c>
      <c r="V98" t="s">
        <v>2812</v>
      </c>
      <c r="W98" t="s">
        <v>2812</v>
      </c>
      <c r="X98">
        <v>-1.0661353799231277</v>
      </c>
      <c r="Y98">
        <v>14252.650000000001</v>
      </c>
      <c r="Z98">
        <v>2694.340000000002</v>
      </c>
      <c r="AA98">
        <v>0.18904133617257154</v>
      </c>
      <c r="AB98">
        <v>1</v>
      </c>
      <c r="AC98" t="s">
        <v>2825</v>
      </c>
      <c r="AD98">
        <v>2025</v>
      </c>
      <c r="AE98" t="s">
        <v>2814</v>
      </c>
    </row>
    <row r="99" spans="1:31">
      <c r="A99" t="s">
        <v>2006</v>
      </c>
      <c r="B99" s="8">
        <v>45701</v>
      </c>
      <c r="C99" s="8">
        <v>45709</v>
      </c>
      <c r="D99" t="s">
        <v>2007</v>
      </c>
      <c r="E99" t="s">
        <v>33</v>
      </c>
      <c r="F99" t="s">
        <v>47</v>
      </c>
      <c r="G99" t="s">
        <v>64</v>
      </c>
      <c r="H99" t="s">
        <v>195</v>
      </c>
      <c r="I99" t="s">
        <v>196</v>
      </c>
      <c r="J99" t="s">
        <v>84</v>
      </c>
      <c r="K99" t="s">
        <v>181</v>
      </c>
      <c r="L99" t="s">
        <v>2008</v>
      </c>
      <c r="M99" t="s">
        <v>41</v>
      </c>
      <c r="N99">
        <v>2</v>
      </c>
      <c r="O99">
        <v>2360.02</v>
      </c>
      <c r="P99">
        <v>0.15</v>
      </c>
      <c r="Q99">
        <v>4012.03</v>
      </c>
      <c r="R99">
        <v>3142.92</v>
      </c>
      <c r="S99">
        <v>869.11</v>
      </c>
      <c r="T99" t="s">
        <v>121</v>
      </c>
      <c r="U99" t="s">
        <v>78</v>
      </c>
      <c r="V99" t="s">
        <v>2812</v>
      </c>
      <c r="W99" t="s">
        <v>2812</v>
      </c>
      <c r="X99">
        <v>0.3698572418644821</v>
      </c>
      <c r="Y99">
        <v>4012.0339999999997</v>
      </c>
      <c r="Z99">
        <v>869.11399999999958</v>
      </c>
      <c r="AA99">
        <v>0.21662677833737193</v>
      </c>
      <c r="AB99">
        <v>8</v>
      </c>
      <c r="AC99" t="s">
        <v>2815</v>
      </c>
      <c r="AD99">
        <v>2025</v>
      </c>
      <c r="AE99" t="s">
        <v>2824</v>
      </c>
    </row>
    <row r="100" spans="1:31">
      <c r="A100" t="s">
        <v>1982</v>
      </c>
      <c r="B100" s="8">
        <v>45618</v>
      </c>
      <c r="C100" s="8">
        <v>45623</v>
      </c>
      <c r="D100" t="s">
        <v>1983</v>
      </c>
      <c r="E100" t="s">
        <v>124</v>
      </c>
      <c r="F100" t="s">
        <v>100</v>
      </c>
      <c r="G100" t="s">
        <v>64</v>
      </c>
      <c r="H100" t="s">
        <v>259</v>
      </c>
      <c r="I100" t="s">
        <v>260</v>
      </c>
      <c r="J100" t="s">
        <v>38</v>
      </c>
      <c r="K100" t="s">
        <v>163</v>
      </c>
      <c r="L100" t="s">
        <v>1984</v>
      </c>
      <c r="M100" t="s">
        <v>60</v>
      </c>
      <c r="N100">
        <v>1</v>
      </c>
      <c r="O100">
        <v>4251.26</v>
      </c>
      <c r="P100">
        <v>0.2</v>
      </c>
      <c r="Q100">
        <v>3401.01</v>
      </c>
      <c r="R100">
        <v>2917.54</v>
      </c>
      <c r="S100">
        <v>483.47</v>
      </c>
      <c r="T100" t="s">
        <v>112</v>
      </c>
      <c r="U100" t="s">
        <v>113</v>
      </c>
      <c r="V100" t="s">
        <v>2812</v>
      </c>
      <c r="W100" t="s">
        <v>2812</v>
      </c>
      <c r="X100">
        <v>0.84852144912701888</v>
      </c>
      <c r="Y100">
        <v>3401.0080000000003</v>
      </c>
      <c r="Z100">
        <v>483.4680000000003</v>
      </c>
      <c r="AA100">
        <v>0.14215432601158254</v>
      </c>
      <c r="AB100">
        <v>5</v>
      </c>
      <c r="AC100" t="s">
        <v>2817</v>
      </c>
      <c r="AD100">
        <v>2024</v>
      </c>
      <c r="AE100" t="s">
        <v>2814</v>
      </c>
    </row>
    <row r="101" spans="1:31">
      <c r="A101" t="s">
        <v>1976</v>
      </c>
      <c r="B101" s="8">
        <v>45564</v>
      </c>
      <c r="C101" s="8">
        <v>45565</v>
      </c>
      <c r="D101" t="s">
        <v>1977</v>
      </c>
      <c r="E101" t="s">
        <v>46</v>
      </c>
      <c r="F101" t="s">
        <v>105</v>
      </c>
      <c r="G101" t="s">
        <v>64</v>
      </c>
      <c r="H101" t="s">
        <v>65</v>
      </c>
      <c r="I101" t="s">
        <v>66</v>
      </c>
      <c r="J101" t="s">
        <v>84</v>
      </c>
      <c r="K101" t="s">
        <v>181</v>
      </c>
      <c r="L101" t="s">
        <v>1978</v>
      </c>
      <c r="M101" t="s">
        <v>69</v>
      </c>
      <c r="N101">
        <v>9</v>
      </c>
      <c r="O101">
        <v>2741.91</v>
      </c>
      <c r="P101">
        <v>0</v>
      </c>
      <c r="Q101">
        <v>24677.19</v>
      </c>
      <c r="R101">
        <v>20350.849999999999</v>
      </c>
      <c r="S101">
        <v>4326.34</v>
      </c>
      <c r="T101" t="s">
        <v>42</v>
      </c>
      <c r="U101" t="s">
        <v>43</v>
      </c>
      <c r="V101" t="s">
        <v>2812</v>
      </c>
      <c r="W101" t="s">
        <v>2812</v>
      </c>
      <c r="X101">
        <v>-1.0661353799231277</v>
      </c>
      <c r="Y101">
        <v>24677.19</v>
      </c>
      <c r="Z101">
        <v>4326.34</v>
      </c>
      <c r="AA101">
        <v>0.17531736798233513</v>
      </c>
      <c r="AB101">
        <v>1</v>
      </c>
      <c r="AC101" t="s">
        <v>2822</v>
      </c>
      <c r="AD101">
        <v>2024</v>
      </c>
      <c r="AE101" t="s">
        <v>2814</v>
      </c>
    </row>
    <row r="102" spans="1:31">
      <c r="A102" t="s">
        <v>416</v>
      </c>
      <c r="B102" s="8">
        <v>45317</v>
      </c>
      <c r="C102" s="8">
        <v>45293</v>
      </c>
      <c r="D102" t="s">
        <v>417</v>
      </c>
      <c r="E102" t="s">
        <v>151</v>
      </c>
      <c r="F102" t="s">
        <v>105</v>
      </c>
      <c r="G102" t="s">
        <v>64</v>
      </c>
      <c r="H102" t="s">
        <v>195</v>
      </c>
      <c r="I102" t="s">
        <v>196</v>
      </c>
      <c r="J102" t="s">
        <v>84</v>
      </c>
      <c r="K102" t="s">
        <v>90</v>
      </c>
      <c r="L102" t="s">
        <v>418</v>
      </c>
      <c r="M102" t="s">
        <v>215</v>
      </c>
      <c r="N102">
        <v>8</v>
      </c>
      <c r="O102">
        <v>2108.9299999999998</v>
      </c>
      <c r="P102">
        <v>0.1</v>
      </c>
      <c r="Q102">
        <v>15184.3</v>
      </c>
      <c r="R102">
        <v>11270.74</v>
      </c>
      <c r="S102">
        <v>3913.56</v>
      </c>
      <c r="T102" t="s">
        <v>42</v>
      </c>
      <c r="U102" t="s">
        <v>43</v>
      </c>
      <c r="V102" t="s">
        <v>2812</v>
      </c>
      <c r="W102" t="s">
        <v>2818</v>
      </c>
      <c r="X102">
        <v>-0.10880696539805437</v>
      </c>
      <c r="Y102">
        <v>15184.295999999998</v>
      </c>
      <c r="Z102">
        <v>3913.5559999999987</v>
      </c>
      <c r="AA102">
        <v>0.25773707256497103</v>
      </c>
      <c r="AB102" t="e">
        <v>#NUM!</v>
      </c>
      <c r="AC102" t="s">
        <v>2826</v>
      </c>
      <c r="AD102">
        <v>2024</v>
      </c>
      <c r="AE102" t="s">
        <v>2819</v>
      </c>
    </row>
    <row r="103" spans="1:31">
      <c r="A103" t="s">
        <v>1973</v>
      </c>
      <c r="B103" s="8">
        <v>45520</v>
      </c>
      <c r="C103" s="8">
        <v>45523</v>
      </c>
      <c r="D103" t="s">
        <v>1974</v>
      </c>
      <c r="E103" t="s">
        <v>276</v>
      </c>
      <c r="F103" t="s">
        <v>34</v>
      </c>
      <c r="G103" t="s">
        <v>64</v>
      </c>
      <c r="H103" t="s">
        <v>65</v>
      </c>
      <c r="I103" t="s">
        <v>66</v>
      </c>
      <c r="J103" t="s">
        <v>38</v>
      </c>
      <c r="K103" t="s">
        <v>39</v>
      </c>
      <c r="L103" t="s">
        <v>1975</v>
      </c>
      <c r="M103" t="s">
        <v>69</v>
      </c>
      <c r="N103">
        <v>6</v>
      </c>
      <c r="O103">
        <v>3925.55</v>
      </c>
      <c r="P103">
        <v>0.2</v>
      </c>
      <c r="Q103">
        <v>18842.64</v>
      </c>
      <c r="R103">
        <v>11840.58</v>
      </c>
      <c r="S103">
        <v>7002.06</v>
      </c>
      <c r="T103" t="s">
        <v>42</v>
      </c>
      <c r="U103" t="s">
        <v>43</v>
      </c>
      <c r="V103" t="s">
        <v>2812</v>
      </c>
      <c r="W103" t="s">
        <v>2812</v>
      </c>
      <c r="X103">
        <v>0.84852144912701888</v>
      </c>
      <c r="Y103">
        <v>18842.640000000003</v>
      </c>
      <c r="Z103">
        <v>7002.0600000000031</v>
      </c>
      <c r="AA103">
        <v>0.37160716332743193</v>
      </c>
      <c r="AB103">
        <v>3</v>
      </c>
      <c r="AC103" t="s">
        <v>2813</v>
      </c>
      <c r="AD103">
        <v>2024</v>
      </c>
      <c r="AE103" t="s">
        <v>2814</v>
      </c>
    </row>
    <row r="104" spans="1:31">
      <c r="A104" t="s">
        <v>422</v>
      </c>
      <c r="B104" s="8">
        <v>45912</v>
      </c>
      <c r="C104" s="8">
        <v>45918</v>
      </c>
      <c r="D104" t="s">
        <v>423</v>
      </c>
      <c r="E104" t="s">
        <v>138</v>
      </c>
      <c r="F104" t="s">
        <v>105</v>
      </c>
      <c r="G104" t="s">
        <v>64</v>
      </c>
      <c r="H104" t="s">
        <v>195</v>
      </c>
      <c r="I104" t="s">
        <v>196</v>
      </c>
      <c r="J104" t="s">
        <v>38</v>
      </c>
      <c r="K104" t="s">
        <v>134</v>
      </c>
      <c r="L104" t="s">
        <v>424</v>
      </c>
      <c r="M104" t="s">
        <v>69</v>
      </c>
      <c r="N104">
        <v>6</v>
      </c>
      <c r="O104">
        <v>1673.8</v>
      </c>
      <c r="P104">
        <v>0.05</v>
      </c>
      <c r="Q104">
        <v>9540.66</v>
      </c>
      <c r="R104">
        <v>5561.49</v>
      </c>
      <c r="S104">
        <v>3979.17</v>
      </c>
      <c r="T104" t="s">
        <v>42</v>
      </c>
      <c r="U104" t="s">
        <v>43</v>
      </c>
      <c r="V104" t="s">
        <v>2812</v>
      </c>
      <c r="W104" t="s">
        <v>2812</v>
      </c>
      <c r="X104">
        <v>-0.58747117266059101</v>
      </c>
      <c r="Y104">
        <v>9540.659999999998</v>
      </c>
      <c r="Z104">
        <v>3979.1699999999983</v>
      </c>
      <c r="AA104">
        <v>0.41707491934520241</v>
      </c>
      <c r="AB104">
        <v>6</v>
      </c>
      <c r="AC104" t="s">
        <v>2822</v>
      </c>
      <c r="AD104">
        <v>2025</v>
      </c>
      <c r="AE104" t="s">
        <v>2814</v>
      </c>
    </row>
    <row r="105" spans="1:31">
      <c r="A105" t="s">
        <v>1970</v>
      </c>
      <c r="B105" s="8">
        <v>45569</v>
      </c>
      <c r="C105" s="8">
        <v>45483</v>
      </c>
      <c r="D105" t="s">
        <v>1971</v>
      </c>
      <c r="E105" t="s">
        <v>128</v>
      </c>
      <c r="F105" t="s">
        <v>100</v>
      </c>
      <c r="G105" t="s">
        <v>64</v>
      </c>
      <c r="H105" t="s">
        <v>195</v>
      </c>
      <c r="I105" t="s">
        <v>196</v>
      </c>
      <c r="J105" t="s">
        <v>38</v>
      </c>
      <c r="K105" t="s">
        <v>58</v>
      </c>
      <c r="L105" t="s">
        <v>1972</v>
      </c>
      <c r="M105" t="s">
        <v>41</v>
      </c>
      <c r="N105">
        <v>2</v>
      </c>
      <c r="O105">
        <v>3144.38</v>
      </c>
      <c r="P105">
        <v>0.1</v>
      </c>
      <c r="Q105">
        <v>5904.57</v>
      </c>
      <c r="R105">
        <v>4337.79</v>
      </c>
      <c r="S105">
        <v>1322.09</v>
      </c>
      <c r="T105" t="s">
        <v>42</v>
      </c>
      <c r="U105" t="s">
        <v>43</v>
      </c>
      <c r="V105" t="s">
        <v>2812</v>
      </c>
      <c r="W105" t="s">
        <v>2818</v>
      </c>
      <c r="X105">
        <v>-0.10880696539805437</v>
      </c>
      <c r="Y105">
        <v>5659.884</v>
      </c>
      <c r="Z105">
        <v>1322.0940000000001</v>
      </c>
      <c r="AA105">
        <v>0.23359029973052453</v>
      </c>
      <c r="AB105" t="e">
        <v>#NUM!</v>
      </c>
      <c r="AC105" t="s">
        <v>2823</v>
      </c>
      <c r="AD105">
        <v>2024</v>
      </c>
      <c r="AE105" t="s">
        <v>2819</v>
      </c>
    </row>
    <row r="106" spans="1:31">
      <c r="A106" t="s">
        <v>428</v>
      </c>
      <c r="B106" s="8">
        <v>45850</v>
      </c>
      <c r="C106" s="8">
        <v>45854</v>
      </c>
      <c r="D106" t="s">
        <v>429</v>
      </c>
      <c r="E106" t="s">
        <v>81</v>
      </c>
      <c r="F106" t="s">
        <v>34</v>
      </c>
      <c r="G106" t="s">
        <v>64</v>
      </c>
      <c r="H106" t="s">
        <v>185</v>
      </c>
      <c r="I106" t="s">
        <v>186</v>
      </c>
      <c r="J106" t="s">
        <v>51</v>
      </c>
      <c r="K106" t="s">
        <v>76</v>
      </c>
      <c r="L106" t="s">
        <v>430</v>
      </c>
      <c r="M106" t="s">
        <v>60</v>
      </c>
      <c r="N106">
        <v>4</v>
      </c>
      <c r="O106">
        <v>2865.71</v>
      </c>
      <c r="P106">
        <v>0</v>
      </c>
      <c r="Q106">
        <v>11462.84</v>
      </c>
      <c r="R106">
        <v>8979.7800000000007</v>
      </c>
      <c r="S106">
        <v>2483.06</v>
      </c>
      <c r="T106" t="s">
        <v>112</v>
      </c>
      <c r="U106" t="s">
        <v>78</v>
      </c>
      <c r="V106" t="s">
        <v>2812</v>
      </c>
      <c r="W106" t="s">
        <v>2812</v>
      </c>
      <c r="X106">
        <v>-1.0661353799231277</v>
      </c>
      <c r="Y106">
        <v>11462.84</v>
      </c>
      <c r="Z106">
        <v>2483.0599999999995</v>
      </c>
      <c r="AA106">
        <v>0.21661822026653077</v>
      </c>
      <c r="AB106">
        <v>4</v>
      </c>
      <c r="AC106" t="s">
        <v>2829</v>
      </c>
      <c r="AD106">
        <v>2025</v>
      </c>
      <c r="AE106" t="s">
        <v>2824</v>
      </c>
    </row>
    <row r="107" spans="1:31">
      <c r="A107" t="s">
        <v>1967</v>
      </c>
      <c r="B107" s="8">
        <v>45333</v>
      </c>
      <c r="C107" s="8">
        <v>45341</v>
      </c>
      <c r="D107" t="s">
        <v>1968</v>
      </c>
      <c r="E107" t="s">
        <v>72</v>
      </c>
      <c r="F107" t="s">
        <v>105</v>
      </c>
      <c r="G107" t="s">
        <v>64</v>
      </c>
      <c r="H107" t="s">
        <v>65</v>
      </c>
      <c r="I107" t="s">
        <v>66</v>
      </c>
      <c r="J107" t="s">
        <v>51</v>
      </c>
      <c r="K107" t="s">
        <v>76</v>
      </c>
      <c r="L107" t="s">
        <v>1969</v>
      </c>
      <c r="M107" t="s">
        <v>69</v>
      </c>
      <c r="N107">
        <v>8</v>
      </c>
      <c r="O107">
        <v>3398.32</v>
      </c>
      <c r="P107">
        <v>0.25</v>
      </c>
      <c r="Q107">
        <v>20389.919999999998</v>
      </c>
      <c r="R107">
        <v>16661.080000000002</v>
      </c>
      <c r="S107">
        <v>3728.84</v>
      </c>
      <c r="T107" t="s">
        <v>112</v>
      </c>
      <c r="U107" t="s">
        <v>78</v>
      </c>
      <c r="V107" t="s">
        <v>2812</v>
      </c>
      <c r="W107" t="s">
        <v>2812</v>
      </c>
      <c r="X107">
        <v>1.3271856563895552</v>
      </c>
      <c r="Y107">
        <v>20389.920000000002</v>
      </c>
      <c r="Z107">
        <v>3728.84</v>
      </c>
      <c r="AA107">
        <v>0.18287663708342161</v>
      </c>
      <c r="AB107">
        <v>8</v>
      </c>
      <c r="AC107" t="s">
        <v>2815</v>
      </c>
      <c r="AD107">
        <v>2024</v>
      </c>
      <c r="AE107" t="s">
        <v>2824</v>
      </c>
    </row>
    <row r="108" spans="1:31">
      <c r="A108" t="s">
        <v>434</v>
      </c>
      <c r="B108" s="8">
        <v>45689</v>
      </c>
      <c r="C108" s="8">
        <v>45871</v>
      </c>
      <c r="D108" t="s">
        <v>435</v>
      </c>
      <c r="E108" t="s">
        <v>72</v>
      </c>
      <c r="F108" t="s">
        <v>34</v>
      </c>
      <c r="G108" t="s">
        <v>64</v>
      </c>
      <c r="H108" t="s">
        <v>185</v>
      </c>
      <c r="I108" t="s">
        <v>186</v>
      </c>
      <c r="J108" t="s">
        <v>38</v>
      </c>
      <c r="K108" t="s">
        <v>101</v>
      </c>
      <c r="L108" t="s">
        <v>436</v>
      </c>
      <c r="M108" t="s">
        <v>54</v>
      </c>
      <c r="N108">
        <v>5</v>
      </c>
      <c r="O108">
        <v>2112.54</v>
      </c>
      <c r="P108">
        <v>0.25</v>
      </c>
      <c r="Q108">
        <v>8260.4599999999991</v>
      </c>
      <c r="R108">
        <v>5619.95</v>
      </c>
      <c r="S108">
        <v>2302.08</v>
      </c>
      <c r="T108" t="s">
        <v>42</v>
      </c>
      <c r="U108" t="s">
        <v>78</v>
      </c>
      <c r="V108" t="s">
        <v>2812</v>
      </c>
      <c r="W108" t="s">
        <v>2812</v>
      </c>
      <c r="X108">
        <v>1.3271856563895552</v>
      </c>
      <c r="Y108">
        <v>7922.0250000000005</v>
      </c>
      <c r="Z108">
        <v>2302.0750000000007</v>
      </c>
      <c r="AA108">
        <v>0.29059173633004193</v>
      </c>
      <c r="AB108">
        <v>182</v>
      </c>
      <c r="AC108" t="s">
        <v>2815</v>
      </c>
      <c r="AD108">
        <v>2025</v>
      </c>
      <c r="AE108" t="s">
        <v>2824</v>
      </c>
    </row>
    <row r="109" spans="1:31">
      <c r="A109" t="s">
        <v>1953</v>
      </c>
      <c r="B109" s="8">
        <v>45665</v>
      </c>
      <c r="C109" s="8">
        <v>45669</v>
      </c>
      <c r="D109" t="s">
        <v>1954</v>
      </c>
      <c r="E109" t="s">
        <v>142</v>
      </c>
      <c r="F109" t="s">
        <v>105</v>
      </c>
      <c r="G109" t="s">
        <v>64</v>
      </c>
      <c r="H109" t="s">
        <v>185</v>
      </c>
      <c r="I109" t="s">
        <v>186</v>
      </c>
      <c r="J109" t="s">
        <v>51</v>
      </c>
      <c r="K109" t="s">
        <v>76</v>
      </c>
      <c r="L109" t="s">
        <v>1955</v>
      </c>
      <c r="M109" t="s">
        <v>69</v>
      </c>
      <c r="N109">
        <v>7</v>
      </c>
      <c r="O109">
        <v>4337.4799999999996</v>
      </c>
      <c r="P109">
        <v>0</v>
      </c>
      <c r="Q109">
        <v>30362.36</v>
      </c>
      <c r="R109">
        <v>25065.4</v>
      </c>
      <c r="S109">
        <v>5296.96</v>
      </c>
      <c r="T109" t="s">
        <v>42</v>
      </c>
      <c r="U109" t="s">
        <v>43</v>
      </c>
      <c r="V109" t="s">
        <v>2812</v>
      </c>
      <c r="W109" t="s">
        <v>2812</v>
      </c>
      <c r="X109">
        <v>-1.0661353799231277</v>
      </c>
      <c r="Y109">
        <v>30362.359999999997</v>
      </c>
      <c r="Z109">
        <v>5296.9599999999955</v>
      </c>
      <c r="AA109">
        <v>0.17445811195177174</v>
      </c>
      <c r="AB109">
        <v>4</v>
      </c>
      <c r="AC109" t="s">
        <v>2826</v>
      </c>
      <c r="AD109">
        <v>2025</v>
      </c>
      <c r="AE109" t="s">
        <v>2814</v>
      </c>
    </row>
    <row r="110" spans="1:31">
      <c r="A110" t="s">
        <v>1919</v>
      </c>
      <c r="B110" s="8">
        <v>45846</v>
      </c>
      <c r="C110" s="8">
        <v>45876</v>
      </c>
      <c r="D110" t="s">
        <v>1920</v>
      </c>
      <c r="E110" t="s">
        <v>99</v>
      </c>
      <c r="F110" t="s">
        <v>34</v>
      </c>
      <c r="G110" t="s">
        <v>64</v>
      </c>
      <c r="H110" t="s">
        <v>65</v>
      </c>
      <c r="I110" t="s">
        <v>66</v>
      </c>
      <c r="J110" t="s">
        <v>84</v>
      </c>
      <c r="K110" t="s">
        <v>90</v>
      </c>
      <c r="L110" t="s">
        <v>1921</v>
      </c>
      <c r="M110" t="s">
        <v>54</v>
      </c>
      <c r="N110">
        <v>9</v>
      </c>
      <c r="O110">
        <v>274.88</v>
      </c>
      <c r="P110">
        <v>0.25</v>
      </c>
      <c r="Q110">
        <v>1855.44</v>
      </c>
      <c r="R110">
        <v>1262.74</v>
      </c>
      <c r="S110">
        <v>592.70000000000005</v>
      </c>
      <c r="T110" t="s">
        <v>42</v>
      </c>
      <c r="U110" t="s">
        <v>43</v>
      </c>
      <c r="V110" t="s">
        <v>2812</v>
      </c>
      <c r="W110" t="s">
        <v>2812</v>
      </c>
      <c r="X110">
        <v>1.3271856563895552</v>
      </c>
      <c r="Y110">
        <v>1855.44</v>
      </c>
      <c r="Z110">
        <v>592.70000000000005</v>
      </c>
      <c r="AA110">
        <v>0.3194390548872505</v>
      </c>
      <c r="AB110">
        <v>30</v>
      </c>
      <c r="AC110" t="s">
        <v>2829</v>
      </c>
      <c r="AD110">
        <v>2025</v>
      </c>
      <c r="AE110" t="s">
        <v>2814</v>
      </c>
    </row>
    <row r="111" spans="1:31">
      <c r="A111" t="s">
        <v>1916</v>
      </c>
      <c r="B111" s="8">
        <v>45392</v>
      </c>
      <c r="C111" s="8">
        <v>45398</v>
      </c>
      <c r="D111" t="s">
        <v>1917</v>
      </c>
      <c r="E111" t="s">
        <v>99</v>
      </c>
      <c r="F111" t="s">
        <v>34</v>
      </c>
      <c r="G111" t="s">
        <v>64</v>
      </c>
      <c r="H111" t="s">
        <v>195</v>
      </c>
      <c r="I111" t="s">
        <v>196</v>
      </c>
      <c r="J111" t="s">
        <v>51</v>
      </c>
      <c r="K111" t="s">
        <v>76</v>
      </c>
      <c r="L111" t="s">
        <v>1918</v>
      </c>
      <c r="M111" t="s">
        <v>41</v>
      </c>
      <c r="N111">
        <v>9</v>
      </c>
      <c r="O111">
        <v>2723.26</v>
      </c>
      <c r="P111">
        <v>0.25</v>
      </c>
      <c r="Q111">
        <v>18382.009999999998</v>
      </c>
      <c r="R111">
        <v>13108.2</v>
      </c>
      <c r="S111">
        <v>5273.81</v>
      </c>
      <c r="T111" t="s">
        <v>42</v>
      </c>
      <c r="U111" t="s">
        <v>43</v>
      </c>
      <c r="V111" t="s">
        <v>2812</v>
      </c>
      <c r="W111" t="s">
        <v>2812</v>
      </c>
      <c r="X111">
        <v>1.3271856563895552</v>
      </c>
      <c r="Y111">
        <v>18382.005000000005</v>
      </c>
      <c r="Z111">
        <v>5273.8050000000039</v>
      </c>
      <c r="AA111">
        <v>0.28690042245119629</v>
      </c>
      <c r="AB111">
        <v>6</v>
      </c>
      <c r="AC111" t="s">
        <v>2825</v>
      </c>
      <c r="AD111">
        <v>2024</v>
      </c>
      <c r="AE111" t="s">
        <v>2814</v>
      </c>
    </row>
    <row r="112" spans="1:31">
      <c r="A112" t="s">
        <v>1902</v>
      </c>
      <c r="B112" s="8">
        <v>45344</v>
      </c>
      <c r="C112" s="8">
        <v>45346</v>
      </c>
      <c r="D112" t="s">
        <v>1903</v>
      </c>
      <c r="E112" t="s">
        <v>142</v>
      </c>
      <c r="F112" t="s">
        <v>34</v>
      </c>
      <c r="G112" t="s">
        <v>64</v>
      </c>
      <c r="H112" t="s">
        <v>185</v>
      </c>
      <c r="I112" t="s">
        <v>186</v>
      </c>
      <c r="J112" t="s">
        <v>84</v>
      </c>
      <c r="K112" t="s">
        <v>90</v>
      </c>
      <c r="L112" t="s">
        <v>1904</v>
      </c>
      <c r="M112" t="s">
        <v>60</v>
      </c>
      <c r="N112">
        <v>3</v>
      </c>
      <c r="O112">
        <v>3545.08</v>
      </c>
      <c r="P112">
        <v>0</v>
      </c>
      <c r="Q112">
        <v>10635.24</v>
      </c>
      <c r="R112">
        <v>6031.88</v>
      </c>
      <c r="S112">
        <v>4603.3599999999997</v>
      </c>
      <c r="T112" t="s">
        <v>165</v>
      </c>
      <c r="U112" t="s">
        <v>113</v>
      </c>
      <c r="V112" t="s">
        <v>2812</v>
      </c>
      <c r="W112" t="s">
        <v>2812</v>
      </c>
      <c r="X112">
        <v>-1.0661353799231277</v>
      </c>
      <c r="Y112">
        <v>10635.24</v>
      </c>
      <c r="Z112">
        <v>4603.3599999999997</v>
      </c>
      <c r="AA112">
        <v>0.43284025560307055</v>
      </c>
      <c r="AB112">
        <v>2</v>
      </c>
      <c r="AC112" t="s">
        <v>2815</v>
      </c>
      <c r="AD112">
        <v>2024</v>
      </c>
      <c r="AE112" t="s">
        <v>2814</v>
      </c>
    </row>
    <row r="113" spans="1:31">
      <c r="A113" t="s">
        <v>1893</v>
      </c>
      <c r="B113" s="8">
        <v>45727</v>
      </c>
      <c r="C113" s="8">
        <v>45731</v>
      </c>
      <c r="D113" t="s">
        <v>1894</v>
      </c>
      <c r="E113" t="s">
        <v>138</v>
      </c>
      <c r="F113" t="s">
        <v>105</v>
      </c>
      <c r="G113" t="s">
        <v>64</v>
      </c>
      <c r="H113" t="s">
        <v>185</v>
      </c>
      <c r="I113" t="s">
        <v>186</v>
      </c>
      <c r="J113" t="s">
        <v>84</v>
      </c>
      <c r="K113" t="s">
        <v>85</v>
      </c>
      <c r="L113" t="s">
        <v>1895</v>
      </c>
      <c r="M113" t="s">
        <v>41</v>
      </c>
      <c r="N113">
        <v>8</v>
      </c>
      <c r="O113">
        <v>4446.3599999999997</v>
      </c>
      <c r="P113">
        <v>0.1</v>
      </c>
      <c r="Q113">
        <v>32013.79</v>
      </c>
      <c r="R113">
        <v>20896.88</v>
      </c>
      <c r="S113">
        <v>11116.91</v>
      </c>
      <c r="T113" t="s">
        <v>112</v>
      </c>
      <c r="U113" t="s">
        <v>78</v>
      </c>
      <c r="V113" t="s">
        <v>2812</v>
      </c>
      <c r="W113" t="s">
        <v>2812</v>
      </c>
      <c r="X113">
        <v>-0.10880696539805437</v>
      </c>
      <c r="Y113">
        <v>32013.791999999998</v>
      </c>
      <c r="Z113">
        <v>11116.911999999997</v>
      </c>
      <c r="AA113">
        <v>0.34725383359771933</v>
      </c>
      <c r="AB113">
        <v>4</v>
      </c>
      <c r="AC113" t="s">
        <v>2828</v>
      </c>
      <c r="AD113">
        <v>2025</v>
      </c>
      <c r="AE113" t="s">
        <v>2824</v>
      </c>
    </row>
    <row r="114" spans="1:31">
      <c r="A114" t="s">
        <v>452</v>
      </c>
      <c r="B114" s="8">
        <v>45583</v>
      </c>
      <c r="C114" s="8">
        <v>45589</v>
      </c>
      <c r="D114" t="s">
        <v>453</v>
      </c>
      <c r="E114" t="s">
        <v>81</v>
      </c>
      <c r="F114" t="s">
        <v>100</v>
      </c>
      <c r="G114" t="s">
        <v>64</v>
      </c>
      <c r="H114" t="s">
        <v>195</v>
      </c>
      <c r="I114" t="s">
        <v>196</v>
      </c>
      <c r="J114" t="s">
        <v>38</v>
      </c>
      <c r="K114" t="s">
        <v>101</v>
      </c>
      <c r="L114" t="s">
        <v>454</v>
      </c>
      <c r="M114" t="s">
        <v>60</v>
      </c>
      <c r="N114">
        <v>2</v>
      </c>
      <c r="O114">
        <v>2250.4699999999998</v>
      </c>
      <c r="P114">
        <v>0</v>
      </c>
      <c r="Q114">
        <v>4500.9399999999996</v>
      </c>
      <c r="R114">
        <v>2607.73</v>
      </c>
      <c r="S114">
        <v>1893.21</v>
      </c>
      <c r="T114" t="s">
        <v>112</v>
      </c>
      <c r="U114" t="s">
        <v>78</v>
      </c>
      <c r="V114" t="s">
        <v>2812</v>
      </c>
      <c r="W114" t="s">
        <v>2812</v>
      </c>
      <c r="X114">
        <v>-1.0661353799231277</v>
      </c>
      <c r="Y114">
        <v>4500.9399999999996</v>
      </c>
      <c r="Z114">
        <v>1893.2099999999996</v>
      </c>
      <c r="AA114">
        <v>0.42062546934640316</v>
      </c>
      <c r="AB114">
        <v>6</v>
      </c>
      <c r="AC114" t="s">
        <v>2823</v>
      </c>
      <c r="AD114">
        <v>2024</v>
      </c>
      <c r="AE114" t="s">
        <v>2824</v>
      </c>
    </row>
    <row r="115" spans="1:31">
      <c r="A115" t="s">
        <v>1869</v>
      </c>
      <c r="B115" s="8">
        <v>45722</v>
      </c>
      <c r="C115" s="8">
        <v>45729</v>
      </c>
      <c r="D115" t="s">
        <v>1870</v>
      </c>
      <c r="E115" t="s">
        <v>276</v>
      </c>
      <c r="F115" t="s">
        <v>34</v>
      </c>
      <c r="G115" t="s">
        <v>64</v>
      </c>
      <c r="H115" t="s">
        <v>195</v>
      </c>
      <c r="I115" t="s">
        <v>196</v>
      </c>
      <c r="J115" t="s">
        <v>51</v>
      </c>
      <c r="K115" t="s">
        <v>76</v>
      </c>
      <c r="L115" t="s">
        <v>1871</v>
      </c>
      <c r="M115" t="s">
        <v>69</v>
      </c>
      <c r="N115">
        <v>3</v>
      </c>
      <c r="O115">
        <v>163.72</v>
      </c>
      <c r="P115">
        <v>0.15</v>
      </c>
      <c r="Q115">
        <v>417.49</v>
      </c>
      <c r="R115">
        <v>261.67</v>
      </c>
      <c r="S115">
        <v>155.82</v>
      </c>
      <c r="T115" t="s">
        <v>165</v>
      </c>
      <c r="U115" t="s">
        <v>113</v>
      </c>
      <c r="V115" t="s">
        <v>2812</v>
      </c>
      <c r="W115" t="s">
        <v>2812</v>
      </c>
      <c r="X115">
        <v>0.3698572418644821</v>
      </c>
      <c r="Y115">
        <v>417.48599999999999</v>
      </c>
      <c r="Z115">
        <v>155.81599999999997</v>
      </c>
      <c r="AA115">
        <v>0.37322449136018926</v>
      </c>
      <c r="AB115">
        <v>7</v>
      </c>
      <c r="AC115" t="s">
        <v>2828</v>
      </c>
      <c r="AD115">
        <v>2025</v>
      </c>
      <c r="AE115" t="s">
        <v>2814</v>
      </c>
    </row>
    <row r="116" spans="1:31">
      <c r="A116" t="s">
        <v>1866</v>
      </c>
      <c r="B116" s="8">
        <v>45462</v>
      </c>
      <c r="C116" s="8">
        <v>45467</v>
      </c>
      <c r="D116" t="s">
        <v>1867</v>
      </c>
      <c r="E116" t="s">
        <v>138</v>
      </c>
      <c r="F116" t="s">
        <v>47</v>
      </c>
      <c r="G116" t="s">
        <v>64</v>
      </c>
      <c r="H116" t="s">
        <v>259</v>
      </c>
      <c r="I116" t="s">
        <v>260</v>
      </c>
      <c r="J116" t="s">
        <v>38</v>
      </c>
      <c r="K116" t="s">
        <v>134</v>
      </c>
      <c r="L116" t="s">
        <v>1868</v>
      </c>
      <c r="M116" t="s">
        <v>54</v>
      </c>
      <c r="N116">
        <v>1</v>
      </c>
      <c r="O116">
        <v>3202.41</v>
      </c>
      <c r="P116">
        <v>0</v>
      </c>
      <c r="Q116">
        <v>3202.41</v>
      </c>
      <c r="R116">
        <v>2608.44</v>
      </c>
      <c r="S116">
        <v>593.97</v>
      </c>
      <c r="T116" t="s">
        <v>42</v>
      </c>
      <c r="U116" t="s">
        <v>43</v>
      </c>
      <c r="V116" t="s">
        <v>2812</v>
      </c>
      <c r="W116" t="s">
        <v>2812</v>
      </c>
      <c r="X116">
        <v>-1.0661353799231277</v>
      </c>
      <c r="Y116">
        <v>3202.41</v>
      </c>
      <c r="Z116">
        <v>593.9699999999998</v>
      </c>
      <c r="AA116">
        <v>0.18547593843386695</v>
      </c>
      <c r="AB116">
        <v>5</v>
      </c>
      <c r="AC116" t="s">
        <v>2820</v>
      </c>
      <c r="AD116">
        <v>2024</v>
      </c>
      <c r="AE116" t="s">
        <v>2814</v>
      </c>
    </row>
    <row r="117" spans="1:31">
      <c r="A117" t="s">
        <v>461</v>
      </c>
      <c r="B117" s="8">
        <v>45334</v>
      </c>
      <c r="C117" s="8">
        <v>45334</v>
      </c>
      <c r="D117" t="s">
        <v>372</v>
      </c>
      <c r="E117" t="s">
        <v>57</v>
      </c>
      <c r="F117" t="s">
        <v>105</v>
      </c>
      <c r="G117" t="s">
        <v>64</v>
      </c>
      <c r="H117" t="s">
        <v>259</v>
      </c>
      <c r="I117" t="s">
        <v>260</v>
      </c>
      <c r="J117" t="s">
        <v>51</v>
      </c>
      <c r="K117" t="s">
        <v>52</v>
      </c>
      <c r="L117" t="s">
        <v>462</v>
      </c>
      <c r="M117" t="s">
        <v>69</v>
      </c>
      <c r="N117">
        <v>3</v>
      </c>
      <c r="O117">
        <v>1089.1500000000001</v>
      </c>
      <c r="P117">
        <v>0.25</v>
      </c>
      <c r="Q117">
        <v>2450.59</v>
      </c>
      <c r="R117">
        <v>1639.89</v>
      </c>
      <c r="S117">
        <v>810.7</v>
      </c>
      <c r="T117" t="s">
        <v>42</v>
      </c>
      <c r="U117" t="s">
        <v>43</v>
      </c>
      <c r="V117" t="s">
        <v>2812</v>
      </c>
      <c r="W117" t="s">
        <v>2812</v>
      </c>
      <c r="X117">
        <v>1.3271856563895552</v>
      </c>
      <c r="Y117">
        <v>2450.5875000000001</v>
      </c>
      <c r="Z117">
        <v>810.69749999999999</v>
      </c>
      <c r="AA117">
        <v>0.33081761006289306</v>
      </c>
      <c r="AB117">
        <v>0</v>
      </c>
      <c r="AC117" t="s">
        <v>2815</v>
      </c>
      <c r="AD117">
        <v>2024</v>
      </c>
      <c r="AE117" t="s">
        <v>2814</v>
      </c>
    </row>
    <row r="118" spans="1:31">
      <c r="A118" t="s">
        <v>1855</v>
      </c>
      <c r="B118" s="8">
        <v>45727</v>
      </c>
      <c r="C118" s="8">
        <v>45730</v>
      </c>
      <c r="D118" t="s">
        <v>1856</v>
      </c>
      <c r="E118" t="s">
        <v>142</v>
      </c>
      <c r="F118" t="s">
        <v>105</v>
      </c>
      <c r="G118" t="s">
        <v>64</v>
      </c>
      <c r="H118" t="s">
        <v>195</v>
      </c>
      <c r="I118" t="s">
        <v>196</v>
      </c>
      <c r="J118" t="s">
        <v>51</v>
      </c>
      <c r="K118" t="s">
        <v>67</v>
      </c>
      <c r="L118" t="s">
        <v>1857</v>
      </c>
      <c r="M118" t="s">
        <v>54</v>
      </c>
      <c r="N118">
        <v>4</v>
      </c>
      <c r="O118">
        <v>1244.82</v>
      </c>
      <c r="P118">
        <v>0.2</v>
      </c>
      <c r="Q118">
        <v>3983.42</v>
      </c>
      <c r="R118">
        <v>3174.91</v>
      </c>
      <c r="S118">
        <v>808.51</v>
      </c>
      <c r="T118" t="s">
        <v>165</v>
      </c>
      <c r="U118" t="s">
        <v>113</v>
      </c>
      <c r="V118" t="s">
        <v>2812</v>
      </c>
      <c r="W118" t="s">
        <v>2812</v>
      </c>
      <c r="X118">
        <v>0.84852144912701888</v>
      </c>
      <c r="Y118">
        <v>3983.424</v>
      </c>
      <c r="Z118">
        <v>808.51400000000012</v>
      </c>
      <c r="AA118">
        <v>0.2029696060474607</v>
      </c>
      <c r="AB118">
        <v>3</v>
      </c>
      <c r="AC118" t="s">
        <v>2828</v>
      </c>
      <c r="AD118">
        <v>2025</v>
      </c>
      <c r="AE118" t="s">
        <v>2814</v>
      </c>
    </row>
    <row r="119" spans="1:31">
      <c r="A119" t="s">
        <v>466</v>
      </c>
      <c r="B119" s="8">
        <v>45653</v>
      </c>
      <c r="C119" s="8">
        <v>45658</v>
      </c>
      <c r="D119" t="s">
        <v>467</v>
      </c>
      <c r="E119" t="s">
        <v>276</v>
      </c>
      <c r="F119" t="s">
        <v>100</v>
      </c>
      <c r="G119" t="s">
        <v>64</v>
      </c>
      <c r="H119" t="s">
        <v>259</v>
      </c>
      <c r="I119" t="s">
        <v>260</v>
      </c>
      <c r="J119" t="s">
        <v>38</v>
      </c>
      <c r="K119" t="s">
        <v>163</v>
      </c>
      <c r="L119" t="s">
        <v>468</v>
      </c>
      <c r="M119" t="s">
        <v>54</v>
      </c>
      <c r="N119">
        <v>2</v>
      </c>
      <c r="O119">
        <v>446.34</v>
      </c>
      <c r="P119">
        <v>0.15</v>
      </c>
      <c r="Q119">
        <v>758.78</v>
      </c>
      <c r="R119">
        <v>490.74</v>
      </c>
      <c r="S119">
        <v>268.04000000000002</v>
      </c>
      <c r="T119" t="s">
        <v>42</v>
      </c>
      <c r="U119" t="s">
        <v>78</v>
      </c>
      <c r="V119" t="s">
        <v>2812</v>
      </c>
      <c r="W119" t="s">
        <v>2812</v>
      </c>
      <c r="X119">
        <v>0.3698572418644821</v>
      </c>
      <c r="Y119">
        <v>758.77799999999991</v>
      </c>
      <c r="Z119">
        <v>268.0379999999999</v>
      </c>
      <c r="AA119">
        <v>0.35324956706704719</v>
      </c>
      <c r="AB119">
        <v>5</v>
      </c>
      <c r="AC119" t="s">
        <v>2816</v>
      </c>
      <c r="AD119">
        <v>2024</v>
      </c>
      <c r="AE119" t="s">
        <v>2824</v>
      </c>
    </row>
    <row r="120" spans="1:31">
      <c r="A120" t="s">
        <v>1850</v>
      </c>
      <c r="B120" s="8">
        <v>45922</v>
      </c>
      <c r="C120" s="8">
        <v>45926</v>
      </c>
      <c r="D120" t="s">
        <v>1851</v>
      </c>
      <c r="E120" t="s">
        <v>57</v>
      </c>
      <c r="F120" t="s">
        <v>34</v>
      </c>
      <c r="G120" t="s">
        <v>64</v>
      </c>
      <c r="H120" t="s">
        <v>94</v>
      </c>
      <c r="I120" t="s">
        <v>95</v>
      </c>
      <c r="J120" t="s">
        <v>84</v>
      </c>
      <c r="K120" t="s">
        <v>181</v>
      </c>
      <c r="L120" t="s">
        <v>1852</v>
      </c>
      <c r="M120" t="s">
        <v>69</v>
      </c>
      <c r="N120">
        <v>1</v>
      </c>
      <c r="O120">
        <v>573.65</v>
      </c>
      <c r="P120">
        <v>0</v>
      </c>
      <c r="Q120">
        <v>573.65</v>
      </c>
      <c r="R120">
        <v>322.67</v>
      </c>
      <c r="S120">
        <v>250.98</v>
      </c>
      <c r="T120" t="s">
        <v>42</v>
      </c>
      <c r="U120" t="s">
        <v>43</v>
      </c>
      <c r="V120" t="s">
        <v>2812</v>
      </c>
      <c r="W120" t="s">
        <v>2812</v>
      </c>
      <c r="X120">
        <v>-1.0661353799231277</v>
      </c>
      <c r="Y120">
        <v>573.65</v>
      </c>
      <c r="Z120">
        <v>250.97999999999996</v>
      </c>
      <c r="AA120">
        <v>0.43751416368866031</v>
      </c>
      <c r="AB120">
        <v>4</v>
      </c>
      <c r="AC120" t="s">
        <v>2822</v>
      </c>
      <c r="AD120">
        <v>2025</v>
      </c>
      <c r="AE120" t="s">
        <v>2814</v>
      </c>
    </row>
    <row r="121" spans="1:31">
      <c r="A121" t="s">
        <v>472</v>
      </c>
      <c r="B121" s="8">
        <v>45337</v>
      </c>
      <c r="C121" s="8">
        <v>45339</v>
      </c>
      <c r="D121" t="s">
        <v>473</v>
      </c>
      <c r="E121" t="s">
        <v>46</v>
      </c>
      <c r="F121" t="s">
        <v>105</v>
      </c>
      <c r="G121" t="s">
        <v>64</v>
      </c>
      <c r="H121" t="s">
        <v>259</v>
      </c>
      <c r="I121" t="s">
        <v>260</v>
      </c>
      <c r="J121" t="s">
        <v>84</v>
      </c>
      <c r="K121" t="s">
        <v>286</v>
      </c>
      <c r="L121" t="s">
        <v>474</v>
      </c>
      <c r="M121" t="s">
        <v>69</v>
      </c>
      <c r="N121">
        <v>9</v>
      </c>
      <c r="O121">
        <v>3324.55</v>
      </c>
      <c r="P121" t="s">
        <v>475</v>
      </c>
      <c r="Q121">
        <v>25432.81</v>
      </c>
      <c r="R121">
        <v>20370.16</v>
      </c>
      <c r="S121">
        <v>5062.6499999999996</v>
      </c>
      <c r="T121" t="s">
        <v>42</v>
      </c>
      <c r="U121" t="s">
        <v>43</v>
      </c>
      <c r="V121" t="s">
        <v>2827</v>
      </c>
      <c r="W121" t="s">
        <v>2812</v>
      </c>
      <c r="X121">
        <v>5.6351635217523848</v>
      </c>
      <c r="Y121">
        <v>8976.2850000000017</v>
      </c>
      <c r="Z121">
        <v>-11393.874999999998</v>
      </c>
      <c r="AA121">
        <v>-1.2693307977632167</v>
      </c>
      <c r="AB121">
        <v>2</v>
      </c>
      <c r="AC121" t="s">
        <v>2815</v>
      </c>
      <c r="AD121">
        <v>2024</v>
      </c>
      <c r="AE121" t="s">
        <v>2819</v>
      </c>
    </row>
    <row r="122" spans="1:31">
      <c r="A122" t="s">
        <v>476</v>
      </c>
      <c r="B122" s="8">
        <v>45571</v>
      </c>
      <c r="C122" s="8">
        <v>45461</v>
      </c>
      <c r="D122" t="s">
        <v>477</v>
      </c>
      <c r="E122" t="s">
        <v>81</v>
      </c>
      <c r="F122" t="s">
        <v>105</v>
      </c>
      <c r="G122" t="s">
        <v>64</v>
      </c>
      <c r="H122" t="s">
        <v>94</v>
      </c>
      <c r="I122" t="s">
        <v>95</v>
      </c>
      <c r="J122" t="s">
        <v>84</v>
      </c>
      <c r="K122" t="s">
        <v>90</v>
      </c>
      <c r="L122" t="s">
        <v>478</v>
      </c>
      <c r="M122" t="s">
        <v>54</v>
      </c>
      <c r="N122">
        <v>5</v>
      </c>
      <c r="O122">
        <v>1580.27</v>
      </c>
      <c r="P122">
        <v>0.2</v>
      </c>
      <c r="Q122">
        <v>6321.08</v>
      </c>
      <c r="R122">
        <v>4407.22</v>
      </c>
      <c r="S122">
        <v>1913.86</v>
      </c>
      <c r="T122" t="s">
        <v>42</v>
      </c>
      <c r="U122" t="s">
        <v>43</v>
      </c>
      <c r="V122" t="s">
        <v>2812</v>
      </c>
      <c r="W122" t="s">
        <v>2818</v>
      </c>
      <c r="X122">
        <v>0.84852144912701888</v>
      </c>
      <c r="Y122">
        <v>6321.0800000000008</v>
      </c>
      <c r="Z122">
        <v>1913.8600000000006</v>
      </c>
      <c r="AA122">
        <v>0.30277420947053357</v>
      </c>
      <c r="AB122" t="e">
        <v>#NUM!</v>
      </c>
      <c r="AC122" t="s">
        <v>2823</v>
      </c>
      <c r="AD122">
        <v>2024</v>
      </c>
      <c r="AE122" t="s">
        <v>2819</v>
      </c>
    </row>
    <row r="123" spans="1:31">
      <c r="A123" t="s">
        <v>479</v>
      </c>
      <c r="B123" s="8">
        <v>45455</v>
      </c>
      <c r="C123" s="8">
        <v>45462</v>
      </c>
      <c r="D123" t="s">
        <v>480</v>
      </c>
      <c r="E123" t="s">
        <v>99</v>
      </c>
      <c r="F123" t="s">
        <v>47</v>
      </c>
      <c r="G123" t="s">
        <v>64</v>
      </c>
      <c r="H123" t="s">
        <v>195</v>
      </c>
      <c r="I123" t="s">
        <v>196</v>
      </c>
      <c r="J123" t="s">
        <v>51</v>
      </c>
      <c r="K123" t="s">
        <v>76</v>
      </c>
      <c r="L123" t="s">
        <v>481</v>
      </c>
      <c r="M123" t="s">
        <v>69</v>
      </c>
      <c r="N123">
        <v>8</v>
      </c>
      <c r="O123">
        <v>314.05</v>
      </c>
      <c r="P123">
        <v>0.25</v>
      </c>
      <c r="Q123">
        <v>1884.3</v>
      </c>
      <c r="R123">
        <v>1517.69</v>
      </c>
      <c r="S123">
        <v>366.61</v>
      </c>
      <c r="T123" t="s">
        <v>112</v>
      </c>
      <c r="U123" t="s">
        <v>113</v>
      </c>
      <c r="V123" t="s">
        <v>2812</v>
      </c>
      <c r="W123" t="s">
        <v>2812</v>
      </c>
      <c r="X123">
        <v>1.3271856563895552</v>
      </c>
      <c r="Y123">
        <v>1884.3000000000002</v>
      </c>
      <c r="Z123">
        <v>366.61000000000013</v>
      </c>
      <c r="AA123">
        <v>0.19456031417502526</v>
      </c>
      <c r="AB123">
        <v>7</v>
      </c>
      <c r="AC123" t="s">
        <v>2820</v>
      </c>
      <c r="AD123">
        <v>2024</v>
      </c>
      <c r="AE123" t="s">
        <v>2814</v>
      </c>
    </row>
    <row r="124" spans="1:31">
      <c r="A124" t="s">
        <v>1824</v>
      </c>
      <c r="B124" s="8">
        <v>45576</v>
      </c>
      <c r="C124" s="8">
        <v>45610</v>
      </c>
      <c r="D124" t="s">
        <v>1825</v>
      </c>
      <c r="E124" t="s">
        <v>142</v>
      </c>
      <c r="F124" t="s">
        <v>100</v>
      </c>
      <c r="G124" t="s">
        <v>64</v>
      </c>
      <c r="H124" t="s">
        <v>94</v>
      </c>
      <c r="I124" t="s">
        <v>95</v>
      </c>
      <c r="J124" t="s">
        <v>51</v>
      </c>
      <c r="K124" t="s">
        <v>52</v>
      </c>
      <c r="L124" t="s">
        <v>1826</v>
      </c>
      <c r="M124" t="s">
        <v>60</v>
      </c>
      <c r="N124">
        <v>2</v>
      </c>
      <c r="O124">
        <v>921.34</v>
      </c>
      <c r="P124">
        <v>0.2</v>
      </c>
      <c r="Q124">
        <v>1474.14</v>
      </c>
      <c r="R124">
        <v>968.46</v>
      </c>
      <c r="S124">
        <v>505.68</v>
      </c>
      <c r="T124" t="s">
        <v>42</v>
      </c>
      <c r="U124" t="s">
        <v>43</v>
      </c>
      <c r="V124" t="s">
        <v>2812</v>
      </c>
      <c r="W124" t="s">
        <v>2812</v>
      </c>
      <c r="X124">
        <v>0.84852144912701888</v>
      </c>
      <c r="Y124">
        <v>1474.1440000000002</v>
      </c>
      <c r="Z124">
        <v>505.6840000000002</v>
      </c>
      <c r="AA124">
        <v>0.34303568715132315</v>
      </c>
      <c r="AB124">
        <v>34</v>
      </c>
      <c r="AC124" t="s">
        <v>2823</v>
      </c>
      <c r="AD124">
        <v>2024</v>
      </c>
      <c r="AE124" t="s">
        <v>2814</v>
      </c>
    </row>
    <row r="125" spans="1:31">
      <c r="A125" t="s">
        <v>485</v>
      </c>
      <c r="B125" s="8">
        <v>45891</v>
      </c>
      <c r="C125" s="8">
        <v>45895</v>
      </c>
      <c r="D125" t="s">
        <v>486</v>
      </c>
      <c r="E125" t="s">
        <v>276</v>
      </c>
      <c r="F125" t="s">
        <v>47</v>
      </c>
      <c r="G125" t="s">
        <v>64</v>
      </c>
      <c r="H125" t="s">
        <v>94</v>
      </c>
      <c r="I125" t="s">
        <v>95</v>
      </c>
      <c r="J125" t="s">
        <v>84</v>
      </c>
      <c r="K125" t="s">
        <v>286</v>
      </c>
      <c r="L125" t="s">
        <v>487</v>
      </c>
      <c r="M125" t="s">
        <v>41</v>
      </c>
      <c r="N125">
        <v>5</v>
      </c>
      <c r="O125">
        <v>3482.92</v>
      </c>
      <c r="P125">
        <v>0</v>
      </c>
      <c r="Q125">
        <v>17414.599999999999</v>
      </c>
      <c r="R125">
        <v>11760.91</v>
      </c>
      <c r="S125">
        <v>5653.69</v>
      </c>
      <c r="T125" t="s">
        <v>112</v>
      </c>
      <c r="U125" t="s">
        <v>78</v>
      </c>
      <c r="V125" t="s">
        <v>2812</v>
      </c>
      <c r="W125" t="s">
        <v>2812</v>
      </c>
      <c r="X125">
        <v>-1.0661353799231277</v>
      </c>
      <c r="Y125">
        <v>17414.599999999999</v>
      </c>
      <c r="Z125">
        <v>5653.6899999999987</v>
      </c>
      <c r="AA125">
        <v>0.3246523032398102</v>
      </c>
      <c r="AB125">
        <v>4</v>
      </c>
      <c r="AC125" t="s">
        <v>2813</v>
      </c>
      <c r="AD125">
        <v>2025</v>
      </c>
      <c r="AE125" t="s">
        <v>2824</v>
      </c>
    </row>
    <row r="126" spans="1:31">
      <c r="A126" t="s">
        <v>1797</v>
      </c>
      <c r="B126" s="8">
        <v>45692</v>
      </c>
      <c r="C126" s="8">
        <v>45698</v>
      </c>
      <c r="D126" t="s">
        <v>1798</v>
      </c>
      <c r="E126" t="s">
        <v>72</v>
      </c>
      <c r="F126" t="s">
        <v>47</v>
      </c>
      <c r="G126" t="s">
        <v>64</v>
      </c>
      <c r="H126" t="s">
        <v>65</v>
      </c>
      <c r="I126" t="s">
        <v>66</v>
      </c>
      <c r="J126" t="s">
        <v>38</v>
      </c>
      <c r="K126" t="s">
        <v>134</v>
      </c>
      <c r="L126" t="s">
        <v>1799</v>
      </c>
      <c r="M126" t="s">
        <v>69</v>
      </c>
      <c r="N126">
        <v>6</v>
      </c>
      <c r="O126">
        <v>1042.8</v>
      </c>
      <c r="P126">
        <v>0.05</v>
      </c>
      <c r="Q126">
        <v>5943.96</v>
      </c>
      <c r="R126">
        <v>3604.14</v>
      </c>
      <c r="S126">
        <v>2339.8200000000002</v>
      </c>
      <c r="T126" t="s">
        <v>42</v>
      </c>
      <c r="U126" t="s">
        <v>43</v>
      </c>
      <c r="V126" t="s">
        <v>2812</v>
      </c>
      <c r="W126" t="s">
        <v>2812</v>
      </c>
      <c r="X126">
        <v>-0.58747117266059101</v>
      </c>
      <c r="Y126">
        <v>5943.9599999999991</v>
      </c>
      <c r="Z126">
        <v>2339.8199999999993</v>
      </c>
      <c r="AA126">
        <v>0.39364665980255581</v>
      </c>
      <c r="AB126">
        <v>6</v>
      </c>
      <c r="AC126" t="s">
        <v>2815</v>
      </c>
      <c r="AD126">
        <v>2025</v>
      </c>
      <c r="AE126" t="s">
        <v>2814</v>
      </c>
    </row>
    <row r="127" spans="1:31">
      <c r="A127" t="s">
        <v>1779</v>
      </c>
      <c r="B127" s="8">
        <v>45971</v>
      </c>
      <c r="C127" s="8">
        <v>45943</v>
      </c>
      <c r="D127" t="s">
        <v>1780</v>
      </c>
      <c r="E127" t="s">
        <v>46</v>
      </c>
      <c r="F127" t="s">
        <v>100</v>
      </c>
      <c r="G127" t="s">
        <v>64</v>
      </c>
      <c r="H127" t="s">
        <v>65</v>
      </c>
      <c r="I127" t="s">
        <v>66</v>
      </c>
      <c r="J127" t="s">
        <v>38</v>
      </c>
      <c r="K127" t="s">
        <v>58</v>
      </c>
      <c r="L127" t="s">
        <v>1781</v>
      </c>
      <c r="M127" t="s">
        <v>41</v>
      </c>
      <c r="N127">
        <v>3</v>
      </c>
      <c r="O127">
        <v>3804.27</v>
      </c>
      <c r="P127">
        <v>0.1</v>
      </c>
      <c r="Q127">
        <v>10271.530000000001</v>
      </c>
      <c r="R127">
        <v>8272.24</v>
      </c>
      <c r="S127">
        <v>1999.29</v>
      </c>
      <c r="T127" t="s">
        <v>42</v>
      </c>
      <c r="U127" t="s">
        <v>43</v>
      </c>
      <c r="V127" t="s">
        <v>2812</v>
      </c>
      <c r="W127" t="s">
        <v>2818</v>
      </c>
      <c r="X127">
        <v>-0.10880696539805437</v>
      </c>
      <c r="Y127">
        <v>10271.529</v>
      </c>
      <c r="Z127">
        <v>1999.2890000000007</v>
      </c>
      <c r="AA127">
        <v>0.19464375751652949</v>
      </c>
      <c r="AB127" t="e">
        <v>#NUM!</v>
      </c>
      <c r="AC127" t="s">
        <v>2817</v>
      </c>
      <c r="AD127">
        <v>2025</v>
      </c>
      <c r="AE127" t="s">
        <v>2819</v>
      </c>
    </row>
    <row r="128" spans="1:31">
      <c r="A128" t="s">
        <v>495</v>
      </c>
      <c r="B128" s="8">
        <v>45494</v>
      </c>
      <c r="C128" s="8">
        <v>45497</v>
      </c>
      <c r="D128" t="s">
        <v>496</v>
      </c>
      <c r="E128" t="s">
        <v>57</v>
      </c>
      <c r="F128" t="s">
        <v>100</v>
      </c>
      <c r="G128" t="s">
        <v>64</v>
      </c>
      <c r="H128" t="s">
        <v>185</v>
      </c>
      <c r="I128" t="s">
        <v>186</v>
      </c>
      <c r="J128" t="s">
        <v>84</v>
      </c>
      <c r="K128" t="s">
        <v>90</v>
      </c>
      <c r="L128" t="s">
        <v>497</v>
      </c>
      <c r="M128" t="s">
        <v>69</v>
      </c>
      <c r="N128">
        <v>9</v>
      </c>
      <c r="O128">
        <v>465.06</v>
      </c>
      <c r="P128">
        <v>-0.15</v>
      </c>
      <c r="Q128">
        <v>4185.54</v>
      </c>
      <c r="R128">
        <v>3443.74</v>
      </c>
      <c r="S128">
        <v>741.8</v>
      </c>
      <c r="T128" t="s">
        <v>42</v>
      </c>
      <c r="U128" t="s">
        <v>43</v>
      </c>
      <c r="V128" t="s">
        <v>2827</v>
      </c>
      <c r="W128" t="s">
        <v>2812</v>
      </c>
      <c r="X128">
        <v>-2.5021280017107372</v>
      </c>
      <c r="Y128">
        <v>4813.3709999999992</v>
      </c>
      <c r="Z128">
        <v>1369.6309999999994</v>
      </c>
      <c r="AA128">
        <v>0.28454715001191466</v>
      </c>
      <c r="AB128">
        <v>3</v>
      </c>
      <c r="AC128" t="s">
        <v>2829</v>
      </c>
      <c r="AD128">
        <v>2024</v>
      </c>
      <c r="AE128" t="s">
        <v>2819</v>
      </c>
    </row>
    <row r="129" spans="1:31">
      <c r="A129" t="s">
        <v>1763</v>
      </c>
      <c r="B129" s="8">
        <v>45686</v>
      </c>
      <c r="C129" s="8">
        <v>45779</v>
      </c>
      <c r="D129" t="s">
        <v>1764</v>
      </c>
      <c r="E129" t="s">
        <v>72</v>
      </c>
      <c r="F129" t="s">
        <v>34</v>
      </c>
      <c r="G129" t="s">
        <v>64</v>
      </c>
      <c r="H129" t="s">
        <v>195</v>
      </c>
      <c r="I129" t="s">
        <v>196</v>
      </c>
      <c r="J129" t="s">
        <v>38</v>
      </c>
      <c r="K129" t="s">
        <v>58</v>
      </c>
      <c r="L129" t="s">
        <v>1765</v>
      </c>
      <c r="M129" t="s">
        <v>54</v>
      </c>
      <c r="N129">
        <v>8</v>
      </c>
      <c r="O129">
        <v>3643.62</v>
      </c>
      <c r="P129">
        <v>0.25</v>
      </c>
      <c r="Q129">
        <v>21861.72</v>
      </c>
      <c r="R129">
        <v>18464.34</v>
      </c>
      <c r="S129">
        <v>3397.38</v>
      </c>
      <c r="T129" t="s">
        <v>42</v>
      </c>
      <c r="U129" t="s">
        <v>78</v>
      </c>
      <c r="V129" t="s">
        <v>2812</v>
      </c>
      <c r="W129" t="s">
        <v>2812</v>
      </c>
      <c r="X129">
        <v>1.3271856563895552</v>
      </c>
      <c r="Y129">
        <v>21861.72</v>
      </c>
      <c r="Z129">
        <v>3397.380000000001</v>
      </c>
      <c r="AA129">
        <v>0.1554031430280875</v>
      </c>
      <c r="AB129">
        <v>93</v>
      </c>
      <c r="AC129" t="s">
        <v>2826</v>
      </c>
      <c r="AD129">
        <v>2025</v>
      </c>
      <c r="AE129" t="s">
        <v>2824</v>
      </c>
    </row>
    <row r="130" spans="1:31">
      <c r="A130" t="s">
        <v>1756</v>
      </c>
      <c r="B130" s="8">
        <v>45552</v>
      </c>
      <c r="C130" s="8">
        <v>45558</v>
      </c>
      <c r="D130" t="s">
        <v>1757</v>
      </c>
      <c r="E130" t="s">
        <v>128</v>
      </c>
      <c r="F130" t="s">
        <v>105</v>
      </c>
      <c r="G130" t="s">
        <v>64</v>
      </c>
      <c r="H130" t="s">
        <v>195</v>
      </c>
      <c r="I130" t="s">
        <v>196</v>
      </c>
      <c r="J130" t="s">
        <v>51</v>
      </c>
      <c r="K130" t="s">
        <v>168</v>
      </c>
      <c r="L130" t="s">
        <v>1758</v>
      </c>
      <c r="M130" t="s">
        <v>41</v>
      </c>
      <c r="N130">
        <v>3</v>
      </c>
      <c r="O130">
        <v>4067.62</v>
      </c>
      <c r="P130">
        <v>0.2</v>
      </c>
      <c r="Q130">
        <v>9988.5300000000007</v>
      </c>
      <c r="R130">
        <v>8368.24</v>
      </c>
      <c r="S130">
        <v>1394.05</v>
      </c>
      <c r="T130" t="s">
        <v>42</v>
      </c>
      <c r="U130" t="s">
        <v>78</v>
      </c>
      <c r="V130" t="s">
        <v>2812</v>
      </c>
      <c r="W130" t="s">
        <v>2812</v>
      </c>
      <c r="X130">
        <v>0.84852144912701888</v>
      </c>
      <c r="Y130">
        <v>9762.2880000000005</v>
      </c>
      <c r="Z130">
        <v>1394.0480000000007</v>
      </c>
      <c r="AA130">
        <v>0.14279931098119628</v>
      </c>
      <c r="AB130">
        <v>6</v>
      </c>
      <c r="AC130" t="s">
        <v>2822</v>
      </c>
      <c r="AD130">
        <v>2024</v>
      </c>
      <c r="AE130" t="s">
        <v>2824</v>
      </c>
    </row>
    <row r="131" spans="1:31">
      <c r="A131" t="s">
        <v>1746</v>
      </c>
      <c r="B131" s="8">
        <v>45754</v>
      </c>
      <c r="C131" s="8">
        <v>45842</v>
      </c>
      <c r="D131" t="s">
        <v>1747</v>
      </c>
      <c r="E131" t="s">
        <v>46</v>
      </c>
      <c r="F131" t="s">
        <v>47</v>
      </c>
      <c r="G131" t="s">
        <v>64</v>
      </c>
      <c r="H131" t="s">
        <v>259</v>
      </c>
      <c r="I131" t="s">
        <v>260</v>
      </c>
      <c r="J131" t="s">
        <v>51</v>
      </c>
      <c r="K131" t="s">
        <v>76</v>
      </c>
      <c r="L131" t="s">
        <v>1749</v>
      </c>
      <c r="M131" t="s">
        <v>69</v>
      </c>
      <c r="N131">
        <v>3</v>
      </c>
      <c r="O131">
        <v>705.35</v>
      </c>
      <c r="P131">
        <v>0.1</v>
      </c>
      <c r="Q131">
        <v>1904.45</v>
      </c>
      <c r="R131">
        <v>1316.54</v>
      </c>
      <c r="S131">
        <v>587.91</v>
      </c>
      <c r="T131" t="s">
        <v>42</v>
      </c>
      <c r="U131" t="s">
        <v>78</v>
      </c>
      <c r="V131" t="s">
        <v>2812</v>
      </c>
      <c r="W131" t="s">
        <v>2812</v>
      </c>
      <c r="X131">
        <v>-0.10880696539805437</v>
      </c>
      <c r="Y131">
        <v>1904.4450000000002</v>
      </c>
      <c r="Z131">
        <v>587.9050000000002</v>
      </c>
      <c r="AA131">
        <v>0.30870148520960183</v>
      </c>
      <c r="AB131">
        <v>88</v>
      </c>
      <c r="AC131" t="s">
        <v>2825</v>
      </c>
      <c r="AD131">
        <v>2025</v>
      </c>
      <c r="AE131" t="s">
        <v>2824</v>
      </c>
    </row>
    <row r="132" spans="1:31">
      <c r="A132" t="s">
        <v>1719</v>
      </c>
      <c r="B132" s="8">
        <v>45807</v>
      </c>
      <c r="C132" s="8">
        <v>45809</v>
      </c>
      <c r="D132" t="s">
        <v>1720</v>
      </c>
      <c r="E132" t="s">
        <v>128</v>
      </c>
      <c r="F132" t="s">
        <v>105</v>
      </c>
      <c r="G132" t="s">
        <v>64</v>
      </c>
      <c r="H132" t="s">
        <v>259</v>
      </c>
      <c r="I132" t="s">
        <v>260</v>
      </c>
      <c r="J132" t="s">
        <v>38</v>
      </c>
      <c r="K132" t="s">
        <v>163</v>
      </c>
      <c r="L132" t="s">
        <v>1721</v>
      </c>
      <c r="M132" t="s">
        <v>69</v>
      </c>
      <c r="N132">
        <v>9</v>
      </c>
      <c r="O132">
        <v>1994.51</v>
      </c>
      <c r="P132">
        <v>0.05</v>
      </c>
      <c r="Q132">
        <v>17053.060000000001</v>
      </c>
      <c r="R132">
        <v>10742.38</v>
      </c>
      <c r="S132">
        <v>6310.68</v>
      </c>
      <c r="T132" t="s">
        <v>42</v>
      </c>
      <c r="U132" t="s">
        <v>43</v>
      </c>
      <c r="V132" t="s">
        <v>2812</v>
      </c>
      <c r="W132" t="s">
        <v>2812</v>
      </c>
      <c r="X132">
        <v>-0.58747117266059101</v>
      </c>
      <c r="Y132">
        <v>17053.0605</v>
      </c>
      <c r="Z132">
        <v>6310.6805000000004</v>
      </c>
      <c r="AA132">
        <v>0.37006146198801093</v>
      </c>
      <c r="AB132">
        <v>2</v>
      </c>
      <c r="AC132" t="s">
        <v>2821</v>
      </c>
      <c r="AD132">
        <v>2025</v>
      </c>
      <c r="AE132" t="s">
        <v>2814</v>
      </c>
    </row>
    <row r="133" spans="1:31">
      <c r="A133" t="s">
        <v>1714</v>
      </c>
      <c r="B133" s="8">
        <v>45572</v>
      </c>
      <c r="C133" s="8">
        <v>45574</v>
      </c>
      <c r="D133" t="s">
        <v>1715</v>
      </c>
      <c r="E133" t="s">
        <v>172</v>
      </c>
      <c r="F133" t="s">
        <v>34</v>
      </c>
      <c r="G133" t="s">
        <v>64</v>
      </c>
      <c r="H133" t="s">
        <v>259</v>
      </c>
      <c r="I133" t="s">
        <v>260</v>
      </c>
      <c r="J133" t="s">
        <v>38</v>
      </c>
      <c r="K133" t="s">
        <v>163</v>
      </c>
      <c r="L133" t="s">
        <v>1716</v>
      </c>
      <c r="M133" t="s">
        <v>69</v>
      </c>
      <c r="N133">
        <v>9</v>
      </c>
      <c r="O133">
        <v>3457.09</v>
      </c>
      <c r="P133">
        <v>0.05</v>
      </c>
      <c r="Q133">
        <v>29558.12</v>
      </c>
      <c r="R133">
        <v>21302.13</v>
      </c>
      <c r="S133">
        <v>8255.99</v>
      </c>
      <c r="T133" t="s">
        <v>121</v>
      </c>
      <c r="U133" t="s">
        <v>113</v>
      </c>
      <c r="V133" t="s">
        <v>2812</v>
      </c>
      <c r="W133" t="s">
        <v>2812</v>
      </c>
      <c r="X133">
        <v>-0.58747117266059101</v>
      </c>
      <c r="Y133">
        <v>29558.119500000001</v>
      </c>
      <c r="Z133">
        <v>8255.9894999999997</v>
      </c>
      <c r="AA133">
        <v>0.27931376013281223</v>
      </c>
      <c r="AB133">
        <v>2</v>
      </c>
      <c r="AC133" t="s">
        <v>2823</v>
      </c>
      <c r="AD133">
        <v>2024</v>
      </c>
      <c r="AE133" t="s">
        <v>2814</v>
      </c>
    </row>
    <row r="134" spans="1:31">
      <c r="A134" t="s">
        <v>1690</v>
      </c>
      <c r="B134" s="8">
        <v>45489</v>
      </c>
      <c r="C134" s="8">
        <v>45496</v>
      </c>
      <c r="D134" t="s">
        <v>1691</v>
      </c>
      <c r="E134" t="s">
        <v>138</v>
      </c>
      <c r="F134" t="s">
        <v>105</v>
      </c>
      <c r="G134" t="s">
        <v>64</v>
      </c>
      <c r="H134" t="s">
        <v>185</v>
      </c>
      <c r="I134" t="s">
        <v>186</v>
      </c>
      <c r="J134" t="s">
        <v>84</v>
      </c>
      <c r="K134" t="s">
        <v>286</v>
      </c>
      <c r="L134" t="s">
        <v>1692</v>
      </c>
      <c r="M134" t="s">
        <v>54</v>
      </c>
      <c r="N134">
        <v>1</v>
      </c>
      <c r="O134">
        <v>1695.91</v>
      </c>
      <c r="P134">
        <v>0.05</v>
      </c>
      <c r="Q134">
        <v>1611.11</v>
      </c>
      <c r="R134">
        <v>895.15</v>
      </c>
      <c r="S134">
        <v>715.96</v>
      </c>
      <c r="T134" t="s">
        <v>42</v>
      </c>
      <c r="U134" t="s">
        <v>43</v>
      </c>
      <c r="V134" t="s">
        <v>2812</v>
      </c>
      <c r="W134" t="s">
        <v>2812</v>
      </c>
      <c r="X134">
        <v>-0.58747117266059101</v>
      </c>
      <c r="Y134">
        <v>1611.1144999999999</v>
      </c>
      <c r="Z134">
        <v>715.96449999999993</v>
      </c>
      <c r="AA134">
        <v>0.44439082386757739</v>
      </c>
      <c r="AB134">
        <v>7</v>
      </c>
      <c r="AC134" t="s">
        <v>2829</v>
      </c>
      <c r="AD134">
        <v>2024</v>
      </c>
      <c r="AE134" t="s">
        <v>2814</v>
      </c>
    </row>
    <row r="135" spans="1:31">
      <c r="A135" t="s">
        <v>1672</v>
      </c>
      <c r="B135" s="8">
        <v>45614</v>
      </c>
      <c r="C135" s="8">
        <v>45618</v>
      </c>
      <c r="D135" t="s">
        <v>1673</v>
      </c>
      <c r="E135" t="s">
        <v>33</v>
      </c>
      <c r="F135" t="s">
        <v>105</v>
      </c>
      <c r="G135" t="s">
        <v>64</v>
      </c>
      <c r="H135" t="s">
        <v>195</v>
      </c>
      <c r="I135" t="s">
        <v>196</v>
      </c>
      <c r="J135" t="s">
        <v>84</v>
      </c>
      <c r="K135" t="s">
        <v>85</v>
      </c>
      <c r="L135" t="s">
        <v>1674</v>
      </c>
      <c r="M135" t="s">
        <v>69</v>
      </c>
      <c r="N135">
        <v>6</v>
      </c>
      <c r="O135">
        <v>3872.94</v>
      </c>
      <c r="P135">
        <v>0.1</v>
      </c>
      <c r="Q135">
        <v>20913.88</v>
      </c>
      <c r="R135">
        <v>11684.68</v>
      </c>
      <c r="S135">
        <v>9229.2000000000007</v>
      </c>
      <c r="T135" t="s">
        <v>42</v>
      </c>
      <c r="U135" t="s">
        <v>43</v>
      </c>
      <c r="V135" t="s">
        <v>2812</v>
      </c>
      <c r="W135" t="s">
        <v>2812</v>
      </c>
      <c r="X135">
        <v>-0.10880696539805437</v>
      </c>
      <c r="Y135">
        <v>20913.876</v>
      </c>
      <c r="Z135">
        <v>9229.1959999999999</v>
      </c>
      <c r="AA135">
        <v>0.44129533903710627</v>
      </c>
      <c r="AB135">
        <v>4</v>
      </c>
      <c r="AC135" t="s">
        <v>2817</v>
      </c>
      <c r="AD135">
        <v>2024</v>
      </c>
      <c r="AE135" t="s">
        <v>2814</v>
      </c>
    </row>
    <row r="136" spans="1:31">
      <c r="A136" t="s">
        <v>1669</v>
      </c>
      <c r="B136" s="8">
        <v>45835</v>
      </c>
      <c r="C136" s="8">
        <v>45695</v>
      </c>
      <c r="D136" t="s">
        <v>1670</v>
      </c>
      <c r="E136" t="s">
        <v>138</v>
      </c>
      <c r="F136" t="s">
        <v>100</v>
      </c>
      <c r="G136" t="s">
        <v>64</v>
      </c>
      <c r="H136" t="s">
        <v>195</v>
      </c>
      <c r="I136" t="s">
        <v>196</v>
      </c>
      <c r="J136" t="s">
        <v>84</v>
      </c>
      <c r="K136" t="s">
        <v>85</v>
      </c>
      <c r="L136" t="s">
        <v>1671</v>
      </c>
      <c r="M136" t="s">
        <v>60</v>
      </c>
      <c r="N136">
        <v>6</v>
      </c>
      <c r="O136">
        <v>1099.49</v>
      </c>
      <c r="P136">
        <v>0.1</v>
      </c>
      <c r="Q136">
        <v>6212.38</v>
      </c>
      <c r="R136">
        <v>4088.46</v>
      </c>
      <c r="S136">
        <v>1848.79</v>
      </c>
      <c r="T136" t="s">
        <v>42</v>
      </c>
      <c r="U136" t="s">
        <v>43</v>
      </c>
      <c r="V136" t="s">
        <v>2812</v>
      </c>
      <c r="W136" t="s">
        <v>2818</v>
      </c>
      <c r="X136">
        <v>-0.10880696539805437</v>
      </c>
      <c r="Y136">
        <v>5937.246000000001</v>
      </c>
      <c r="Z136">
        <v>1848.786000000001</v>
      </c>
      <c r="AA136">
        <v>0.31138780505304997</v>
      </c>
      <c r="AB136" t="e">
        <v>#NUM!</v>
      </c>
      <c r="AC136" t="s">
        <v>2820</v>
      </c>
      <c r="AD136">
        <v>2025</v>
      </c>
      <c r="AE136" t="s">
        <v>2819</v>
      </c>
    </row>
    <row r="137" spans="1:31">
      <c r="A137" t="s">
        <v>1667</v>
      </c>
      <c r="B137" s="8">
        <v>45691</v>
      </c>
      <c r="C137" s="8">
        <v>45719</v>
      </c>
      <c r="D137" t="s">
        <v>1273</v>
      </c>
      <c r="E137" t="s">
        <v>57</v>
      </c>
      <c r="F137" t="s">
        <v>100</v>
      </c>
      <c r="G137" t="s">
        <v>64</v>
      </c>
      <c r="H137" t="s">
        <v>195</v>
      </c>
      <c r="I137" t="s">
        <v>196</v>
      </c>
      <c r="J137" t="s">
        <v>38</v>
      </c>
      <c r="K137" t="s">
        <v>101</v>
      </c>
      <c r="L137" t="s">
        <v>1668</v>
      </c>
      <c r="M137" t="s">
        <v>41</v>
      </c>
      <c r="N137">
        <v>2</v>
      </c>
      <c r="O137">
        <v>4031.45</v>
      </c>
      <c r="P137">
        <v>0.25</v>
      </c>
      <c r="Q137">
        <v>6047.17</v>
      </c>
      <c r="R137">
        <v>3368.79</v>
      </c>
      <c r="S137">
        <v>2678.38</v>
      </c>
      <c r="T137" t="s">
        <v>42</v>
      </c>
      <c r="U137" t="s">
        <v>43</v>
      </c>
      <c r="V137" t="s">
        <v>2812</v>
      </c>
      <c r="W137" t="s">
        <v>2812</v>
      </c>
      <c r="X137">
        <v>1.3271856563895552</v>
      </c>
      <c r="Y137">
        <v>6047.1749999999993</v>
      </c>
      <c r="Z137">
        <v>2678.3849999999993</v>
      </c>
      <c r="AA137">
        <v>0.44291508018206843</v>
      </c>
      <c r="AB137">
        <v>28</v>
      </c>
      <c r="AC137" t="s">
        <v>2815</v>
      </c>
      <c r="AD137">
        <v>2025</v>
      </c>
      <c r="AE137" t="s">
        <v>2814</v>
      </c>
    </row>
    <row r="138" spans="1:31">
      <c r="A138" t="s">
        <v>1661</v>
      </c>
      <c r="B138" s="8">
        <v>45583</v>
      </c>
      <c r="C138" s="8">
        <v>45586</v>
      </c>
      <c r="D138" t="s">
        <v>1662</v>
      </c>
      <c r="E138" t="s">
        <v>138</v>
      </c>
      <c r="F138" t="s">
        <v>34</v>
      </c>
      <c r="G138" t="s">
        <v>64</v>
      </c>
      <c r="H138" t="s">
        <v>185</v>
      </c>
      <c r="I138" t="s">
        <v>186</v>
      </c>
      <c r="J138" t="s">
        <v>38</v>
      </c>
      <c r="K138" t="s">
        <v>134</v>
      </c>
      <c r="L138" t="s">
        <v>1663</v>
      </c>
      <c r="M138" t="s">
        <v>41</v>
      </c>
      <c r="N138">
        <v>2</v>
      </c>
      <c r="O138">
        <v>4238.51</v>
      </c>
      <c r="P138">
        <v>0</v>
      </c>
      <c r="Q138">
        <v>8477.02</v>
      </c>
      <c r="R138">
        <v>6884.96</v>
      </c>
      <c r="S138">
        <v>1592.06</v>
      </c>
      <c r="T138" t="s">
        <v>42</v>
      </c>
      <c r="U138" t="s">
        <v>43</v>
      </c>
      <c r="V138" t="s">
        <v>2812</v>
      </c>
      <c r="W138" t="s">
        <v>2812</v>
      </c>
      <c r="X138">
        <v>-1.0661353799231277</v>
      </c>
      <c r="Y138">
        <v>8477.02</v>
      </c>
      <c r="Z138">
        <v>1592.0600000000004</v>
      </c>
      <c r="AA138">
        <v>0.18780892341884298</v>
      </c>
      <c r="AB138">
        <v>3</v>
      </c>
      <c r="AC138" t="s">
        <v>2823</v>
      </c>
      <c r="AD138">
        <v>2024</v>
      </c>
      <c r="AE138" t="s">
        <v>2814</v>
      </c>
    </row>
    <row r="139" spans="1:31">
      <c r="A139" t="s">
        <v>528</v>
      </c>
      <c r="B139" s="8">
        <v>45893</v>
      </c>
      <c r="C139" s="8">
        <v>45893</v>
      </c>
      <c r="D139" t="s">
        <v>529</v>
      </c>
      <c r="E139" t="s">
        <v>172</v>
      </c>
      <c r="F139" t="s">
        <v>47</v>
      </c>
      <c r="G139" t="s">
        <v>64</v>
      </c>
      <c r="H139" t="s">
        <v>195</v>
      </c>
      <c r="I139" t="s">
        <v>196</v>
      </c>
      <c r="J139" t="s">
        <v>51</v>
      </c>
      <c r="K139" t="s">
        <v>168</v>
      </c>
      <c r="L139" t="s">
        <v>530</v>
      </c>
      <c r="M139" t="s">
        <v>69</v>
      </c>
      <c r="N139">
        <v>1</v>
      </c>
      <c r="O139">
        <v>3424.78</v>
      </c>
      <c r="P139">
        <v>0</v>
      </c>
      <c r="Q139">
        <v>3424.78</v>
      </c>
      <c r="R139">
        <v>1951.45</v>
      </c>
      <c r="S139">
        <v>1473.33</v>
      </c>
      <c r="T139" t="s">
        <v>42</v>
      </c>
      <c r="U139" t="s">
        <v>43</v>
      </c>
      <c r="V139" t="s">
        <v>2812</v>
      </c>
      <c r="W139" t="s">
        <v>2812</v>
      </c>
      <c r="X139">
        <v>-1.0661353799231277</v>
      </c>
      <c r="Y139">
        <v>3424.78</v>
      </c>
      <c r="Z139">
        <v>1473.3300000000002</v>
      </c>
      <c r="AA139">
        <v>0.43019697615613267</v>
      </c>
      <c r="AB139">
        <v>0</v>
      </c>
      <c r="AC139" t="s">
        <v>2813</v>
      </c>
      <c r="AD139">
        <v>2025</v>
      </c>
      <c r="AE139" t="s">
        <v>2814</v>
      </c>
    </row>
    <row r="140" spans="1:31">
      <c r="A140" t="s">
        <v>1640</v>
      </c>
      <c r="B140" s="8">
        <v>45563</v>
      </c>
      <c r="C140" s="8">
        <v>45570</v>
      </c>
      <c r="D140" t="s">
        <v>1641</v>
      </c>
      <c r="E140" t="s">
        <v>138</v>
      </c>
      <c r="F140" t="s">
        <v>34</v>
      </c>
      <c r="G140" t="s">
        <v>64</v>
      </c>
      <c r="H140" t="s">
        <v>259</v>
      </c>
      <c r="I140" t="s">
        <v>260</v>
      </c>
      <c r="J140" t="s">
        <v>84</v>
      </c>
      <c r="K140" t="s">
        <v>181</v>
      </c>
      <c r="L140" t="s">
        <v>1642</v>
      </c>
      <c r="M140" t="s">
        <v>69</v>
      </c>
      <c r="N140">
        <v>7</v>
      </c>
      <c r="O140">
        <v>1681.6</v>
      </c>
      <c r="P140">
        <v>0.1</v>
      </c>
      <c r="Q140">
        <v>10594.08</v>
      </c>
      <c r="R140">
        <v>7160.31</v>
      </c>
      <c r="S140">
        <v>3433.77</v>
      </c>
      <c r="T140" t="s">
        <v>42</v>
      </c>
      <c r="U140" t="s">
        <v>43</v>
      </c>
      <c r="V140" t="s">
        <v>2812</v>
      </c>
      <c r="W140" t="s">
        <v>2812</v>
      </c>
      <c r="X140">
        <v>-0.10880696539805437</v>
      </c>
      <c r="Y140">
        <v>10594.08</v>
      </c>
      <c r="Z140">
        <v>3433.7699999999995</v>
      </c>
      <c r="AA140">
        <v>0.32412158488514337</v>
      </c>
      <c r="AB140">
        <v>7</v>
      </c>
      <c r="AC140" t="s">
        <v>2822</v>
      </c>
      <c r="AD140">
        <v>2024</v>
      </c>
      <c r="AE140" t="s">
        <v>2814</v>
      </c>
    </row>
    <row r="141" spans="1:31">
      <c r="A141" t="s">
        <v>1632</v>
      </c>
      <c r="B141" s="8">
        <v>45429</v>
      </c>
      <c r="C141" s="8">
        <v>45434</v>
      </c>
      <c r="D141" t="s">
        <v>1633</v>
      </c>
      <c r="E141" t="s">
        <v>142</v>
      </c>
      <c r="F141" t="s">
        <v>34</v>
      </c>
      <c r="G141" t="s">
        <v>64</v>
      </c>
      <c r="H141" t="s">
        <v>195</v>
      </c>
      <c r="I141" t="s">
        <v>196</v>
      </c>
      <c r="J141" t="s">
        <v>84</v>
      </c>
      <c r="K141" t="s">
        <v>181</v>
      </c>
      <c r="L141" t="s">
        <v>1634</v>
      </c>
      <c r="M141" t="s">
        <v>54</v>
      </c>
      <c r="N141">
        <v>9</v>
      </c>
      <c r="O141">
        <v>3795.99</v>
      </c>
      <c r="P141" t="s">
        <v>787</v>
      </c>
      <c r="Q141">
        <v>34163.910000000003</v>
      </c>
      <c r="R141">
        <v>28577.15</v>
      </c>
      <c r="S141">
        <v>5586.76</v>
      </c>
      <c r="T141" t="s">
        <v>42</v>
      </c>
      <c r="U141" t="s">
        <v>43</v>
      </c>
      <c r="V141" t="s">
        <v>2827</v>
      </c>
      <c r="W141" t="s">
        <v>2812</v>
      </c>
      <c r="X141">
        <v>7.0711561435399943</v>
      </c>
      <c r="Y141">
        <v>5124.5865000000003</v>
      </c>
      <c r="Z141">
        <v>-23452.5635</v>
      </c>
      <c r="AA141">
        <v>-4.5764791949555343</v>
      </c>
      <c r="AB141">
        <v>5</v>
      </c>
      <c r="AC141" t="s">
        <v>2821</v>
      </c>
      <c r="AD141">
        <v>2024</v>
      </c>
      <c r="AE141" t="s">
        <v>2819</v>
      </c>
    </row>
    <row r="142" spans="1:31">
      <c r="A142" t="s">
        <v>1606</v>
      </c>
      <c r="B142" s="8">
        <v>45836</v>
      </c>
      <c r="C142" s="8">
        <v>45695</v>
      </c>
      <c r="D142" t="s">
        <v>1607</v>
      </c>
      <c r="E142" t="s">
        <v>72</v>
      </c>
      <c r="F142" t="s">
        <v>100</v>
      </c>
      <c r="G142" t="s">
        <v>64</v>
      </c>
      <c r="H142" t="s">
        <v>94</v>
      </c>
      <c r="I142" t="s">
        <v>95</v>
      </c>
      <c r="J142" t="s">
        <v>38</v>
      </c>
      <c r="K142" t="s">
        <v>134</v>
      </c>
      <c r="L142" t="s">
        <v>1608</v>
      </c>
      <c r="M142" t="s">
        <v>41</v>
      </c>
      <c r="N142">
        <v>2</v>
      </c>
      <c r="O142">
        <v>2725.44</v>
      </c>
      <c r="P142">
        <v>0.25</v>
      </c>
      <c r="Q142">
        <v>4088.16</v>
      </c>
      <c r="R142">
        <v>3205.68</v>
      </c>
      <c r="S142">
        <v>882.48</v>
      </c>
      <c r="T142" t="s">
        <v>42</v>
      </c>
      <c r="U142" t="s">
        <v>43</v>
      </c>
      <c r="V142" t="s">
        <v>2812</v>
      </c>
      <c r="W142" t="s">
        <v>2818</v>
      </c>
      <c r="X142">
        <v>1.3271856563895552</v>
      </c>
      <c r="Y142">
        <v>4088.16</v>
      </c>
      <c r="Z142">
        <v>882.48</v>
      </c>
      <c r="AA142">
        <v>0.21586239286133616</v>
      </c>
      <c r="AB142" t="e">
        <v>#NUM!</v>
      </c>
      <c r="AC142" t="s">
        <v>2820</v>
      </c>
      <c r="AD142">
        <v>2025</v>
      </c>
      <c r="AE142" t="s">
        <v>2819</v>
      </c>
    </row>
    <row r="143" spans="1:31">
      <c r="A143" t="s">
        <v>540</v>
      </c>
      <c r="B143" s="8">
        <v>45691</v>
      </c>
      <c r="C143" s="8">
        <v>45723</v>
      </c>
      <c r="D143" t="s">
        <v>541</v>
      </c>
      <c r="E143" t="s">
        <v>89</v>
      </c>
      <c r="F143" t="s">
        <v>105</v>
      </c>
      <c r="G143" t="s">
        <v>64</v>
      </c>
      <c r="H143" t="s">
        <v>185</v>
      </c>
      <c r="I143" t="s">
        <v>186</v>
      </c>
      <c r="J143" t="s">
        <v>38</v>
      </c>
      <c r="K143" t="s">
        <v>101</v>
      </c>
      <c r="L143" t="s">
        <v>542</v>
      </c>
      <c r="M143" t="s">
        <v>69</v>
      </c>
      <c r="N143">
        <v>8</v>
      </c>
      <c r="O143">
        <v>1287.6300000000001</v>
      </c>
      <c r="P143">
        <v>0</v>
      </c>
      <c r="Q143">
        <v>10301.040000000001</v>
      </c>
      <c r="R143">
        <v>6564.06</v>
      </c>
      <c r="S143">
        <v>3736.98</v>
      </c>
      <c r="T143" t="s">
        <v>42</v>
      </c>
      <c r="U143" t="s">
        <v>43</v>
      </c>
      <c r="V143" t="s">
        <v>2812</v>
      </c>
      <c r="W143" t="s">
        <v>2812</v>
      </c>
      <c r="X143">
        <v>-1.0661353799231277</v>
      </c>
      <c r="Y143">
        <v>10301.040000000001</v>
      </c>
      <c r="Z143">
        <v>3736.9800000000005</v>
      </c>
      <c r="AA143">
        <v>0.3627769623261341</v>
      </c>
      <c r="AB143">
        <v>32</v>
      </c>
      <c r="AC143" t="s">
        <v>2815</v>
      </c>
      <c r="AD143">
        <v>2025</v>
      </c>
      <c r="AE143" t="s">
        <v>2814</v>
      </c>
    </row>
    <row r="144" spans="1:31">
      <c r="A144" t="s">
        <v>543</v>
      </c>
      <c r="B144" s="8">
        <v>45443</v>
      </c>
      <c r="C144" s="8">
        <v>45444</v>
      </c>
      <c r="D144" t="s">
        <v>544</v>
      </c>
      <c r="E144" t="s">
        <v>46</v>
      </c>
      <c r="F144" t="s">
        <v>100</v>
      </c>
      <c r="G144" t="s">
        <v>64</v>
      </c>
      <c r="H144" t="s">
        <v>185</v>
      </c>
      <c r="I144" t="s">
        <v>186</v>
      </c>
      <c r="J144" t="s">
        <v>51</v>
      </c>
      <c r="K144" t="s">
        <v>168</v>
      </c>
      <c r="L144" t="s">
        <v>545</v>
      </c>
      <c r="M144" t="s">
        <v>54</v>
      </c>
      <c r="N144">
        <v>3</v>
      </c>
      <c r="O144">
        <v>2914.55</v>
      </c>
      <c r="P144">
        <v>0</v>
      </c>
      <c r="Q144">
        <v>8743.65</v>
      </c>
      <c r="R144">
        <v>6603.76</v>
      </c>
      <c r="S144">
        <v>2139.89</v>
      </c>
      <c r="T144" t="s">
        <v>42</v>
      </c>
      <c r="U144" t="s">
        <v>43</v>
      </c>
      <c r="V144" t="s">
        <v>2812</v>
      </c>
      <c r="W144" t="s">
        <v>2812</v>
      </c>
      <c r="X144">
        <v>-1.0661353799231277</v>
      </c>
      <c r="Y144">
        <v>8743.6500000000015</v>
      </c>
      <c r="Z144">
        <v>2139.8900000000012</v>
      </c>
      <c r="AA144">
        <v>0.24473646589239059</v>
      </c>
      <c r="AB144">
        <v>1</v>
      </c>
      <c r="AC144" t="s">
        <v>2821</v>
      </c>
      <c r="AD144">
        <v>2024</v>
      </c>
      <c r="AE144" t="s">
        <v>2814</v>
      </c>
    </row>
    <row r="145" spans="1:31">
      <c r="A145" t="s">
        <v>1603</v>
      </c>
      <c r="B145" s="8">
        <v>45776</v>
      </c>
      <c r="C145" s="8">
        <v>45777</v>
      </c>
      <c r="D145" t="s">
        <v>1604</v>
      </c>
      <c r="E145" t="s">
        <v>46</v>
      </c>
      <c r="F145" t="s">
        <v>100</v>
      </c>
      <c r="G145" t="s">
        <v>64</v>
      </c>
      <c r="H145" t="s">
        <v>195</v>
      </c>
      <c r="I145" t="s">
        <v>196</v>
      </c>
      <c r="J145" t="s">
        <v>84</v>
      </c>
      <c r="K145" t="s">
        <v>85</v>
      </c>
      <c r="L145" t="s">
        <v>1605</v>
      </c>
      <c r="M145" t="s">
        <v>69</v>
      </c>
      <c r="N145">
        <v>4</v>
      </c>
      <c r="O145">
        <v>606.58000000000004</v>
      </c>
      <c r="P145">
        <v>0.2</v>
      </c>
      <c r="Q145">
        <v>1941.06</v>
      </c>
      <c r="R145">
        <v>1207.42</v>
      </c>
      <c r="S145">
        <v>733.64</v>
      </c>
      <c r="T145" t="s">
        <v>42</v>
      </c>
      <c r="U145" t="s">
        <v>43</v>
      </c>
      <c r="V145" t="s">
        <v>2812</v>
      </c>
      <c r="W145" t="s">
        <v>2812</v>
      </c>
      <c r="X145">
        <v>0.84852144912701888</v>
      </c>
      <c r="Y145">
        <v>1941.0560000000003</v>
      </c>
      <c r="Z145">
        <v>733.63600000000019</v>
      </c>
      <c r="AA145">
        <v>0.37795715321969076</v>
      </c>
      <c r="AB145">
        <v>1</v>
      </c>
      <c r="AC145" t="s">
        <v>2825</v>
      </c>
      <c r="AD145">
        <v>2025</v>
      </c>
      <c r="AE145" t="s">
        <v>2814</v>
      </c>
    </row>
    <row r="146" spans="1:31">
      <c r="A146" t="s">
        <v>1591</v>
      </c>
      <c r="B146" s="8">
        <v>45818</v>
      </c>
      <c r="C146" s="8">
        <v>45825</v>
      </c>
      <c r="D146" t="s">
        <v>1592</v>
      </c>
      <c r="E146" t="s">
        <v>128</v>
      </c>
      <c r="F146" t="s">
        <v>100</v>
      </c>
      <c r="G146" t="s">
        <v>64</v>
      </c>
      <c r="H146" t="s">
        <v>65</v>
      </c>
      <c r="I146" t="s">
        <v>66</v>
      </c>
      <c r="J146" t="s">
        <v>51</v>
      </c>
      <c r="K146" t="s">
        <v>67</v>
      </c>
      <c r="L146" t="s">
        <v>1593</v>
      </c>
      <c r="M146" t="s">
        <v>69</v>
      </c>
      <c r="N146">
        <v>5</v>
      </c>
      <c r="O146">
        <v>1231.0999999999999</v>
      </c>
      <c r="P146">
        <v>0</v>
      </c>
      <c r="Q146">
        <v>6155.5</v>
      </c>
      <c r="R146">
        <v>4282.09</v>
      </c>
      <c r="S146">
        <v>1873.41</v>
      </c>
      <c r="T146" t="s">
        <v>112</v>
      </c>
      <c r="U146" t="s">
        <v>113</v>
      </c>
      <c r="V146" t="s">
        <v>2812</v>
      </c>
      <c r="W146" t="s">
        <v>2812</v>
      </c>
      <c r="X146">
        <v>-1.0661353799231277</v>
      </c>
      <c r="Y146">
        <v>6155.5</v>
      </c>
      <c r="Z146">
        <v>1873.4099999999999</v>
      </c>
      <c r="AA146">
        <v>0.3043473316546178</v>
      </c>
      <c r="AB146">
        <v>7</v>
      </c>
      <c r="AC146" t="s">
        <v>2820</v>
      </c>
      <c r="AD146">
        <v>2025</v>
      </c>
      <c r="AE146" t="s">
        <v>2814</v>
      </c>
    </row>
    <row r="147" spans="1:31">
      <c r="A147" t="s">
        <v>1582</v>
      </c>
      <c r="B147" s="8">
        <v>45654</v>
      </c>
      <c r="C147" s="8">
        <v>45657</v>
      </c>
      <c r="D147" t="s">
        <v>1583</v>
      </c>
      <c r="E147" t="s">
        <v>46</v>
      </c>
      <c r="F147" t="s">
        <v>47</v>
      </c>
      <c r="G147" t="s">
        <v>64</v>
      </c>
      <c r="H147" t="s">
        <v>94</v>
      </c>
      <c r="I147" t="s">
        <v>95</v>
      </c>
      <c r="J147" t="s">
        <v>51</v>
      </c>
      <c r="K147" t="s">
        <v>67</v>
      </c>
      <c r="L147" t="s">
        <v>1584</v>
      </c>
      <c r="M147" t="s">
        <v>60</v>
      </c>
      <c r="N147">
        <v>6</v>
      </c>
      <c r="O147">
        <v>3641.22</v>
      </c>
      <c r="P147">
        <v>0.25</v>
      </c>
      <c r="Q147">
        <v>16385.490000000002</v>
      </c>
      <c r="R147">
        <v>13679.24</v>
      </c>
      <c r="S147">
        <v>2706.25</v>
      </c>
      <c r="T147" t="s">
        <v>42</v>
      </c>
      <c r="U147" t="s">
        <v>43</v>
      </c>
      <c r="V147" t="s">
        <v>2812</v>
      </c>
      <c r="W147" t="s">
        <v>2812</v>
      </c>
      <c r="X147">
        <v>1.3271856563895552</v>
      </c>
      <c r="Y147">
        <v>16385.489999999998</v>
      </c>
      <c r="Z147">
        <v>2706.2499999999982</v>
      </c>
      <c r="AA147">
        <v>0.16516137143289572</v>
      </c>
      <c r="AB147">
        <v>3</v>
      </c>
      <c r="AC147" t="s">
        <v>2816</v>
      </c>
      <c r="AD147">
        <v>2024</v>
      </c>
      <c r="AE147" t="s">
        <v>2814</v>
      </c>
    </row>
    <row r="148" spans="1:31">
      <c r="A148" t="s">
        <v>555</v>
      </c>
      <c r="B148" s="8">
        <v>45450</v>
      </c>
      <c r="C148" s="8">
        <v>45458</v>
      </c>
      <c r="D148" t="s">
        <v>556</v>
      </c>
      <c r="E148" t="s">
        <v>276</v>
      </c>
      <c r="F148" t="s">
        <v>47</v>
      </c>
      <c r="G148" t="s">
        <v>64</v>
      </c>
      <c r="H148" t="s">
        <v>65</v>
      </c>
      <c r="I148" t="s">
        <v>66</v>
      </c>
      <c r="J148" t="s">
        <v>84</v>
      </c>
      <c r="K148" t="s">
        <v>85</v>
      </c>
      <c r="L148" t="s">
        <v>557</v>
      </c>
      <c r="M148" t="s">
        <v>60</v>
      </c>
      <c r="N148">
        <v>7</v>
      </c>
      <c r="O148">
        <v>2147.9899999999998</v>
      </c>
      <c r="P148">
        <v>0.25</v>
      </c>
      <c r="Q148">
        <v>11276.95</v>
      </c>
      <c r="R148">
        <v>6908.76</v>
      </c>
      <c r="S148">
        <v>4368.1899999999996</v>
      </c>
      <c r="T148" t="s">
        <v>112</v>
      </c>
      <c r="U148" t="s">
        <v>113</v>
      </c>
      <c r="V148" t="s">
        <v>2812</v>
      </c>
      <c r="W148" t="s">
        <v>2812</v>
      </c>
      <c r="X148">
        <v>1.3271856563895552</v>
      </c>
      <c r="Y148">
        <v>11276.947499999998</v>
      </c>
      <c r="Z148">
        <v>4368.1874999999982</v>
      </c>
      <c r="AA148">
        <v>0.38735548782150481</v>
      </c>
      <c r="AB148">
        <v>8</v>
      </c>
      <c r="AC148" t="s">
        <v>2820</v>
      </c>
      <c r="AD148">
        <v>2024</v>
      </c>
      <c r="AE148" t="s">
        <v>2814</v>
      </c>
    </row>
    <row r="149" spans="1:31">
      <c r="A149" t="s">
        <v>1576</v>
      </c>
      <c r="B149" s="8">
        <v>45495</v>
      </c>
      <c r="C149" s="8">
        <v>45495</v>
      </c>
      <c r="D149" t="s">
        <v>1577</v>
      </c>
      <c r="E149" t="s">
        <v>124</v>
      </c>
      <c r="F149" t="s">
        <v>34</v>
      </c>
      <c r="G149" t="s">
        <v>64</v>
      </c>
      <c r="H149" t="s">
        <v>185</v>
      </c>
      <c r="I149" t="s">
        <v>186</v>
      </c>
      <c r="J149" t="s">
        <v>84</v>
      </c>
      <c r="K149" t="s">
        <v>85</v>
      </c>
      <c r="L149" t="s">
        <v>1578</v>
      </c>
      <c r="M149" t="s">
        <v>41</v>
      </c>
      <c r="N149">
        <v>3</v>
      </c>
      <c r="O149">
        <v>1286.22</v>
      </c>
      <c r="P149">
        <v>0.25</v>
      </c>
      <c r="Q149">
        <v>2893.99</v>
      </c>
      <c r="R149">
        <v>1856.03</v>
      </c>
      <c r="S149">
        <v>1037.96</v>
      </c>
      <c r="T149" t="s">
        <v>42</v>
      </c>
      <c r="U149" t="s">
        <v>43</v>
      </c>
      <c r="V149" t="s">
        <v>2812</v>
      </c>
      <c r="W149" t="s">
        <v>2812</v>
      </c>
      <c r="X149">
        <v>1.3271856563895552</v>
      </c>
      <c r="Y149">
        <v>2893.9949999999999</v>
      </c>
      <c r="Z149">
        <v>1037.9649999999999</v>
      </c>
      <c r="AA149">
        <v>0.35866164247001114</v>
      </c>
      <c r="AB149">
        <v>0</v>
      </c>
      <c r="AC149" t="s">
        <v>2829</v>
      </c>
      <c r="AD149">
        <v>2024</v>
      </c>
      <c r="AE149" t="s">
        <v>2814</v>
      </c>
    </row>
    <row r="150" spans="1:31">
      <c r="A150" t="s">
        <v>561</v>
      </c>
      <c r="B150" s="8">
        <v>45868</v>
      </c>
      <c r="C150" s="8">
        <v>45665</v>
      </c>
      <c r="D150" t="s">
        <v>562</v>
      </c>
      <c r="E150" t="s">
        <v>142</v>
      </c>
      <c r="F150" t="s">
        <v>47</v>
      </c>
      <c r="G150" t="s">
        <v>64</v>
      </c>
      <c r="H150" t="s">
        <v>259</v>
      </c>
      <c r="I150" t="s">
        <v>260</v>
      </c>
      <c r="J150" t="s">
        <v>38</v>
      </c>
      <c r="K150" t="s">
        <v>134</v>
      </c>
      <c r="L150" t="s">
        <v>563</v>
      </c>
      <c r="M150" t="s">
        <v>54</v>
      </c>
      <c r="N150">
        <v>9</v>
      </c>
      <c r="O150">
        <v>3165.43</v>
      </c>
      <c r="P150">
        <v>0.1</v>
      </c>
      <c r="Q150">
        <v>25639.98</v>
      </c>
      <c r="R150">
        <v>21635.08</v>
      </c>
      <c r="S150">
        <v>4004.9</v>
      </c>
      <c r="T150" t="s">
        <v>42</v>
      </c>
      <c r="U150" t="s">
        <v>43</v>
      </c>
      <c r="V150" t="s">
        <v>2812</v>
      </c>
      <c r="W150" t="s">
        <v>2818</v>
      </c>
      <c r="X150">
        <v>-0.10880696539805437</v>
      </c>
      <c r="Y150">
        <v>25639.983</v>
      </c>
      <c r="Z150">
        <v>4004.9029999999984</v>
      </c>
      <c r="AA150">
        <v>0.1561975684617263</v>
      </c>
      <c r="AB150" t="e">
        <v>#NUM!</v>
      </c>
      <c r="AC150" t="s">
        <v>2829</v>
      </c>
      <c r="AD150">
        <v>2025</v>
      </c>
      <c r="AE150" t="s">
        <v>2819</v>
      </c>
    </row>
    <row r="151" spans="1:31">
      <c r="A151" t="s">
        <v>1570</v>
      </c>
      <c r="B151" s="8">
        <v>45662</v>
      </c>
      <c r="C151" s="8">
        <v>45666</v>
      </c>
      <c r="D151" t="s">
        <v>1571</v>
      </c>
      <c r="E151" t="s">
        <v>89</v>
      </c>
      <c r="F151" t="s">
        <v>47</v>
      </c>
      <c r="G151" t="s">
        <v>64</v>
      </c>
      <c r="H151" t="s">
        <v>259</v>
      </c>
      <c r="I151" t="s">
        <v>260</v>
      </c>
      <c r="J151" t="s">
        <v>38</v>
      </c>
      <c r="K151" t="s">
        <v>134</v>
      </c>
      <c r="L151" t="s">
        <v>1572</v>
      </c>
      <c r="M151" t="s">
        <v>215</v>
      </c>
      <c r="N151">
        <v>5</v>
      </c>
      <c r="O151">
        <v>905.16</v>
      </c>
      <c r="P151">
        <v>0</v>
      </c>
      <c r="Q151">
        <v>4525.8</v>
      </c>
      <c r="R151">
        <v>2714.51</v>
      </c>
      <c r="S151">
        <v>1811.29</v>
      </c>
      <c r="T151" t="s">
        <v>42</v>
      </c>
      <c r="U151" t="s">
        <v>43</v>
      </c>
      <c r="V151" t="s">
        <v>2812</v>
      </c>
      <c r="W151" t="s">
        <v>2812</v>
      </c>
      <c r="X151">
        <v>-1.0661353799231277</v>
      </c>
      <c r="Y151">
        <v>4525.8</v>
      </c>
      <c r="Z151">
        <v>1811.29</v>
      </c>
      <c r="AA151">
        <v>0.40021432674886204</v>
      </c>
      <c r="AB151">
        <v>4</v>
      </c>
      <c r="AC151" t="s">
        <v>2826</v>
      </c>
      <c r="AD151">
        <v>2025</v>
      </c>
      <c r="AE151" t="s">
        <v>2814</v>
      </c>
    </row>
    <row r="152" spans="1:31">
      <c r="A152" t="s">
        <v>1543</v>
      </c>
      <c r="B152" s="8">
        <v>45333</v>
      </c>
      <c r="C152" s="8">
        <v>45337</v>
      </c>
      <c r="D152" t="s">
        <v>1544</v>
      </c>
      <c r="E152" t="s">
        <v>276</v>
      </c>
      <c r="F152" t="s">
        <v>34</v>
      </c>
      <c r="G152" t="s">
        <v>64</v>
      </c>
      <c r="H152" t="s">
        <v>65</v>
      </c>
      <c r="I152" t="s">
        <v>66</v>
      </c>
      <c r="J152" t="s">
        <v>38</v>
      </c>
      <c r="K152" t="s">
        <v>163</v>
      </c>
      <c r="L152" t="s">
        <v>1545</v>
      </c>
      <c r="M152" t="s">
        <v>69</v>
      </c>
      <c r="N152">
        <v>3</v>
      </c>
      <c r="O152">
        <v>3019.14</v>
      </c>
      <c r="P152">
        <v>0.25</v>
      </c>
      <c r="Q152">
        <v>6793.07</v>
      </c>
      <c r="R152">
        <v>4985.22</v>
      </c>
      <c r="S152">
        <v>1807.85</v>
      </c>
      <c r="T152" t="s">
        <v>42</v>
      </c>
      <c r="U152" t="s">
        <v>43</v>
      </c>
      <c r="V152" t="s">
        <v>2812</v>
      </c>
      <c r="W152" t="s">
        <v>2812</v>
      </c>
      <c r="X152">
        <v>1.3271856563895552</v>
      </c>
      <c r="Y152">
        <v>6793.0650000000005</v>
      </c>
      <c r="Z152">
        <v>1807.8450000000003</v>
      </c>
      <c r="AA152">
        <v>0.26613097327936652</v>
      </c>
      <c r="AB152">
        <v>4</v>
      </c>
      <c r="AC152" t="s">
        <v>2815</v>
      </c>
      <c r="AD152">
        <v>2024</v>
      </c>
      <c r="AE152" t="s">
        <v>2814</v>
      </c>
    </row>
    <row r="153" spans="1:31">
      <c r="A153" t="s">
        <v>1513</v>
      </c>
      <c r="B153" s="8">
        <v>45802</v>
      </c>
      <c r="C153" s="8">
        <v>45803</v>
      </c>
      <c r="D153" t="s">
        <v>1514</v>
      </c>
      <c r="E153" t="s">
        <v>89</v>
      </c>
      <c r="F153" t="s">
        <v>100</v>
      </c>
      <c r="G153" t="s">
        <v>64</v>
      </c>
      <c r="H153" t="s">
        <v>94</v>
      </c>
      <c r="I153" t="s">
        <v>95</v>
      </c>
      <c r="J153" t="s">
        <v>38</v>
      </c>
      <c r="K153" t="s">
        <v>39</v>
      </c>
      <c r="L153" t="s">
        <v>1515</v>
      </c>
      <c r="M153" t="s">
        <v>69</v>
      </c>
      <c r="N153">
        <v>3</v>
      </c>
      <c r="O153">
        <v>3378.15</v>
      </c>
      <c r="P153">
        <v>0.15</v>
      </c>
      <c r="Q153">
        <v>8614.2800000000007</v>
      </c>
      <c r="R153">
        <v>7052.08</v>
      </c>
      <c r="S153">
        <v>1562.2</v>
      </c>
      <c r="T153" t="s">
        <v>42</v>
      </c>
      <c r="U153" t="s">
        <v>43</v>
      </c>
      <c r="V153" t="s">
        <v>2812</v>
      </c>
      <c r="W153" t="s">
        <v>2812</v>
      </c>
      <c r="X153">
        <v>0.3698572418644821</v>
      </c>
      <c r="Y153">
        <v>8614.2825000000012</v>
      </c>
      <c r="Z153">
        <v>1562.2025000000012</v>
      </c>
      <c r="AA153">
        <v>0.18135027496486225</v>
      </c>
      <c r="AB153">
        <v>1</v>
      </c>
      <c r="AC153" t="s">
        <v>2821</v>
      </c>
      <c r="AD153">
        <v>2025</v>
      </c>
      <c r="AE153" t="s">
        <v>2814</v>
      </c>
    </row>
    <row r="154" spans="1:31">
      <c r="A154" t="s">
        <v>1495</v>
      </c>
      <c r="B154" s="8">
        <v>45491</v>
      </c>
      <c r="C154" s="8">
        <v>45495</v>
      </c>
      <c r="D154" t="s">
        <v>1496</v>
      </c>
      <c r="E154" t="s">
        <v>89</v>
      </c>
      <c r="F154" t="s">
        <v>47</v>
      </c>
      <c r="G154" t="s">
        <v>64</v>
      </c>
      <c r="H154" t="s">
        <v>65</v>
      </c>
      <c r="I154" t="s">
        <v>66</v>
      </c>
      <c r="J154" t="s">
        <v>38</v>
      </c>
      <c r="K154" t="s">
        <v>58</v>
      </c>
      <c r="L154" t="s">
        <v>1497</v>
      </c>
      <c r="M154" t="s">
        <v>69</v>
      </c>
      <c r="N154">
        <v>4</v>
      </c>
      <c r="O154">
        <v>808.77</v>
      </c>
      <c r="P154">
        <v>0</v>
      </c>
      <c r="Q154">
        <v>3235.08</v>
      </c>
      <c r="R154">
        <v>1848.6</v>
      </c>
      <c r="S154">
        <v>1386.48</v>
      </c>
      <c r="T154" t="s">
        <v>42</v>
      </c>
      <c r="U154" t="s">
        <v>43</v>
      </c>
      <c r="V154" t="s">
        <v>2812</v>
      </c>
      <c r="W154" t="s">
        <v>2812</v>
      </c>
      <c r="X154">
        <v>-1.0661353799231277</v>
      </c>
      <c r="Y154">
        <v>3235.08</v>
      </c>
      <c r="Z154">
        <v>1386.48</v>
      </c>
      <c r="AA154">
        <v>0.42857672762342819</v>
      </c>
      <c r="AB154">
        <v>4</v>
      </c>
      <c r="AC154" t="s">
        <v>2829</v>
      </c>
      <c r="AD154">
        <v>2024</v>
      </c>
      <c r="AE154" t="s">
        <v>2814</v>
      </c>
    </row>
    <row r="155" spans="1:31">
      <c r="A155" t="s">
        <v>1475</v>
      </c>
      <c r="B155" s="8">
        <v>45306</v>
      </c>
      <c r="C155" s="8">
        <v>45309</v>
      </c>
      <c r="D155" t="s">
        <v>1476</v>
      </c>
      <c r="E155" t="s">
        <v>46</v>
      </c>
      <c r="F155" t="s">
        <v>47</v>
      </c>
      <c r="G155" t="s">
        <v>64</v>
      </c>
      <c r="H155" t="s">
        <v>94</v>
      </c>
      <c r="I155" t="s">
        <v>95</v>
      </c>
      <c r="J155" t="s">
        <v>51</v>
      </c>
      <c r="K155" t="s">
        <v>76</v>
      </c>
      <c r="L155" t="s">
        <v>1477</v>
      </c>
      <c r="M155" t="s">
        <v>60</v>
      </c>
      <c r="N155">
        <v>2</v>
      </c>
      <c r="O155">
        <v>201.21</v>
      </c>
      <c r="P155">
        <v>0.15</v>
      </c>
      <c r="Q155">
        <v>342.06</v>
      </c>
      <c r="R155">
        <v>244.57</v>
      </c>
      <c r="S155">
        <v>97.49</v>
      </c>
      <c r="T155" t="s">
        <v>42</v>
      </c>
      <c r="U155" t="s">
        <v>43</v>
      </c>
      <c r="V155" t="s">
        <v>2812</v>
      </c>
      <c r="W155" t="s">
        <v>2812</v>
      </c>
      <c r="X155">
        <v>0.3698572418644821</v>
      </c>
      <c r="Y155">
        <v>342.05700000000002</v>
      </c>
      <c r="Z155">
        <v>97.487000000000023</v>
      </c>
      <c r="AA155">
        <v>0.28500220723446684</v>
      </c>
      <c r="AB155">
        <v>3</v>
      </c>
      <c r="AC155" t="s">
        <v>2826</v>
      </c>
      <c r="AD155">
        <v>2024</v>
      </c>
      <c r="AE155" t="s">
        <v>2814</v>
      </c>
    </row>
    <row r="156" spans="1:31">
      <c r="A156" t="s">
        <v>580</v>
      </c>
      <c r="B156" s="8">
        <v>45457</v>
      </c>
      <c r="C156" s="8">
        <v>45460</v>
      </c>
      <c r="D156" t="s">
        <v>581</v>
      </c>
      <c r="E156" t="s">
        <v>276</v>
      </c>
      <c r="F156" t="s">
        <v>47</v>
      </c>
      <c r="G156" t="s">
        <v>64</v>
      </c>
      <c r="H156" t="s">
        <v>195</v>
      </c>
      <c r="I156" t="s">
        <v>196</v>
      </c>
      <c r="J156" t="s">
        <v>51</v>
      </c>
      <c r="K156" t="s">
        <v>52</v>
      </c>
      <c r="L156" t="s">
        <v>582</v>
      </c>
      <c r="M156" t="s">
        <v>41</v>
      </c>
      <c r="N156">
        <v>6</v>
      </c>
      <c r="O156">
        <v>1088.04</v>
      </c>
      <c r="P156">
        <v>0.1</v>
      </c>
      <c r="Q156">
        <v>5875.42</v>
      </c>
      <c r="R156">
        <v>4380.55</v>
      </c>
      <c r="S156">
        <v>1494.87</v>
      </c>
      <c r="T156" t="s">
        <v>121</v>
      </c>
      <c r="U156" t="s">
        <v>113</v>
      </c>
      <c r="V156" t="s">
        <v>2812</v>
      </c>
      <c r="W156" t="s">
        <v>2812</v>
      </c>
      <c r="X156">
        <v>-0.10880696539805437</v>
      </c>
      <c r="Y156">
        <v>5875.4160000000002</v>
      </c>
      <c r="Z156">
        <v>1494.866</v>
      </c>
      <c r="AA156">
        <v>0.25442726098032886</v>
      </c>
      <c r="AB156">
        <v>3</v>
      </c>
      <c r="AC156" t="s">
        <v>2820</v>
      </c>
      <c r="AD156">
        <v>2024</v>
      </c>
      <c r="AE156" t="s">
        <v>2814</v>
      </c>
    </row>
    <row r="157" spans="1:31">
      <c r="A157" t="s">
        <v>1472</v>
      </c>
      <c r="B157" s="8">
        <v>45879</v>
      </c>
      <c r="C157" s="8">
        <v>45879</v>
      </c>
      <c r="D157" t="s">
        <v>1473</v>
      </c>
      <c r="E157" t="s">
        <v>151</v>
      </c>
      <c r="F157" t="s">
        <v>105</v>
      </c>
      <c r="G157" t="s">
        <v>64</v>
      </c>
      <c r="H157" t="s">
        <v>65</v>
      </c>
      <c r="I157" t="s">
        <v>66</v>
      </c>
      <c r="J157" t="s">
        <v>51</v>
      </c>
      <c r="K157" t="s">
        <v>168</v>
      </c>
      <c r="L157" t="s">
        <v>1474</v>
      </c>
      <c r="M157" t="s">
        <v>69</v>
      </c>
      <c r="N157">
        <v>6</v>
      </c>
      <c r="O157">
        <v>4288.7</v>
      </c>
      <c r="P157">
        <v>0.15</v>
      </c>
      <c r="Q157">
        <v>21872.37</v>
      </c>
      <c r="R157">
        <v>13829.5</v>
      </c>
      <c r="S157">
        <v>8042.87</v>
      </c>
      <c r="T157" t="s">
        <v>121</v>
      </c>
      <c r="U157" t="s">
        <v>113</v>
      </c>
      <c r="V157" t="s">
        <v>2812</v>
      </c>
      <c r="W157" t="s">
        <v>2812</v>
      </c>
      <c r="X157">
        <v>0.3698572418644821</v>
      </c>
      <c r="Y157">
        <v>21872.369999999995</v>
      </c>
      <c r="Z157">
        <v>8042.8699999999953</v>
      </c>
      <c r="AA157">
        <v>0.36771826738483288</v>
      </c>
      <c r="AB157">
        <v>0</v>
      </c>
      <c r="AC157" t="s">
        <v>2813</v>
      </c>
      <c r="AD157">
        <v>2025</v>
      </c>
      <c r="AE157" t="s">
        <v>2814</v>
      </c>
    </row>
    <row r="158" spans="1:31">
      <c r="A158" t="s">
        <v>586</v>
      </c>
      <c r="B158" s="8">
        <v>45334</v>
      </c>
      <c r="C158" s="8">
        <v>45598</v>
      </c>
      <c r="D158" t="s">
        <v>467</v>
      </c>
      <c r="E158" t="s">
        <v>124</v>
      </c>
      <c r="F158" t="s">
        <v>34</v>
      </c>
      <c r="G158" t="s">
        <v>64</v>
      </c>
      <c r="H158" t="s">
        <v>259</v>
      </c>
      <c r="I158" t="s">
        <v>260</v>
      </c>
      <c r="J158" t="s">
        <v>51</v>
      </c>
      <c r="K158" t="s">
        <v>168</v>
      </c>
      <c r="L158" t="s">
        <v>587</v>
      </c>
      <c r="M158" t="s">
        <v>54</v>
      </c>
      <c r="N158">
        <v>1</v>
      </c>
      <c r="O158">
        <v>2599.12</v>
      </c>
      <c r="P158">
        <v>0.15</v>
      </c>
      <c r="Q158">
        <v>2209.25</v>
      </c>
      <c r="R158">
        <v>1523.78</v>
      </c>
      <c r="S158">
        <v>685.47</v>
      </c>
      <c r="T158" t="s">
        <v>42</v>
      </c>
      <c r="U158" t="s">
        <v>43</v>
      </c>
      <c r="V158" t="s">
        <v>2812</v>
      </c>
      <c r="W158" t="s">
        <v>2812</v>
      </c>
      <c r="X158">
        <v>0.3698572418644821</v>
      </c>
      <c r="Y158">
        <v>2209.252</v>
      </c>
      <c r="Z158">
        <v>685.47199999999998</v>
      </c>
      <c r="AA158">
        <v>0.31027334138432372</v>
      </c>
      <c r="AB158">
        <v>264</v>
      </c>
      <c r="AC158" t="s">
        <v>2815</v>
      </c>
      <c r="AD158">
        <v>2024</v>
      </c>
      <c r="AE158" t="s">
        <v>2814</v>
      </c>
    </row>
    <row r="159" spans="1:31">
      <c r="A159" t="s">
        <v>1469</v>
      </c>
      <c r="B159" s="8">
        <v>45918</v>
      </c>
      <c r="C159" s="8">
        <v>45919</v>
      </c>
      <c r="D159" t="s">
        <v>1470</v>
      </c>
      <c r="E159" t="s">
        <v>142</v>
      </c>
      <c r="F159" t="s">
        <v>105</v>
      </c>
      <c r="G159" t="s">
        <v>64</v>
      </c>
      <c r="H159" t="s">
        <v>94</v>
      </c>
      <c r="I159" t="s">
        <v>95</v>
      </c>
      <c r="J159" t="s">
        <v>38</v>
      </c>
      <c r="K159" t="s">
        <v>134</v>
      </c>
      <c r="L159" t="s">
        <v>1471</v>
      </c>
      <c r="M159" t="s">
        <v>54</v>
      </c>
      <c r="N159">
        <v>8</v>
      </c>
      <c r="O159">
        <v>4242.51</v>
      </c>
      <c r="P159">
        <v>0</v>
      </c>
      <c r="Q159">
        <v>33940.080000000002</v>
      </c>
      <c r="R159">
        <v>23754.19</v>
      </c>
      <c r="S159">
        <v>10185.89</v>
      </c>
      <c r="T159" t="s">
        <v>42</v>
      </c>
      <c r="U159" t="s">
        <v>43</v>
      </c>
      <c r="V159" t="s">
        <v>2812</v>
      </c>
      <c r="W159" t="s">
        <v>2812</v>
      </c>
      <c r="X159">
        <v>-1.0661353799231277</v>
      </c>
      <c r="Y159">
        <v>33940.080000000002</v>
      </c>
      <c r="Z159">
        <v>10185.890000000003</v>
      </c>
      <c r="AA159">
        <v>0.30011390662603044</v>
      </c>
      <c r="AB159">
        <v>1</v>
      </c>
      <c r="AC159" t="s">
        <v>2822</v>
      </c>
      <c r="AD159">
        <v>2025</v>
      </c>
      <c r="AE159" t="s">
        <v>2814</v>
      </c>
    </row>
    <row r="160" spans="1:31">
      <c r="A160" t="s">
        <v>1443</v>
      </c>
      <c r="B160" s="8">
        <v>45337</v>
      </c>
      <c r="C160" s="8">
        <v>45340</v>
      </c>
      <c r="D160" t="s">
        <v>1444</v>
      </c>
      <c r="E160" t="s">
        <v>99</v>
      </c>
      <c r="F160" t="s">
        <v>47</v>
      </c>
      <c r="G160" t="s">
        <v>64</v>
      </c>
      <c r="H160" t="s">
        <v>195</v>
      </c>
      <c r="I160" t="s">
        <v>196</v>
      </c>
      <c r="J160" t="s">
        <v>84</v>
      </c>
      <c r="K160" t="s">
        <v>85</v>
      </c>
      <c r="L160" t="s">
        <v>1445</v>
      </c>
      <c r="M160" t="s">
        <v>54</v>
      </c>
      <c r="N160">
        <v>8</v>
      </c>
      <c r="O160">
        <v>379.82</v>
      </c>
      <c r="P160">
        <v>0.05</v>
      </c>
      <c r="Q160">
        <v>2886.63</v>
      </c>
      <c r="R160">
        <v>1588.23</v>
      </c>
      <c r="S160">
        <v>1298.4000000000001</v>
      </c>
      <c r="T160" t="s">
        <v>165</v>
      </c>
      <c r="U160" t="s">
        <v>113</v>
      </c>
      <c r="V160" t="s">
        <v>2812</v>
      </c>
      <c r="W160" t="s">
        <v>2812</v>
      </c>
      <c r="X160">
        <v>-0.58747117266059101</v>
      </c>
      <c r="Y160">
        <v>2886.6319999999996</v>
      </c>
      <c r="Z160">
        <v>1298.4019999999996</v>
      </c>
      <c r="AA160">
        <v>0.44979824238073984</v>
      </c>
      <c r="AB160">
        <v>3</v>
      </c>
      <c r="AC160" t="s">
        <v>2815</v>
      </c>
      <c r="AD160">
        <v>2024</v>
      </c>
      <c r="AE160" t="s">
        <v>2814</v>
      </c>
    </row>
    <row r="161" spans="1:31">
      <c r="A161" t="s">
        <v>594</v>
      </c>
      <c r="B161" s="8">
        <v>45587</v>
      </c>
      <c r="C161" s="8">
        <v>45589</v>
      </c>
      <c r="D161" t="s">
        <v>595</v>
      </c>
      <c r="E161" t="s">
        <v>151</v>
      </c>
      <c r="F161" t="s">
        <v>47</v>
      </c>
      <c r="G161" t="s">
        <v>64</v>
      </c>
      <c r="H161" t="s">
        <v>94</v>
      </c>
      <c r="I161" t="s">
        <v>95</v>
      </c>
      <c r="J161" t="s">
        <v>51</v>
      </c>
      <c r="K161" t="s">
        <v>168</v>
      </c>
      <c r="L161" t="s">
        <v>596</v>
      </c>
      <c r="M161" t="s">
        <v>69</v>
      </c>
      <c r="N161">
        <v>3</v>
      </c>
      <c r="O161">
        <v>915.84</v>
      </c>
      <c r="P161">
        <v>0.15</v>
      </c>
      <c r="Q161">
        <v>2335.39</v>
      </c>
      <c r="R161">
        <v>1466.15</v>
      </c>
      <c r="S161">
        <v>869.24</v>
      </c>
      <c r="T161" t="s">
        <v>42</v>
      </c>
      <c r="U161" t="s">
        <v>43</v>
      </c>
      <c r="V161" t="s">
        <v>2812</v>
      </c>
      <c r="W161" t="s">
        <v>2812</v>
      </c>
      <c r="X161">
        <v>0.3698572418644821</v>
      </c>
      <c r="Y161">
        <v>2335.3919999999998</v>
      </c>
      <c r="Z161">
        <v>869.24199999999973</v>
      </c>
      <c r="AA161">
        <v>0.3722038955344541</v>
      </c>
      <c r="AB161">
        <v>2</v>
      </c>
      <c r="AC161" t="s">
        <v>2823</v>
      </c>
      <c r="AD161">
        <v>2024</v>
      </c>
      <c r="AE161" t="s">
        <v>2814</v>
      </c>
    </row>
    <row r="162" spans="1:31">
      <c r="A162" t="s">
        <v>597</v>
      </c>
      <c r="B162" s="8">
        <v>45544</v>
      </c>
      <c r="C162" s="8">
        <v>45605</v>
      </c>
      <c r="D162" t="s">
        <v>598</v>
      </c>
      <c r="E162" t="s">
        <v>89</v>
      </c>
      <c r="F162" t="s">
        <v>105</v>
      </c>
      <c r="G162" t="s">
        <v>64</v>
      </c>
      <c r="H162" t="s">
        <v>65</v>
      </c>
      <c r="I162" t="s">
        <v>66</v>
      </c>
      <c r="J162" t="s">
        <v>51</v>
      </c>
      <c r="K162" t="s">
        <v>168</v>
      </c>
      <c r="L162" t="s">
        <v>599</v>
      </c>
      <c r="M162" t="s">
        <v>60</v>
      </c>
      <c r="N162">
        <v>1</v>
      </c>
      <c r="O162">
        <v>4199.54</v>
      </c>
      <c r="P162">
        <v>0.05</v>
      </c>
      <c r="Q162">
        <v>3989.56</v>
      </c>
      <c r="R162">
        <v>2381.38</v>
      </c>
      <c r="S162">
        <v>1608.18</v>
      </c>
      <c r="T162" t="s">
        <v>42</v>
      </c>
      <c r="U162" t="s">
        <v>43</v>
      </c>
      <c r="V162" t="s">
        <v>2812</v>
      </c>
      <c r="W162" t="s">
        <v>2812</v>
      </c>
      <c r="X162">
        <v>-0.58747117266059101</v>
      </c>
      <c r="Y162">
        <v>3989.5629999999996</v>
      </c>
      <c r="Z162">
        <v>1608.1829999999995</v>
      </c>
      <c r="AA162">
        <v>0.40309753223598666</v>
      </c>
      <c r="AB162">
        <v>61</v>
      </c>
      <c r="AC162" t="s">
        <v>2822</v>
      </c>
      <c r="AD162">
        <v>2024</v>
      </c>
      <c r="AE162" t="s">
        <v>2814</v>
      </c>
    </row>
    <row r="163" spans="1:31">
      <c r="A163" t="s">
        <v>1440</v>
      </c>
      <c r="B163" s="8">
        <v>45459</v>
      </c>
      <c r="C163" s="8">
        <v>45464</v>
      </c>
      <c r="D163" t="s">
        <v>1441</v>
      </c>
      <c r="E163" t="s">
        <v>89</v>
      </c>
      <c r="F163" t="s">
        <v>34</v>
      </c>
      <c r="G163" t="s">
        <v>64</v>
      </c>
      <c r="H163" t="s">
        <v>195</v>
      </c>
      <c r="I163" t="s">
        <v>196</v>
      </c>
      <c r="J163" t="s">
        <v>51</v>
      </c>
      <c r="K163" t="s">
        <v>67</v>
      </c>
      <c r="L163" t="s">
        <v>1442</v>
      </c>
      <c r="M163" t="s">
        <v>54</v>
      </c>
      <c r="N163">
        <v>6</v>
      </c>
      <c r="O163">
        <v>1156.78</v>
      </c>
      <c r="P163">
        <v>0.05</v>
      </c>
      <c r="Q163">
        <v>6593.65</v>
      </c>
      <c r="R163">
        <v>4359.3900000000003</v>
      </c>
      <c r="S163">
        <v>2234.2600000000002</v>
      </c>
      <c r="T163" t="s">
        <v>42</v>
      </c>
      <c r="U163" t="s">
        <v>113</v>
      </c>
      <c r="V163" t="s">
        <v>2812</v>
      </c>
      <c r="W163" t="s">
        <v>2812</v>
      </c>
      <c r="X163">
        <v>-0.58747117266059101</v>
      </c>
      <c r="Y163">
        <v>6593.6459999999997</v>
      </c>
      <c r="Z163">
        <v>2234.2559999999994</v>
      </c>
      <c r="AA163">
        <v>0.33884985636171544</v>
      </c>
      <c r="AB163">
        <v>5</v>
      </c>
      <c r="AC163" t="s">
        <v>2820</v>
      </c>
      <c r="AD163">
        <v>2024</v>
      </c>
      <c r="AE163" t="s">
        <v>2814</v>
      </c>
    </row>
    <row r="164" spans="1:31">
      <c r="A164" t="s">
        <v>1431</v>
      </c>
      <c r="B164" s="8">
        <v>45401</v>
      </c>
      <c r="C164" s="8">
        <v>45402</v>
      </c>
      <c r="D164" t="s">
        <v>1432</v>
      </c>
      <c r="E164" t="s">
        <v>124</v>
      </c>
      <c r="F164" t="s">
        <v>100</v>
      </c>
      <c r="G164" t="s">
        <v>64</v>
      </c>
      <c r="H164" t="s">
        <v>195</v>
      </c>
      <c r="I164" t="s">
        <v>196</v>
      </c>
      <c r="J164" t="s">
        <v>38</v>
      </c>
      <c r="K164" t="s">
        <v>58</v>
      </c>
      <c r="L164" t="s">
        <v>1433</v>
      </c>
      <c r="M164" t="s">
        <v>41</v>
      </c>
      <c r="N164">
        <v>4</v>
      </c>
      <c r="O164">
        <v>1540.22</v>
      </c>
      <c r="P164">
        <v>0</v>
      </c>
      <c r="Q164">
        <v>6160.88</v>
      </c>
      <c r="R164">
        <v>4938.7</v>
      </c>
      <c r="S164">
        <v>1222.18</v>
      </c>
      <c r="T164" t="s">
        <v>112</v>
      </c>
      <c r="U164" t="s">
        <v>113</v>
      </c>
      <c r="V164" t="s">
        <v>2812</v>
      </c>
      <c r="W164" t="s">
        <v>2812</v>
      </c>
      <c r="X164">
        <v>-1.0661353799231277</v>
      </c>
      <c r="Y164">
        <v>6160.88</v>
      </c>
      <c r="Z164">
        <v>1222.1800000000003</v>
      </c>
      <c r="AA164">
        <v>0.19837750451234243</v>
      </c>
      <c r="AB164">
        <v>1</v>
      </c>
      <c r="AC164" t="s">
        <v>2825</v>
      </c>
      <c r="AD164">
        <v>2024</v>
      </c>
      <c r="AE164" t="s">
        <v>2814</v>
      </c>
    </row>
    <row r="165" spans="1:31">
      <c r="A165" t="s">
        <v>1400</v>
      </c>
      <c r="B165" s="8">
        <v>45342</v>
      </c>
      <c r="C165" s="8">
        <v>45349</v>
      </c>
      <c r="D165" t="s">
        <v>1401</v>
      </c>
      <c r="E165" t="s">
        <v>172</v>
      </c>
      <c r="F165" t="s">
        <v>34</v>
      </c>
      <c r="G165" t="s">
        <v>64</v>
      </c>
      <c r="H165" t="s">
        <v>195</v>
      </c>
      <c r="I165" t="s">
        <v>196</v>
      </c>
      <c r="J165" t="s">
        <v>84</v>
      </c>
      <c r="K165" t="s">
        <v>85</v>
      </c>
      <c r="L165" t="s">
        <v>1402</v>
      </c>
      <c r="M165" t="s">
        <v>60</v>
      </c>
      <c r="N165">
        <v>9</v>
      </c>
      <c r="O165">
        <v>3779.31</v>
      </c>
      <c r="P165">
        <v>0.2</v>
      </c>
      <c r="Q165">
        <v>27211.03</v>
      </c>
      <c r="R165">
        <v>17940.43</v>
      </c>
      <c r="S165">
        <v>9270.6</v>
      </c>
      <c r="T165" t="s">
        <v>42</v>
      </c>
      <c r="U165" t="s">
        <v>43</v>
      </c>
      <c r="V165" t="s">
        <v>2812</v>
      </c>
      <c r="W165" t="s">
        <v>2812</v>
      </c>
      <c r="X165">
        <v>0.84852144912701888</v>
      </c>
      <c r="Y165">
        <v>27211.032000000003</v>
      </c>
      <c r="Z165">
        <v>9270.6020000000026</v>
      </c>
      <c r="AA165">
        <v>0.34069277490100347</v>
      </c>
      <c r="AB165">
        <v>7</v>
      </c>
      <c r="AC165" t="s">
        <v>2815</v>
      </c>
      <c r="AD165">
        <v>2024</v>
      </c>
      <c r="AE165" t="s">
        <v>2814</v>
      </c>
    </row>
    <row r="166" spans="1:31">
      <c r="A166" t="s">
        <v>1391</v>
      </c>
      <c r="B166" s="8">
        <v>45734</v>
      </c>
      <c r="C166" s="8">
        <v>45735</v>
      </c>
      <c r="D166" t="s">
        <v>1392</v>
      </c>
      <c r="E166" t="s">
        <v>57</v>
      </c>
      <c r="F166" t="s">
        <v>100</v>
      </c>
      <c r="G166" t="s">
        <v>64</v>
      </c>
      <c r="H166" t="s">
        <v>259</v>
      </c>
      <c r="I166" t="s">
        <v>260</v>
      </c>
      <c r="J166" t="s">
        <v>84</v>
      </c>
      <c r="K166" t="s">
        <v>286</v>
      </c>
      <c r="L166" t="s">
        <v>1393</v>
      </c>
      <c r="M166" t="s">
        <v>69</v>
      </c>
      <c r="N166">
        <v>2</v>
      </c>
      <c r="O166">
        <v>1209.99</v>
      </c>
      <c r="P166">
        <v>0.25</v>
      </c>
      <c r="Q166">
        <v>1814.99</v>
      </c>
      <c r="R166">
        <v>1120.06</v>
      </c>
      <c r="S166">
        <v>694.93</v>
      </c>
      <c r="T166" t="s">
        <v>121</v>
      </c>
      <c r="U166" t="s">
        <v>78</v>
      </c>
      <c r="V166" t="s">
        <v>2812</v>
      </c>
      <c r="W166" t="s">
        <v>2812</v>
      </c>
      <c r="X166">
        <v>1.3271856563895552</v>
      </c>
      <c r="Y166">
        <v>1814.9850000000001</v>
      </c>
      <c r="Z166">
        <v>694.92500000000018</v>
      </c>
      <c r="AA166">
        <v>0.38288195219244242</v>
      </c>
      <c r="AB166">
        <v>1</v>
      </c>
      <c r="AC166" t="s">
        <v>2828</v>
      </c>
      <c r="AD166">
        <v>2025</v>
      </c>
      <c r="AE166" t="s">
        <v>2824</v>
      </c>
    </row>
    <row r="167" spans="1:31">
      <c r="A167" t="s">
        <v>1379</v>
      </c>
      <c r="B167" s="8">
        <v>45665</v>
      </c>
      <c r="C167" s="8">
        <v>45673</v>
      </c>
      <c r="D167" t="s">
        <v>1380</v>
      </c>
      <c r="E167" t="s">
        <v>89</v>
      </c>
      <c r="F167" t="s">
        <v>34</v>
      </c>
      <c r="G167" t="s">
        <v>64</v>
      </c>
      <c r="H167" t="s">
        <v>65</v>
      </c>
      <c r="I167" t="s">
        <v>66</v>
      </c>
      <c r="J167" t="s">
        <v>51</v>
      </c>
      <c r="K167" t="s">
        <v>67</v>
      </c>
      <c r="L167" t="s">
        <v>1381</v>
      </c>
      <c r="M167" t="s">
        <v>60</v>
      </c>
      <c r="N167">
        <v>8</v>
      </c>
      <c r="O167">
        <v>638.95000000000005</v>
      </c>
      <c r="P167">
        <v>0.25</v>
      </c>
      <c r="Q167">
        <v>3833.7</v>
      </c>
      <c r="R167">
        <v>2886.35</v>
      </c>
      <c r="S167">
        <v>947.35</v>
      </c>
      <c r="T167" t="s">
        <v>42</v>
      </c>
      <c r="U167" t="s">
        <v>43</v>
      </c>
      <c r="V167" t="s">
        <v>2812</v>
      </c>
      <c r="W167" t="s">
        <v>2812</v>
      </c>
      <c r="X167">
        <v>1.3271856563895552</v>
      </c>
      <c r="Y167">
        <v>3833.7000000000003</v>
      </c>
      <c r="Z167">
        <v>947.35000000000036</v>
      </c>
      <c r="AA167">
        <v>0.24711114589039318</v>
      </c>
      <c r="AB167">
        <v>8</v>
      </c>
      <c r="AC167" t="s">
        <v>2826</v>
      </c>
      <c r="AD167">
        <v>2025</v>
      </c>
      <c r="AE167" t="s">
        <v>2814</v>
      </c>
    </row>
    <row r="168" spans="1:31">
      <c r="A168" t="s">
        <v>1376</v>
      </c>
      <c r="B168" s="8">
        <v>45316</v>
      </c>
      <c r="C168" s="8">
        <v>45318</v>
      </c>
      <c r="D168" t="s">
        <v>1377</v>
      </c>
      <c r="E168" t="s">
        <v>138</v>
      </c>
      <c r="F168" t="s">
        <v>100</v>
      </c>
      <c r="G168" t="s">
        <v>64</v>
      </c>
      <c r="H168" t="s">
        <v>185</v>
      </c>
      <c r="I168" t="s">
        <v>186</v>
      </c>
      <c r="J168" t="s">
        <v>38</v>
      </c>
      <c r="K168" t="s">
        <v>134</v>
      </c>
      <c r="L168" t="s">
        <v>1378</v>
      </c>
      <c r="M168" t="s">
        <v>54</v>
      </c>
      <c r="N168">
        <v>7</v>
      </c>
      <c r="O168">
        <v>1727.26</v>
      </c>
      <c r="P168">
        <v>0.15</v>
      </c>
      <c r="Q168">
        <v>10277.200000000001</v>
      </c>
      <c r="R168">
        <v>7906.5</v>
      </c>
      <c r="S168">
        <v>2370.6999999999998</v>
      </c>
      <c r="T168" t="s">
        <v>42</v>
      </c>
      <c r="U168" t="s">
        <v>113</v>
      </c>
      <c r="V168" t="s">
        <v>2812</v>
      </c>
      <c r="W168" t="s">
        <v>2812</v>
      </c>
      <c r="X168">
        <v>0.3698572418644821</v>
      </c>
      <c r="Y168">
        <v>10277.197</v>
      </c>
      <c r="Z168">
        <v>2370.6970000000001</v>
      </c>
      <c r="AA168">
        <v>0.23067544584384245</v>
      </c>
      <c r="AB168">
        <v>2</v>
      </c>
      <c r="AC168" t="s">
        <v>2826</v>
      </c>
      <c r="AD168">
        <v>2024</v>
      </c>
      <c r="AE168" t="s">
        <v>2814</v>
      </c>
    </row>
    <row r="169" spans="1:31">
      <c r="A169" t="s">
        <v>1367</v>
      </c>
      <c r="B169" s="8">
        <v>45313</v>
      </c>
      <c r="C169" s="8">
        <v>45321</v>
      </c>
      <c r="D169" t="s">
        <v>1368</v>
      </c>
      <c r="E169" t="s">
        <v>57</v>
      </c>
      <c r="F169" t="s">
        <v>100</v>
      </c>
      <c r="G169" t="s">
        <v>64</v>
      </c>
      <c r="H169" t="s">
        <v>185</v>
      </c>
      <c r="I169" t="s">
        <v>186</v>
      </c>
      <c r="J169" t="s">
        <v>51</v>
      </c>
      <c r="K169" t="s">
        <v>76</v>
      </c>
      <c r="L169" t="s">
        <v>1369</v>
      </c>
      <c r="M169" t="s">
        <v>54</v>
      </c>
      <c r="N169">
        <v>1</v>
      </c>
      <c r="O169">
        <v>2111.39</v>
      </c>
      <c r="P169">
        <v>0.25</v>
      </c>
      <c r="Q169">
        <v>1583.54</v>
      </c>
      <c r="R169">
        <v>1014.19</v>
      </c>
      <c r="S169">
        <v>569.35</v>
      </c>
      <c r="T169" t="s">
        <v>42</v>
      </c>
      <c r="U169" t="s">
        <v>43</v>
      </c>
      <c r="V169" t="s">
        <v>2812</v>
      </c>
      <c r="W169" t="s">
        <v>2812</v>
      </c>
      <c r="X169">
        <v>1.3271856563895552</v>
      </c>
      <c r="Y169">
        <v>1583.5425</v>
      </c>
      <c r="Z169">
        <v>569.35249999999996</v>
      </c>
      <c r="AA169">
        <v>0.35954355503562424</v>
      </c>
      <c r="AB169">
        <v>8</v>
      </c>
      <c r="AC169" t="s">
        <v>2826</v>
      </c>
      <c r="AD169">
        <v>2024</v>
      </c>
      <c r="AE169" t="s">
        <v>2814</v>
      </c>
    </row>
    <row r="170" spans="1:31">
      <c r="A170" t="s">
        <v>1339</v>
      </c>
      <c r="B170" s="8">
        <v>45565</v>
      </c>
      <c r="C170" s="8">
        <v>45569</v>
      </c>
      <c r="D170" t="s">
        <v>1340</v>
      </c>
      <c r="E170" t="s">
        <v>63</v>
      </c>
      <c r="F170" t="s">
        <v>47</v>
      </c>
      <c r="G170" t="s">
        <v>64</v>
      </c>
      <c r="H170" t="s">
        <v>195</v>
      </c>
      <c r="I170" t="s">
        <v>196</v>
      </c>
      <c r="J170" t="s">
        <v>38</v>
      </c>
      <c r="K170" t="s">
        <v>39</v>
      </c>
      <c r="L170" t="s">
        <v>1342</v>
      </c>
      <c r="M170" t="s">
        <v>54</v>
      </c>
      <c r="N170">
        <v>5</v>
      </c>
      <c r="O170">
        <v>3512.25</v>
      </c>
      <c r="P170">
        <v>0.05</v>
      </c>
      <c r="Q170">
        <v>16683.189999999999</v>
      </c>
      <c r="R170">
        <v>10301.16</v>
      </c>
      <c r="S170">
        <v>6382.03</v>
      </c>
      <c r="T170" t="s">
        <v>42</v>
      </c>
      <c r="U170" t="s">
        <v>113</v>
      </c>
      <c r="V170" t="s">
        <v>2812</v>
      </c>
      <c r="W170" t="s">
        <v>2812</v>
      </c>
      <c r="X170">
        <v>-0.58747117266059101</v>
      </c>
      <c r="Y170">
        <v>16683.1875</v>
      </c>
      <c r="Z170">
        <v>6382.0275000000001</v>
      </c>
      <c r="AA170">
        <v>0.38254245479168775</v>
      </c>
      <c r="AB170">
        <v>4</v>
      </c>
      <c r="AC170" t="s">
        <v>2822</v>
      </c>
      <c r="AD170">
        <v>2024</v>
      </c>
      <c r="AE170" t="s">
        <v>2814</v>
      </c>
    </row>
    <row r="171" spans="1:31">
      <c r="A171" t="s">
        <v>626</v>
      </c>
      <c r="B171" s="8">
        <v>45887</v>
      </c>
      <c r="C171" s="8">
        <v>45887</v>
      </c>
      <c r="D171" t="s">
        <v>627</v>
      </c>
      <c r="E171" t="s">
        <v>63</v>
      </c>
      <c r="F171" t="s">
        <v>105</v>
      </c>
      <c r="G171" t="s">
        <v>64</v>
      </c>
      <c r="H171" t="s">
        <v>185</v>
      </c>
      <c r="I171" t="s">
        <v>186</v>
      </c>
      <c r="J171" t="s">
        <v>38</v>
      </c>
      <c r="K171" t="s">
        <v>134</v>
      </c>
      <c r="L171" t="s">
        <v>628</v>
      </c>
      <c r="M171" t="s">
        <v>60</v>
      </c>
      <c r="N171">
        <v>9</v>
      </c>
      <c r="O171">
        <v>3030.93</v>
      </c>
      <c r="P171">
        <v>0.15</v>
      </c>
      <c r="Q171">
        <v>23186.61</v>
      </c>
      <c r="R171">
        <v>17906.54</v>
      </c>
      <c r="S171">
        <v>5280.07</v>
      </c>
      <c r="T171" t="s">
        <v>42</v>
      </c>
      <c r="U171" t="s">
        <v>113</v>
      </c>
      <c r="V171" t="s">
        <v>2812</v>
      </c>
      <c r="W171" t="s">
        <v>2812</v>
      </c>
      <c r="X171">
        <v>0.3698572418644821</v>
      </c>
      <c r="Y171">
        <v>23186.6145</v>
      </c>
      <c r="Z171">
        <v>5280.0744999999988</v>
      </c>
      <c r="AA171">
        <v>0.22772080417345961</v>
      </c>
      <c r="AB171">
        <v>0</v>
      </c>
      <c r="AC171" t="s">
        <v>2813</v>
      </c>
      <c r="AD171">
        <v>2025</v>
      </c>
      <c r="AE171" t="s">
        <v>2814</v>
      </c>
    </row>
    <row r="172" spans="1:31">
      <c r="A172" t="s">
        <v>1336</v>
      </c>
      <c r="B172" s="8">
        <v>45373</v>
      </c>
      <c r="C172" s="8">
        <v>45373</v>
      </c>
      <c r="D172" t="s">
        <v>1337</v>
      </c>
      <c r="E172" t="s">
        <v>124</v>
      </c>
      <c r="F172" t="s">
        <v>47</v>
      </c>
      <c r="G172" t="s">
        <v>64</v>
      </c>
      <c r="H172" t="s">
        <v>185</v>
      </c>
      <c r="I172" t="s">
        <v>186</v>
      </c>
      <c r="J172" t="s">
        <v>51</v>
      </c>
      <c r="K172" t="s">
        <v>52</v>
      </c>
      <c r="L172" t="s">
        <v>1338</v>
      </c>
      <c r="M172" t="s">
        <v>215</v>
      </c>
      <c r="N172">
        <v>3</v>
      </c>
      <c r="O172">
        <v>1365.26</v>
      </c>
      <c r="P172">
        <v>0</v>
      </c>
      <c r="Q172">
        <v>4095.78</v>
      </c>
      <c r="R172">
        <v>2807.77</v>
      </c>
      <c r="S172">
        <v>1288.01</v>
      </c>
      <c r="T172" t="s">
        <v>42</v>
      </c>
      <c r="U172" t="s">
        <v>43</v>
      </c>
      <c r="V172" t="s">
        <v>2812</v>
      </c>
      <c r="W172" t="s">
        <v>2812</v>
      </c>
      <c r="X172">
        <v>-1.0661353799231277</v>
      </c>
      <c r="Y172">
        <v>4095.7799999999997</v>
      </c>
      <c r="Z172">
        <v>1288.0099999999998</v>
      </c>
      <c r="AA172">
        <v>0.31447245701673426</v>
      </c>
      <c r="AB172">
        <v>0</v>
      </c>
      <c r="AC172" t="s">
        <v>2828</v>
      </c>
      <c r="AD172">
        <v>2024</v>
      </c>
      <c r="AE172" t="s">
        <v>2814</v>
      </c>
    </row>
    <row r="173" spans="1:31">
      <c r="A173" t="s">
        <v>1327</v>
      </c>
      <c r="B173" s="8">
        <v>45771</v>
      </c>
      <c r="C173" s="8">
        <v>45776</v>
      </c>
      <c r="D173" t="s">
        <v>1328</v>
      </c>
      <c r="E173" t="s">
        <v>172</v>
      </c>
      <c r="F173" t="s">
        <v>47</v>
      </c>
      <c r="G173" t="s">
        <v>64</v>
      </c>
      <c r="H173" t="s">
        <v>94</v>
      </c>
      <c r="I173" t="s">
        <v>95</v>
      </c>
      <c r="J173" t="s">
        <v>38</v>
      </c>
      <c r="K173" t="s">
        <v>39</v>
      </c>
      <c r="L173" t="s">
        <v>1329</v>
      </c>
      <c r="M173" t="s">
        <v>54</v>
      </c>
      <c r="N173">
        <v>1</v>
      </c>
      <c r="O173">
        <v>4358.5</v>
      </c>
      <c r="P173">
        <v>0.25</v>
      </c>
      <c r="Q173">
        <v>3268.88</v>
      </c>
      <c r="R173">
        <v>1993.74</v>
      </c>
      <c r="S173">
        <v>1275.1400000000001</v>
      </c>
      <c r="T173" t="s">
        <v>42</v>
      </c>
      <c r="U173" t="s">
        <v>43</v>
      </c>
      <c r="V173" t="s">
        <v>2812</v>
      </c>
      <c r="W173" t="s">
        <v>2812</v>
      </c>
      <c r="X173">
        <v>1.3271856563895552</v>
      </c>
      <c r="Y173">
        <v>3268.875</v>
      </c>
      <c r="Z173">
        <v>1275.135</v>
      </c>
      <c r="AA173">
        <v>0.39008374440747962</v>
      </c>
      <c r="AB173">
        <v>5</v>
      </c>
      <c r="AC173" t="s">
        <v>2825</v>
      </c>
      <c r="AD173">
        <v>2025</v>
      </c>
      <c r="AE173" t="s">
        <v>2814</v>
      </c>
    </row>
    <row r="174" spans="1:31">
      <c r="A174" t="s">
        <v>1318</v>
      </c>
      <c r="B174" s="8">
        <v>45761</v>
      </c>
      <c r="C174" s="8">
        <v>45769</v>
      </c>
      <c r="D174" t="s">
        <v>1319</v>
      </c>
      <c r="E174" t="s">
        <v>99</v>
      </c>
      <c r="F174" t="s">
        <v>47</v>
      </c>
      <c r="G174" t="s">
        <v>64</v>
      </c>
      <c r="H174" t="s">
        <v>185</v>
      </c>
      <c r="I174" t="s">
        <v>186</v>
      </c>
      <c r="J174" t="s">
        <v>84</v>
      </c>
      <c r="K174" t="s">
        <v>286</v>
      </c>
      <c r="L174" t="s">
        <v>1320</v>
      </c>
      <c r="M174" t="s">
        <v>69</v>
      </c>
      <c r="N174">
        <v>2</v>
      </c>
      <c r="O174">
        <v>638.73</v>
      </c>
      <c r="P174">
        <v>0.05</v>
      </c>
      <c r="Q174">
        <v>1213.5899999999999</v>
      </c>
      <c r="R174">
        <v>956.22</v>
      </c>
      <c r="S174">
        <v>257.37</v>
      </c>
      <c r="T174" t="s">
        <v>42</v>
      </c>
      <c r="U174" t="s">
        <v>43</v>
      </c>
      <c r="V174" t="s">
        <v>2812</v>
      </c>
      <c r="W174" t="s">
        <v>2812</v>
      </c>
      <c r="X174">
        <v>-0.58747117266059101</v>
      </c>
      <c r="Y174">
        <v>1213.587</v>
      </c>
      <c r="Z174">
        <v>257.36699999999996</v>
      </c>
      <c r="AA174">
        <v>0.21207132245154239</v>
      </c>
      <c r="AB174">
        <v>8</v>
      </c>
      <c r="AC174" t="s">
        <v>2825</v>
      </c>
      <c r="AD174">
        <v>2025</v>
      </c>
      <c r="AE174" t="s">
        <v>2814</v>
      </c>
    </row>
    <row r="175" spans="1:31">
      <c r="A175" t="s">
        <v>1315</v>
      </c>
      <c r="B175" s="8">
        <v>45449</v>
      </c>
      <c r="C175" s="8">
        <v>45479</v>
      </c>
      <c r="D175" t="s">
        <v>1316</v>
      </c>
      <c r="E175" t="s">
        <v>128</v>
      </c>
      <c r="F175" t="s">
        <v>105</v>
      </c>
      <c r="G175" t="s">
        <v>64</v>
      </c>
      <c r="H175" t="s">
        <v>259</v>
      </c>
      <c r="I175" t="s">
        <v>260</v>
      </c>
      <c r="J175" t="s">
        <v>51</v>
      </c>
      <c r="K175" t="s">
        <v>52</v>
      </c>
      <c r="L175" t="s">
        <v>1317</v>
      </c>
      <c r="M175" t="s">
        <v>54</v>
      </c>
      <c r="N175">
        <v>7</v>
      </c>
      <c r="O175">
        <v>861.91</v>
      </c>
      <c r="P175">
        <v>0.05</v>
      </c>
      <c r="Q175">
        <v>5731.7</v>
      </c>
      <c r="R175">
        <v>4115.5600000000004</v>
      </c>
      <c r="S175">
        <v>1616.14</v>
      </c>
      <c r="T175" t="s">
        <v>42</v>
      </c>
      <c r="U175" t="s">
        <v>43</v>
      </c>
      <c r="V175" t="s">
        <v>2812</v>
      </c>
      <c r="W175" t="s">
        <v>2812</v>
      </c>
      <c r="X175">
        <v>-0.58747117266059101</v>
      </c>
      <c r="Y175">
        <v>5731.7014999999992</v>
      </c>
      <c r="Z175">
        <v>1616.1414999999988</v>
      </c>
      <c r="AA175">
        <v>0.28196539893084088</v>
      </c>
      <c r="AB175">
        <v>30</v>
      </c>
      <c r="AC175" t="s">
        <v>2820</v>
      </c>
      <c r="AD175">
        <v>2024</v>
      </c>
      <c r="AE175" t="s">
        <v>2814</v>
      </c>
    </row>
    <row r="176" spans="1:31">
      <c r="A176" t="s">
        <v>1306</v>
      </c>
      <c r="B176" s="8">
        <v>45341</v>
      </c>
      <c r="C176" s="8">
        <v>45344</v>
      </c>
      <c r="D176" t="s">
        <v>1307</v>
      </c>
      <c r="E176" t="s">
        <v>99</v>
      </c>
      <c r="F176" t="s">
        <v>47</v>
      </c>
      <c r="G176" t="s">
        <v>64</v>
      </c>
      <c r="H176" t="s">
        <v>195</v>
      </c>
      <c r="I176" t="s">
        <v>196</v>
      </c>
      <c r="J176" t="s">
        <v>51</v>
      </c>
      <c r="K176" t="s">
        <v>67</v>
      </c>
      <c r="L176" t="s">
        <v>1308</v>
      </c>
      <c r="M176" t="s">
        <v>54</v>
      </c>
      <c r="N176">
        <v>9</v>
      </c>
      <c r="O176">
        <v>4053.01</v>
      </c>
      <c r="P176">
        <v>0</v>
      </c>
      <c r="Q176">
        <v>36477.089999999997</v>
      </c>
      <c r="R176">
        <v>24525.48</v>
      </c>
      <c r="S176">
        <v>11951.61</v>
      </c>
      <c r="T176" t="s">
        <v>42</v>
      </c>
      <c r="U176" t="s">
        <v>43</v>
      </c>
      <c r="V176" t="s">
        <v>2812</v>
      </c>
      <c r="W176" t="s">
        <v>2812</v>
      </c>
      <c r="X176">
        <v>-1.0661353799231277</v>
      </c>
      <c r="Y176">
        <v>36477.090000000004</v>
      </c>
      <c r="Z176">
        <v>11951.610000000004</v>
      </c>
      <c r="AA176">
        <v>0.32764702447481425</v>
      </c>
      <c r="AB176">
        <v>3</v>
      </c>
      <c r="AC176" t="s">
        <v>2815</v>
      </c>
      <c r="AD176">
        <v>2024</v>
      </c>
      <c r="AE176" t="s">
        <v>2814</v>
      </c>
    </row>
    <row r="177" spans="1:31">
      <c r="A177" t="s">
        <v>1303</v>
      </c>
      <c r="B177" s="8">
        <v>45702</v>
      </c>
      <c r="C177" s="8">
        <v>45702</v>
      </c>
      <c r="D177" t="s">
        <v>1304</v>
      </c>
      <c r="E177" t="s">
        <v>172</v>
      </c>
      <c r="F177" t="s">
        <v>34</v>
      </c>
      <c r="G177" t="s">
        <v>64</v>
      </c>
      <c r="H177" t="s">
        <v>185</v>
      </c>
      <c r="I177" t="s">
        <v>186</v>
      </c>
      <c r="J177" t="s">
        <v>38</v>
      </c>
      <c r="K177" t="s">
        <v>134</v>
      </c>
      <c r="L177" t="s">
        <v>1305</v>
      </c>
      <c r="M177" t="s">
        <v>60</v>
      </c>
      <c r="N177">
        <v>1</v>
      </c>
      <c r="O177">
        <v>714.43</v>
      </c>
      <c r="P177">
        <v>0</v>
      </c>
      <c r="Q177">
        <v>714.43</v>
      </c>
      <c r="R177">
        <v>565.44000000000005</v>
      </c>
      <c r="S177">
        <v>148.99</v>
      </c>
      <c r="T177" t="s">
        <v>42</v>
      </c>
      <c r="U177" t="s">
        <v>43</v>
      </c>
      <c r="V177" t="s">
        <v>2812</v>
      </c>
      <c r="W177" t="s">
        <v>2812</v>
      </c>
      <c r="X177">
        <v>-1.0661353799231277</v>
      </c>
      <c r="Y177">
        <v>714.43</v>
      </c>
      <c r="Z177">
        <v>148.9899999999999</v>
      </c>
      <c r="AA177">
        <v>0.20854387413742412</v>
      </c>
      <c r="AB177">
        <v>0</v>
      </c>
      <c r="AC177" t="s">
        <v>2815</v>
      </c>
      <c r="AD177">
        <v>2025</v>
      </c>
      <c r="AE177" t="s">
        <v>2814</v>
      </c>
    </row>
    <row r="178" spans="1:31">
      <c r="A178" t="s">
        <v>648</v>
      </c>
      <c r="B178" s="8">
        <v>45928</v>
      </c>
      <c r="C178" s="8">
        <v>45934</v>
      </c>
      <c r="D178" t="s">
        <v>649</v>
      </c>
      <c r="E178" t="s">
        <v>33</v>
      </c>
      <c r="F178" t="s">
        <v>47</v>
      </c>
      <c r="G178" t="s">
        <v>64</v>
      </c>
      <c r="H178" t="s">
        <v>185</v>
      </c>
      <c r="I178" t="s">
        <v>186</v>
      </c>
      <c r="J178" t="s">
        <v>51</v>
      </c>
      <c r="K178" t="s">
        <v>168</v>
      </c>
      <c r="L178" t="s">
        <v>650</v>
      </c>
      <c r="M178" t="s">
        <v>60</v>
      </c>
      <c r="N178">
        <v>6</v>
      </c>
      <c r="O178">
        <v>1620.53</v>
      </c>
      <c r="P178">
        <v>0.15</v>
      </c>
      <c r="Q178">
        <v>8264.7000000000007</v>
      </c>
      <c r="R178">
        <v>4768.75</v>
      </c>
      <c r="S178">
        <v>3495.95</v>
      </c>
      <c r="T178" t="s">
        <v>121</v>
      </c>
      <c r="U178" t="s">
        <v>113</v>
      </c>
      <c r="V178" t="s">
        <v>2812</v>
      </c>
      <c r="W178" t="s">
        <v>2812</v>
      </c>
      <c r="X178">
        <v>0.3698572418644821</v>
      </c>
      <c r="Y178">
        <v>8264.7029999999995</v>
      </c>
      <c r="Z178">
        <v>3495.9529999999995</v>
      </c>
      <c r="AA178">
        <v>0.42299801940856191</v>
      </c>
      <c r="AB178">
        <v>6</v>
      </c>
      <c r="AC178" t="s">
        <v>2822</v>
      </c>
      <c r="AD178">
        <v>2025</v>
      </c>
      <c r="AE178" t="s">
        <v>2814</v>
      </c>
    </row>
    <row r="179" spans="1:31">
      <c r="A179" t="s">
        <v>1266</v>
      </c>
      <c r="B179" s="8">
        <v>45554</v>
      </c>
      <c r="C179" s="8">
        <v>45558</v>
      </c>
      <c r="D179" t="s">
        <v>1267</v>
      </c>
      <c r="E179" t="s">
        <v>46</v>
      </c>
      <c r="F179" t="s">
        <v>47</v>
      </c>
      <c r="G179" t="s">
        <v>64</v>
      </c>
      <c r="H179" t="s">
        <v>195</v>
      </c>
      <c r="I179" t="s">
        <v>196</v>
      </c>
      <c r="J179" t="s">
        <v>38</v>
      </c>
      <c r="K179" t="s">
        <v>39</v>
      </c>
      <c r="L179" t="s">
        <v>1268</v>
      </c>
      <c r="M179" t="s">
        <v>69</v>
      </c>
      <c r="N179">
        <v>7</v>
      </c>
      <c r="O179">
        <v>1136.68</v>
      </c>
      <c r="Q179">
        <v>7956.76</v>
      </c>
      <c r="R179">
        <v>4799.54</v>
      </c>
      <c r="S179">
        <v>3157.22</v>
      </c>
      <c r="T179" t="s">
        <v>42</v>
      </c>
      <c r="U179" t="s">
        <v>43</v>
      </c>
      <c r="V179" t="s">
        <v>2812</v>
      </c>
      <c r="W179" t="s">
        <v>2812</v>
      </c>
      <c r="X179">
        <v>-1.0661353799231277</v>
      </c>
      <c r="Y179">
        <v>7956.76</v>
      </c>
      <c r="Z179">
        <v>3157.2200000000003</v>
      </c>
      <c r="AA179">
        <v>0.39679718880549369</v>
      </c>
      <c r="AB179">
        <v>4</v>
      </c>
      <c r="AC179" t="s">
        <v>2822</v>
      </c>
      <c r="AD179">
        <v>2024</v>
      </c>
      <c r="AE179" t="s">
        <v>2814</v>
      </c>
    </row>
    <row r="180" spans="1:31">
      <c r="A180" t="s">
        <v>1221</v>
      </c>
      <c r="B180" s="8">
        <v>45737</v>
      </c>
      <c r="C180" s="8">
        <v>45740</v>
      </c>
      <c r="D180" t="s">
        <v>1222</v>
      </c>
      <c r="E180" t="s">
        <v>138</v>
      </c>
      <c r="F180" t="s">
        <v>47</v>
      </c>
      <c r="G180" t="s">
        <v>64</v>
      </c>
      <c r="H180" t="s">
        <v>94</v>
      </c>
      <c r="I180" t="s">
        <v>95</v>
      </c>
      <c r="J180" t="s">
        <v>51</v>
      </c>
      <c r="K180" t="s">
        <v>76</v>
      </c>
      <c r="L180" t="s">
        <v>1223</v>
      </c>
      <c r="M180" t="s">
        <v>41</v>
      </c>
      <c r="N180">
        <v>5</v>
      </c>
      <c r="O180">
        <v>1239.1500000000001</v>
      </c>
      <c r="P180">
        <v>0</v>
      </c>
      <c r="Q180">
        <v>6195.75</v>
      </c>
      <c r="R180">
        <v>3967.02</v>
      </c>
      <c r="S180">
        <v>2228.73</v>
      </c>
      <c r="T180" t="s">
        <v>42</v>
      </c>
      <c r="U180" t="s">
        <v>43</v>
      </c>
      <c r="V180" t="s">
        <v>2812</v>
      </c>
      <c r="W180" t="s">
        <v>2812</v>
      </c>
      <c r="X180">
        <v>-1.0661353799231277</v>
      </c>
      <c r="Y180">
        <v>6195.75</v>
      </c>
      <c r="Z180">
        <v>2228.73</v>
      </c>
      <c r="AA180">
        <v>0.35971916232901585</v>
      </c>
      <c r="AB180">
        <v>3</v>
      </c>
      <c r="AC180" t="s">
        <v>2828</v>
      </c>
      <c r="AD180">
        <v>2025</v>
      </c>
      <c r="AE180" t="s">
        <v>2814</v>
      </c>
    </row>
    <row r="181" spans="1:31">
      <c r="A181" t="s">
        <v>1206</v>
      </c>
      <c r="B181" s="8">
        <v>45525</v>
      </c>
      <c r="C181" s="8">
        <v>45526</v>
      </c>
      <c r="D181" t="s">
        <v>1207</v>
      </c>
      <c r="E181" t="s">
        <v>57</v>
      </c>
      <c r="F181" t="s">
        <v>34</v>
      </c>
      <c r="G181" t="s">
        <v>64</v>
      </c>
      <c r="H181" t="s">
        <v>259</v>
      </c>
      <c r="I181" t="s">
        <v>260</v>
      </c>
      <c r="J181" t="s">
        <v>84</v>
      </c>
      <c r="K181" t="s">
        <v>181</v>
      </c>
      <c r="L181" t="s">
        <v>1208</v>
      </c>
      <c r="M181" t="s">
        <v>54</v>
      </c>
      <c r="N181">
        <v>9</v>
      </c>
      <c r="O181">
        <v>616.96</v>
      </c>
      <c r="P181">
        <v>0.1</v>
      </c>
      <c r="Q181">
        <v>4997.38</v>
      </c>
      <c r="R181">
        <v>2971.39</v>
      </c>
      <c r="S181">
        <v>2025.99</v>
      </c>
      <c r="T181" t="s">
        <v>42</v>
      </c>
      <c r="U181" t="s">
        <v>43</v>
      </c>
      <c r="V181" t="s">
        <v>2812</v>
      </c>
      <c r="W181" t="s">
        <v>2812</v>
      </c>
      <c r="X181">
        <v>-0.10880696539805437</v>
      </c>
      <c r="Y181">
        <v>4997.3760000000002</v>
      </c>
      <c r="Z181">
        <v>2025.9860000000003</v>
      </c>
      <c r="AA181">
        <v>0.40540995914656014</v>
      </c>
      <c r="AB181">
        <v>1</v>
      </c>
      <c r="AC181" t="s">
        <v>2813</v>
      </c>
      <c r="AD181">
        <v>2024</v>
      </c>
      <c r="AE181" t="s">
        <v>2814</v>
      </c>
    </row>
    <row r="182" spans="1:31">
      <c r="A182" t="s">
        <v>660</v>
      </c>
      <c r="B182" s="8">
        <v>45565</v>
      </c>
      <c r="C182" s="8">
        <v>45565</v>
      </c>
      <c r="D182" t="s">
        <v>661</v>
      </c>
      <c r="E182" t="s">
        <v>57</v>
      </c>
      <c r="F182" t="s">
        <v>100</v>
      </c>
      <c r="G182" t="s">
        <v>64</v>
      </c>
      <c r="H182" t="s">
        <v>65</v>
      </c>
      <c r="I182" t="s">
        <v>66</v>
      </c>
      <c r="J182" t="s">
        <v>38</v>
      </c>
      <c r="K182" t="s">
        <v>58</v>
      </c>
      <c r="L182" t="s">
        <v>662</v>
      </c>
      <c r="M182" t="s">
        <v>69</v>
      </c>
      <c r="N182">
        <v>4</v>
      </c>
      <c r="O182">
        <v>3281.74</v>
      </c>
      <c r="P182">
        <v>0</v>
      </c>
      <c r="Q182">
        <v>13126.96</v>
      </c>
      <c r="R182">
        <v>10732.44</v>
      </c>
      <c r="S182">
        <v>2394.52</v>
      </c>
      <c r="T182" t="s">
        <v>42</v>
      </c>
      <c r="U182" t="s">
        <v>43</v>
      </c>
      <c r="V182" t="s">
        <v>2812</v>
      </c>
      <c r="W182" t="s">
        <v>2812</v>
      </c>
      <c r="X182">
        <v>-1.0661353799231277</v>
      </c>
      <c r="Y182">
        <v>13126.96</v>
      </c>
      <c r="Z182">
        <v>2394.5199999999986</v>
      </c>
      <c r="AA182">
        <v>0.18241237879905162</v>
      </c>
      <c r="AB182">
        <v>0</v>
      </c>
      <c r="AC182" t="s">
        <v>2822</v>
      </c>
      <c r="AD182">
        <v>2024</v>
      </c>
      <c r="AE182" t="s">
        <v>2814</v>
      </c>
    </row>
    <row r="183" spans="1:31">
      <c r="A183" t="s">
        <v>663</v>
      </c>
      <c r="B183" s="8">
        <v>45366</v>
      </c>
      <c r="C183" s="8">
        <v>45370</v>
      </c>
      <c r="D183" t="s">
        <v>664</v>
      </c>
      <c r="E183" t="s">
        <v>72</v>
      </c>
      <c r="F183" t="s">
        <v>47</v>
      </c>
      <c r="G183" t="s">
        <v>64</v>
      </c>
      <c r="H183" t="s">
        <v>259</v>
      </c>
      <c r="I183" t="s">
        <v>260</v>
      </c>
      <c r="J183" t="s">
        <v>51</v>
      </c>
      <c r="K183" t="s">
        <v>67</v>
      </c>
      <c r="L183" t="s">
        <v>665</v>
      </c>
      <c r="M183" t="s">
        <v>69</v>
      </c>
      <c r="N183">
        <v>4</v>
      </c>
      <c r="O183">
        <v>3186.3</v>
      </c>
      <c r="P183">
        <v>0.25</v>
      </c>
      <c r="Q183">
        <v>9558.9</v>
      </c>
      <c r="R183">
        <v>5516.76</v>
      </c>
      <c r="S183">
        <v>4042.14</v>
      </c>
      <c r="T183" t="s">
        <v>112</v>
      </c>
      <c r="U183" t="s">
        <v>113</v>
      </c>
      <c r="V183" t="s">
        <v>2812</v>
      </c>
      <c r="W183" t="s">
        <v>2812</v>
      </c>
      <c r="X183">
        <v>1.3271856563895552</v>
      </c>
      <c r="Y183">
        <v>9558.9000000000015</v>
      </c>
      <c r="Z183">
        <v>4042.1400000000012</v>
      </c>
      <c r="AA183">
        <v>0.42286664783604816</v>
      </c>
      <c r="AB183">
        <v>4</v>
      </c>
      <c r="AC183" t="s">
        <v>2828</v>
      </c>
      <c r="AD183">
        <v>2024</v>
      </c>
      <c r="AE183" t="s">
        <v>2814</v>
      </c>
    </row>
    <row r="184" spans="1:31">
      <c r="A184" t="s">
        <v>1200</v>
      </c>
      <c r="B184" s="8">
        <v>45678</v>
      </c>
      <c r="C184" s="8">
        <v>45686</v>
      </c>
      <c r="D184" t="s">
        <v>1201</v>
      </c>
      <c r="E184" t="s">
        <v>46</v>
      </c>
      <c r="F184" t="s">
        <v>105</v>
      </c>
      <c r="G184" t="s">
        <v>64</v>
      </c>
      <c r="H184" t="s">
        <v>94</v>
      </c>
      <c r="I184" t="s">
        <v>95</v>
      </c>
      <c r="J184" t="s">
        <v>84</v>
      </c>
      <c r="K184" t="s">
        <v>286</v>
      </c>
      <c r="L184" t="s">
        <v>1202</v>
      </c>
      <c r="M184" t="s">
        <v>41</v>
      </c>
      <c r="N184">
        <v>8</v>
      </c>
      <c r="O184">
        <v>546.13</v>
      </c>
      <c r="P184">
        <v>0</v>
      </c>
      <c r="Q184">
        <v>4369.04</v>
      </c>
      <c r="R184">
        <v>3716.88</v>
      </c>
      <c r="S184">
        <v>652.16</v>
      </c>
      <c r="T184" t="s">
        <v>42</v>
      </c>
      <c r="U184" t="s">
        <v>78</v>
      </c>
      <c r="V184" t="s">
        <v>2812</v>
      </c>
      <c r="W184" t="s">
        <v>2812</v>
      </c>
      <c r="X184">
        <v>-1.0661353799231277</v>
      </c>
      <c r="Y184">
        <v>4369.04</v>
      </c>
      <c r="Z184">
        <v>652.15999999999985</v>
      </c>
      <c r="AA184">
        <v>0.14926848918755603</v>
      </c>
      <c r="AB184">
        <v>8</v>
      </c>
      <c r="AC184" t="s">
        <v>2826</v>
      </c>
      <c r="AD184">
        <v>2025</v>
      </c>
      <c r="AE184" t="s">
        <v>2824</v>
      </c>
    </row>
    <row r="185" spans="1:31">
      <c r="A185" t="s">
        <v>669</v>
      </c>
      <c r="B185" s="8">
        <v>45909</v>
      </c>
      <c r="C185" s="8">
        <v>45910</v>
      </c>
      <c r="D185" t="s">
        <v>670</v>
      </c>
      <c r="E185" t="s">
        <v>124</v>
      </c>
      <c r="F185" t="s">
        <v>105</v>
      </c>
      <c r="G185" t="s">
        <v>64</v>
      </c>
      <c r="H185" t="s">
        <v>259</v>
      </c>
      <c r="I185" t="s">
        <v>260</v>
      </c>
      <c r="J185" t="s">
        <v>38</v>
      </c>
      <c r="K185" t="s">
        <v>58</v>
      </c>
      <c r="L185" t="s">
        <v>671</v>
      </c>
      <c r="M185" t="s">
        <v>41</v>
      </c>
      <c r="N185">
        <v>4</v>
      </c>
      <c r="O185">
        <v>2551.4499999999998</v>
      </c>
      <c r="P185">
        <v>0</v>
      </c>
      <c r="Q185">
        <v>10205.799999999999</v>
      </c>
      <c r="R185">
        <v>5986.31</v>
      </c>
      <c r="S185">
        <v>4219.49</v>
      </c>
      <c r="T185" t="s">
        <v>42</v>
      </c>
      <c r="U185" t="s">
        <v>43</v>
      </c>
      <c r="V185" t="s">
        <v>2812</v>
      </c>
      <c r="W185" t="s">
        <v>2812</v>
      </c>
      <c r="X185">
        <v>-1.0661353799231277</v>
      </c>
      <c r="Y185">
        <v>10205.799999999999</v>
      </c>
      <c r="Z185">
        <v>4219.4899999999989</v>
      </c>
      <c r="AA185">
        <v>0.41344039663720622</v>
      </c>
      <c r="AB185">
        <v>1</v>
      </c>
      <c r="AC185" t="s">
        <v>2822</v>
      </c>
      <c r="AD185">
        <v>2025</v>
      </c>
      <c r="AE185" t="s">
        <v>2814</v>
      </c>
    </row>
    <row r="186" spans="1:31">
      <c r="A186" t="s">
        <v>1197</v>
      </c>
      <c r="B186" s="8">
        <v>45835</v>
      </c>
      <c r="C186" s="8">
        <v>45837</v>
      </c>
      <c r="D186" t="s">
        <v>1198</v>
      </c>
      <c r="E186" t="s">
        <v>151</v>
      </c>
      <c r="F186" t="s">
        <v>105</v>
      </c>
      <c r="G186" t="s">
        <v>64</v>
      </c>
      <c r="H186" t="s">
        <v>65</v>
      </c>
      <c r="I186" t="s">
        <v>66</v>
      </c>
      <c r="J186" t="s">
        <v>51</v>
      </c>
      <c r="K186" t="s">
        <v>76</v>
      </c>
      <c r="L186" t="s">
        <v>1199</v>
      </c>
      <c r="M186" t="s">
        <v>60</v>
      </c>
      <c r="N186">
        <v>5</v>
      </c>
      <c r="O186">
        <v>621.70000000000005</v>
      </c>
      <c r="P186">
        <v>0.2</v>
      </c>
      <c r="Q186">
        <v>2486.8000000000002</v>
      </c>
      <c r="R186">
        <v>2131.73</v>
      </c>
      <c r="S186">
        <v>355.07</v>
      </c>
      <c r="T186" t="s">
        <v>121</v>
      </c>
      <c r="U186" t="s">
        <v>113</v>
      </c>
      <c r="V186" t="s">
        <v>2812</v>
      </c>
      <c r="W186" t="s">
        <v>2812</v>
      </c>
      <c r="X186">
        <v>0.84852144912701888</v>
      </c>
      <c r="Y186">
        <v>2486.8000000000002</v>
      </c>
      <c r="Z186">
        <v>355.07000000000016</v>
      </c>
      <c r="AA186">
        <v>0.1427818883705968</v>
      </c>
      <c r="AB186">
        <v>2</v>
      </c>
      <c r="AC186" t="s">
        <v>2820</v>
      </c>
      <c r="AD186">
        <v>2025</v>
      </c>
      <c r="AE186" t="s">
        <v>2814</v>
      </c>
    </row>
    <row r="187" spans="1:31">
      <c r="A187" t="s">
        <v>675</v>
      </c>
      <c r="B187" s="8">
        <v>45832</v>
      </c>
      <c r="C187" s="8">
        <v>45835</v>
      </c>
      <c r="D187" t="s">
        <v>676</v>
      </c>
      <c r="E187" t="s">
        <v>81</v>
      </c>
      <c r="F187" t="s">
        <v>105</v>
      </c>
      <c r="G187" t="s">
        <v>64</v>
      </c>
      <c r="H187" t="s">
        <v>65</v>
      </c>
      <c r="I187" t="s">
        <v>66</v>
      </c>
      <c r="J187" t="s">
        <v>84</v>
      </c>
      <c r="K187" t="s">
        <v>90</v>
      </c>
      <c r="L187" t="s">
        <v>677</v>
      </c>
      <c r="M187" t="s">
        <v>69</v>
      </c>
      <c r="N187">
        <v>7</v>
      </c>
      <c r="O187">
        <v>2304.86</v>
      </c>
      <c r="P187">
        <v>0.2</v>
      </c>
      <c r="Q187">
        <v>12907.22</v>
      </c>
      <c r="R187">
        <v>8327.89</v>
      </c>
      <c r="S187">
        <v>4579.33</v>
      </c>
      <c r="T187" t="s">
        <v>42</v>
      </c>
      <c r="U187" t="s">
        <v>113</v>
      </c>
      <c r="V187" t="s">
        <v>2812</v>
      </c>
      <c r="W187" t="s">
        <v>2812</v>
      </c>
      <c r="X187">
        <v>0.84852144912701888</v>
      </c>
      <c r="Y187">
        <v>12907.216</v>
      </c>
      <c r="Z187">
        <v>4579.3260000000009</v>
      </c>
      <c r="AA187">
        <v>0.3547880503433119</v>
      </c>
      <c r="AB187">
        <v>3</v>
      </c>
      <c r="AC187" t="s">
        <v>2820</v>
      </c>
      <c r="AD187">
        <v>2025</v>
      </c>
      <c r="AE187" t="s">
        <v>2814</v>
      </c>
    </row>
    <row r="188" spans="1:31">
      <c r="A188" t="s">
        <v>1181</v>
      </c>
      <c r="B188" s="8">
        <v>45800</v>
      </c>
      <c r="C188" s="8">
        <v>45804</v>
      </c>
      <c r="D188" t="s">
        <v>1182</v>
      </c>
      <c r="E188" t="s">
        <v>81</v>
      </c>
      <c r="F188" t="s">
        <v>47</v>
      </c>
      <c r="G188" t="s">
        <v>64</v>
      </c>
      <c r="H188" t="s">
        <v>65</v>
      </c>
      <c r="I188" t="s">
        <v>66</v>
      </c>
      <c r="J188" t="s">
        <v>38</v>
      </c>
      <c r="K188" t="s">
        <v>134</v>
      </c>
      <c r="L188" t="s">
        <v>1183</v>
      </c>
      <c r="M188" t="s">
        <v>60</v>
      </c>
      <c r="N188">
        <v>6</v>
      </c>
      <c r="O188">
        <v>719.44</v>
      </c>
      <c r="P188">
        <v>0.25</v>
      </c>
      <c r="Q188">
        <v>3237.48</v>
      </c>
      <c r="R188">
        <v>2118.34</v>
      </c>
      <c r="S188">
        <v>1119.1400000000001</v>
      </c>
      <c r="T188" t="s">
        <v>121</v>
      </c>
      <c r="U188" t="s">
        <v>78</v>
      </c>
      <c r="V188" t="s">
        <v>2812</v>
      </c>
      <c r="W188" t="s">
        <v>2812</v>
      </c>
      <c r="X188">
        <v>1.3271856563895552</v>
      </c>
      <c r="Y188">
        <v>3237.4800000000005</v>
      </c>
      <c r="Z188">
        <v>1119.1400000000003</v>
      </c>
      <c r="AA188">
        <v>0.34568244437031276</v>
      </c>
      <c r="AB188">
        <v>4</v>
      </c>
      <c r="AC188" t="s">
        <v>2821</v>
      </c>
      <c r="AD188">
        <v>2025</v>
      </c>
      <c r="AE188" t="s">
        <v>2824</v>
      </c>
    </row>
    <row r="189" spans="1:31">
      <c r="A189" t="s">
        <v>1172</v>
      </c>
      <c r="B189" s="8">
        <v>45328</v>
      </c>
      <c r="C189" s="8">
        <v>45479</v>
      </c>
      <c r="D189" t="s">
        <v>1173</v>
      </c>
      <c r="E189" t="s">
        <v>138</v>
      </c>
      <c r="F189" t="s">
        <v>100</v>
      </c>
      <c r="G189" t="s">
        <v>64</v>
      </c>
      <c r="H189" t="s">
        <v>185</v>
      </c>
      <c r="I189" t="s">
        <v>186</v>
      </c>
      <c r="J189" t="s">
        <v>84</v>
      </c>
      <c r="K189" t="s">
        <v>181</v>
      </c>
      <c r="L189" t="s">
        <v>1174</v>
      </c>
      <c r="M189" t="s">
        <v>54</v>
      </c>
      <c r="N189">
        <v>9</v>
      </c>
      <c r="O189">
        <v>2860.26</v>
      </c>
      <c r="P189">
        <v>0.25</v>
      </c>
      <c r="Q189">
        <v>19306.759999999998</v>
      </c>
      <c r="R189">
        <v>14442.38</v>
      </c>
      <c r="S189">
        <v>4864.38</v>
      </c>
      <c r="T189" t="s">
        <v>42</v>
      </c>
      <c r="U189" t="s">
        <v>43</v>
      </c>
      <c r="V189" t="s">
        <v>2812</v>
      </c>
      <c r="W189" t="s">
        <v>2812</v>
      </c>
      <c r="X189">
        <v>1.3271856563895552</v>
      </c>
      <c r="Y189">
        <v>19306.755000000005</v>
      </c>
      <c r="Z189">
        <v>4864.3750000000055</v>
      </c>
      <c r="AA189">
        <v>0.25195197225012717</v>
      </c>
      <c r="AB189">
        <v>151</v>
      </c>
      <c r="AC189" t="s">
        <v>2815</v>
      </c>
      <c r="AD189">
        <v>2024</v>
      </c>
      <c r="AE189" t="s">
        <v>2814</v>
      </c>
    </row>
    <row r="190" spans="1:31">
      <c r="A190" t="s">
        <v>684</v>
      </c>
      <c r="B190" s="8">
        <v>45492</v>
      </c>
      <c r="C190" s="8">
        <v>45493</v>
      </c>
      <c r="D190" t="s">
        <v>275</v>
      </c>
      <c r="E190" t="s">
        <v>81</v>
      </c>
      <c r="F190" t="s">
        <v>34</v>
      </c>
      <c r="G190" t="s">
        <v>64</v>
      </c>
      <c r="H190" t="s">
        <v>259</v>
      </c>
      <c r="I190" t="s">
        <v>260</v>
      </c>
      <c r="J190" t="s">
        <v>51</v>
      </c>
      <c r="K190" t="s">
        <v>52</v>
      </c>
      <c r="L190" t="s">
        <v>685</v>
      </c>
      <c r="M190" t="s">
        <v>60</v>
      </c>
      <c r="N190">
        <v>7</v>
      </c>
      <c r="O190">
        <v>3608.43</v>
      </c>
      <c r="P190">
        <v>0.05</v>
      </c>
      <c r="Q190">
        <v>23996.06</v>
      </c>
      <c r="R190">
        <v>20167.28</v>
      </c>
      <c r="S190">
        <v>3828.78</v>
      </c>
      <c r="T190" t="s">
        <v>42</v>
      </c>
      <c r="U190" t="s">
        <v>43</v>
      </c>
      <c r="V190" t="s">
        <v>2812</v>
      </c>
      <c r="W190" t="s">
        <v>2812</v>
      </c>
      <c r="X190">
        <v>-0.58747117266059101</v>
      </c>
      <c r="Y190">
        <v>23996.059499999996</v>
      </c>
      <c r="Z190">
        <v>3828.7794999999969</v>
      </c>
      <c r="AA190">
        <v>0.15955867670689838</v>
      </c>
      <c r="AB190">
        <v>1</v>
      </c>
      <c r="AC190" t="s">
        <v>2829</v>
      </c>
      <c r="AD190">
        <v>2024</v>
      </c>
      <c r="AE190" t="s">
        <v>2814</v>
      </c>
    </row>
    <row r="191" spans="1:31">
      <c r="A191" t="s">
        <v>1166</v>
      </c>
      <c r="B191" s="8">
        <v>45860</v>
      </c>
      <c r="C191" s="8">
        <v>45866</v>
      </c>
      <c r="D191" t="s">
        <v>1167</v>
      </c>
      <c r="E191" t="s">
        <v>128</v>
      </c>
      <c r="F191" t="s">
        <v>100</v>
      </c>
      <c r="G191" t="s">
        <v>64</v>
      </c>
      <c r="H191" t="s">
        <v>195</v>
      </c>
      <c r="I191" t="s">
        <v>196</v>
      </c>
      <c r="J191" t="s">
        <v>51</v>
      </c>
      <c r="K191" t="s">
        <v>76</v>
      </c>
      <c r="L191" t="s">
        <v>1168</v>
      </c>
      <c r="M191" t="s">
        <v>41</v>
      </c>
      <c r="N191">
        <v>6</v>
      </c>
      <c r="O191">
        <v>1607.46</v>
      </c>
      <c r="P191">
        <v>0.2</v>
      </c>
      <c r="Q191">
        <v>7715.81</v>
      </c>
      <c r="R191">
        <v>4258.42</v>
      </c>
      <c r="S191">
        <v>3457.39</v>
      </c>
      <c r="T191" t="s">
        <v>42</v>
      </c>
      <c r="U191" t="s">
        <v>43</v>
      </c>
      <c r="V191" t="s">
        <v>2812</v>
      </c>
      <c r="W191" t="s">
        <v>2812</v>
      </c>
      <c r="X191">
        <v>0.84852144912701888</v>
      </c>
      <c r="Y191">
        <v>7715.8080000000009</v>
      </c>
      <c r="Z191">
        <v>3457.3880000000008</v>
      </c>
      <c r="AA191">
        <v>0.4480915025360922</v>
      </c>
      <c r="AB191">
        <v>6</v>
      </c>
      <c r="AC191" t="s">
        <v>2829</v>
      </c>
      <c r="AD191">
        <v>2025</v>
      </c>
      <c r="AE191" t="s">
        <v>2814</v>
      </c>
    </row>
    <row r="192" spans="1:31">
      <c r="A192" t="s">
        <v>1148</v>
      </c>
      <c r="B192" s="8">
        <v>45312</v>
      </c>
      <c r="C192" s="8">
        <v>45320</v>
      </c>
      <c r="D192" t="s">
        <v>1149</v>
      </c>
      <c r="E192" t="s">
        <v>89</v>
      </c>
      <c r="F192" t="s">
        <v>34</v>
      </c>
      <c r="G192" t="s">
        <v>64</v>
      </c>
      <c r="H192" t="s">
        <v>185</v>
      </c>
      <c r="I192" t="s">
        <v>186</v>
      </c>
      <c r="J192" t="s">
        <v>38</v>
      </c>
      <c r="K192" t="s">
        <v>163</v>
      </c>
      <c r="L192" t="s">
        <v>1150</v>
      </c>
      <c r="M192" t="s">
        <v>69</v>
      </c>
      <c r="N192">
        <v>5</v>
      </c>
      <c r="O192">
        <v>4058.08</v>
      </c>
      <c r="P192">
        <v>0.1</v>
      </c>
      <c r="Q192">
        <v>18261.36</v>
      </c>
      <c r="R192">
        <v>11399.94</v>
      </c>
      <c r="S192">
        <v>6861.42</v>
      </c>
      <c r="T192" t="s">
        <v>42</v>
      </c>
      <c r="U192" t="s">
        <v>43</v>
      </c>
      <c r="V192" t="s">
        <v>2812</v>
      </c>
      <c r="W192" t="s">
        <v>2812</v>
      </c>
      <c r="X192">
        <v>-0.10880696539805437</v>
      </c>
      <c r="Y192">
        <v>18261.36</v>
      </c>
      <c r="Z192">
        <v>6861.42</v>
      </c>
      <c r="AA192">
        <v>0.3757343374206521</v>
      </c>
      <c r="AB192">
        <v>8</v>
      </c>
      <c r="AC192" t="s">
        <v>2826</v>
      </c>
      <c r="AD192">
        <v>2024</v>
      </c>
      <c r="AE192" t="s">
        <v>2814</v>
      </c>
    </row>
    <row r="193" spans="1:31">
      <c r="A193" t="s">
        <v>1142</v>
      </c>
      <c r="B193" s="8">
        <v>45634</v>
      </c>
      <c r="C193" s="8">
        <v>45516</v>
      </c>
      <c r="D193" t="s">
        <v>1143</v>
      </c>
      <c r="E193" t="s">
        <v>63</v>
      </c>
      <c r="F193" t="s">
        <v>47</v>
      </c>
      <c r="G193" t="s">
        <v>64</v>
      </c>
      <c r="H193" t="s">
        <v>94</v>
      </c>
      <c r="I193" t="s">
        <v>95</v>
      </c>
      <c r="J193" t="s">
        <v>84</v>
      </c>
      <c r="K193" t="s">
        <v>85</v>
      </c>
      <c r="L193" t="s">
        <v>1144</v>
      </c>
      <c r="M193" t="s">
        <v>60</v>
      </c>
      <c r="N193">
        <v>8</v>
      </c>
      <c r="O193">
        <v>4402.3599999999997</v>
      </c>
      <c r="P193">
        <v>0.25</v>
      </c>
      <c r="Q193">
        <v>26414.16</v>
      </c>
      <c r="R193">
        <v>21822.53</v>
      </c>
      <c r="S193">
        <v>4591.63</v>
      </c>
      <c r="T193" t="s">
        <v>42</v>
      </c>
      <c r="U193" t="s">
        <v>43</v>
      </c>
      <c r="V193" t="s">
        <v>2812</v>
      </c>
      <c r="W193" t="s">
        <v>2818</v>
      </c>
      <c r="X193">
        <v>1.3271856563895552</v>
      </c>
      <c r="Y193">
        <v>26414.159999999996</v>
      </c>
      <c r="Z193">
        <v>4591.6299999999974</v>
      </c>
      <c r="AA193">
        <v>0.17383214154832097</v>
      </c>
      <c r="AB193" t="e">
        <v>#NUM!</v>
      </c>
      <c r="AC193" t="s">
        <v>2816</v>
      </c>
      <c r="AD193">
        <v>2024</v>
      </c>
      <c r="AE193" t="s">
        <v>2819</v>
      </c>
    </row>
    <row r="194" spans="1:31">
      <c r="A194" t="s">
        <v>696</v>
      </c>
      <c r="B194" s="8">
        <v>45767</v>
      </c>
      <c r="C194" s="8">
        <v>45768</v>
      </c>
      <c r="D194" t="s">
        <v>697</v>
      </c>
      <c r="E194" t="s">
        <v>99</v>
      </c>
      <c r="F194" t="s">
        <v>34</v>
      </c>
      <c r="G194" t="s">
        <v>64</v>
      </c>
      <c r="H194" t="s">
        <v>259</v>
      </c>
      <c r="I194" t="s">
        <v>260</v>
      </c>
      <c r="J194" t="s">
        <v>38</v>
      </c>
      <c r="K194" t="s">
        <v>134</v>
      </c>
      <c r="L194" t="s">
        <v>698</v>
      </c>
      <c r="M194" t="s">
        <v>60</v>
      </c>
      <c r="N194">
        <v>3</v>
      </c>
      <c r="O194">
        <v>540.09</v>
      </c>
      <c r="P194">
        <v>0.1</v>
      </c>
      <c r="Q194">
        <v>1458.24</v>
      </c>
      <c r="R194">
        <v>943.32</v>
      </c>
      <c r="S194">
        <v>514.91999999999996</v>
      </c>
      <c r="T194" t="s">
        <v>42</v>
      </c>
      <c r="U194" t="s">
        <v>43</v>
      </c>
      <c r="V194" t="s">
        <v>2812</v>
      </c>
      <c r="W194" t="s">
        <v>2812</v>
      </c>
      <c r="X194">
        <v>-0.10880696539805437</v>
      </c>
      <c r="Y194">
        <v>1458.2429999999999</v>
      </c>
      <c r="Z194">
        <v>514.92299999999989</v>
      </c>
      <c r="AA194">
        <v>0.35311192990468659</v>
      </c>
      <c r="AB194">
        <v>1</v>
      </c>
      <c r="AC194" t="s">
        <v>2825</v>
      </c>
      <c r="AD194">
        <v>2025</v>
      </c>
      <c r="AE194" t="s">
        <v>2814</v>
      </c>
    </row>
    <row r="195" spans="1:31">
      <c r="A195" t="s">
        <v>699</v>
      </c>
      <c r="B195" s="8">
        <v>45584</v>
      </c>
      <c r="C195" s="8">
        <v>45589</v>
      </c>
      <c r="D195" t="s">
        <v>700</v>
      </c>
      <c r="E195" t="s">
        <v>142</v>
      </c>
      <c r="F195" t="s">
        <v>47</v>
      </c>
      <c r="G195" t="s">
        <v>64</v>
      </c>
      <c r="H195" t="s">
        <v>259</v>
      </c>
      <c r="I195" t="s">
        <v>260</v>
      </c>
      <c r="J195" t="s">
        <v>51</v>
      </c>
      <c r="K195" t="s">
        <v>168</v>
      </c>
      <c r="L195" t="s">
        <v>701</v>
      </c>
      <c r="M195" t="s">
        <v>41</v>
      </c>
      <c r="N195">
        <v>6</v>
      </c>
      <c r="O195">
        <v>4308.3999999999996</v>
      </c>
      <c r="P195">
        <v>0.65</v>
      </c>
      <c r="Q195">
        <v>25850.400000000001</v>
      </c>
      <c r="R195">
        <v>19397.68</v>
      </c>
      <c r="S195">
        <v>6452.72</v>
      </c>
      <c r="T195" t="s">
        <v>42</v>
      </c>
      <c r="U195" t="s">
        <v>43</v>
      </c>
      <c r="V195" t="s">
        <v>2827</v>
      </c>
      <c r="W195" t="s">
        <v>2812</v>
      </c>
      <c r="X195">
        <v>5.1564993144898486</v>
      </c>
      <c r="Y195">
        <v>9047.64</v>
      </c>
      <c r="Z195">
        <v>-10350.040000000001</v>
      </c>
      <c r="AA195">
        <v>-1.1439491403283069</v>
      </c>
      <c r="AB195">
        <v>5</v>
      </c>
      <c r="AC195" t="s">
        <v>2823</v>
      </c>
      <c r="AD195">
        <v>2024</v>
      </c>
      <c r="AE195" t="s">
        <v>2819</v>
      </c>
    </row>
    <row r="196" spans="1:31">
      <c r="A196" t="s">
        <v>1124</v>
      </c>
      <c r="B196" s="8">
        <v>45804</v>
      </c>
      <c r="C196" s="8">
        <v>45805</v>
      </c>
      <c r="D196" t="s">
        <v>1125</v>
      </c>
      <c r="E196" t="s">
        <v>138</v>
      </c>
      <c r="F196" t="s">
        <v>34</v>
      </c>
      <c r="G196" t="s">
        <v>64</v>
      </c>
      <c r="H196" t="s">
        <v>94</v>
      </c>
      <c r="I196" t="s">
        <v>95</v>
      </c>
      <c r="J196" t="s">
        <v>84</v>
      </c>
      <c r="K196" t="s">
        <v>286</v>
      </c>
      <c r="L196" t="s">
        <v>1127</v>
      </c>
      <c r="M196" t="s">
        <v>41</v>
      </c>
      <c r="N196">
        <v>2</v>
      </c>
      <c r="O196">
        <v>3911.96</v>
      </c>
      <c r="P196">
        <v>0</v>
      </c>
      <c r="Q196">
        <v>7823.92</v>
      </c>
      <c r="R196">
        <v>6034.63</v>
      </c>
      <c r="S196">
        <v>1789.29</v>
      </c>
      <c r="T196" t="s">
        <v>42</v>
      </c>
      <c r="U196" t="s">
        <v>43</v>
      </c>
      <c r="V196" t="s">
        <v>2812</v>
      </c>
      <c r="W196" t="s">
        <v>2812</v>
      </c>
      <c r="X196">
        <v>-1.0661353799231277</v>
      </c>
      <c r="Y196">
        <v>7823.92</v>
      </c>
      <c r="Z196">
        <v>1789.29</v>
      </c>
      <c r="AA196">
        <v>0.22869482305545047</v>
      </c>
      <c r="AB196">
        <v>1</v>
      </c>
      <c r="AC196" t="s">
        <v>2821</v>
      </c>
      <c r="AD196">
        <v>2025</v>
      </c>
      <c r="AE196" t="s">
        <v>2814</v>
      </c>
    </row>
    <row r="197" spans="1:31">
      <c r="A197" t="s">
        <v>1100</v>
      </c>
      <c r="B197" s="8">
        <v>45869</v>
      </c>
      <c r="C197" s="8">
        <v>45871</v>
      </c>
      <c r="D197" t="s">
        <v>1101</v>
      </c>
      <c r="E197" t="s">
        <v>151</v>
      </c>
      <c r="F197" t="s">
        <v>105</v>
      </c>
      <c r="G197" t="s">
        <v>64</v>
      </c>
      <c r="H197" t="s">
        <v>94</v>
      </c>
      <c r="I197" t="s">
        <v>95</v>
      </c>
      <c r="J197" t="s">
        <v>38</v>
      </c>
      <c r="K197" t="s">
        <v>101</v>
      </c>
      <c r="L197" t="s">
        <v>1102</v>
      </c>
      <c r="M197" t="s">
        <v>54</v>
      </c>
      <c r="N197">
        <v>1</v>
      </c>
      <c r="O197">
        <v>1947.88</v>
      </c>
      <c r="P197">
        <v>0.15</v>
      </c>
      <c r="Q197">
        <v>1655.7</v>
      </c>
      <c r="R197">
        <v>1354.8</v>
      </c>
      <c r="S197">
        <v>300.89999999999998</v>
      </c>
      <c r="T197" t="s">
        <v>42</v>
      </c>
      <c r="U197" t="s">
        <v>113</v>
      </c>
      <c r="V197" t="s">
        <v>2812</v>
      </c>
      <c r="W197" t="s">
        <v>2812</v>
      </c>
      <c r="X197">
        <v>0.3698572418644821</v>
      </c>
      <c r="Y197">
        <v>1655.6980000000001</v>
      </c>
      <c r="Z197">
        <v>300.89800000000014</v>
      </c>
      <c r="AA197">
        <v>0.1817348332848141</v>
      </c>
      <c r="AB197">
        <v>2</v>
      </c>
      <c r="AC197" t="s">
        <v>2829</v>
      </c>
      <c r="AD197">
        <v>2025</v>
      </c>
      <c r="AE197" t="s">
        <v>2814</v>
      </c>
    </row>
    <row r="198" spans="1:31">
      <c r="A198" t="s">
        <v>1083</v>
      </c>
      <c r="B198" s="8">
        <v>45407</v>
      </c>
      <c r="C198" s="8">
        <v>45412</v>
      </c>
      <c r="D198" t="s">
        <v>1084</v>
      </c>
      <c r="E198" t="s">
        <v>46</v>
      </c>
      <c r="F198" t="s">
        <v>47</v>
      </c>
      <c r="G198" t="s">
        <v>64</v>
      </c>
      <c r="H198" t="s">
        <v>185</v>
      </c>
      <c r="I198" t="s">
        <v>186</v>
      </c>
      <c r="J198" t="s">
        <v>84</v>
      </c>
      <c r="K198" t="s">
        <v>181</v>
      </c>
      <c r="L198" t="s">
        <v>1085</v>
      </c>
      <c r="M198" t="s">
        <v>69</v>
      </c>
      <c r="N198">
        <v>3</v>
      </c>
      <c r="O198">
        <v>4149.46</v>
      </c>
      <c r="P198">
        <v>0.1</v>
      </c>
      <c r="Q198">
        <v>11203.54</v>
      </c>
      <c r="R198">
        <v>8452.93</v>
      </c>
      <c r="S198">
        <v>2750.61</v>
      </c>
      <c r="T198" t="s">
        <v>42</v>
      </c>
      <c r="U198" t="s">
        <v>43</v>
      </c>
      <c r="V198" t="s">
        <v>2812</v>
      </c>
      <c r="W198" t="s">
        <v>2812</v>
      </c>
      <c r="X198">
        <v>-0.10880696539805437</v>
      </c>
      <c r="Y198">
        <v>11203.542000000001</v>
      </c>
      <c r="Z198">
        <v>2750.612000000001</v>
      </c>
      <c r="AA198">
        <v>0.24551271374713468</v>
      </c>
      <c r="AB198">
        <v>5</v>
      </c>
      <c r="AC198" t="s">
        <v>2825</v>
      </c>
      <c r="AD198">
        <v>2024</v>
      </c>
      <c r="AE198" t="s">
        <v>2814</v>
      </c>
    </row>
    <row r="199" spans="1:31">
      <c r="A199" t="s">
        <v>712</v>
      </c>
      <c r="B199" s="8">
        <v>45860</v>
      </c>
      <c r="C199" s="8">
        <v>45862</v>
      </c>
      <c r="D199" t="s">
        <v>713</v>
      </c>
      <c r="E199" t="s">
        <v>89</v>
      </c>
      <c r="F199" t="s">
        <v>105</v>
      </c>
      <c r="G199" t="s">
        <v>64</v>
      </c>
      <c r="H199" t="s">
        <v>94</v>
      </c>
      <c r="I199" t="s">
        <v>95</v>
      </c>
      <c r="J199" t="s">
        <v>51</v>
      </c>
      <c r="K199" t="s">
        <v>67</v>
      </c>
      <c r="L199" t="s">
        <v>714</v>
      </c>
      <c r="M199" t="s">
        <v>54</v>
      </c>
      <c r="N199">
        <v>5</v>
      </c>
      <c r="O199">
        <v>1922.83</v>
      </c>
      <c r="P199">
        <v>0</v>
      </c>
      <c r="Q199">
        <v>9614.15</v>
      </c>
      <c r="R199">
        <v>7576.84</v>
      </c>
      <c r="S199">
        <v>2037.31</v>
      </c>
      <c r="T199" t="s">
        <v>42</v>
      </c>
      <c r="U199" t="s">
        <v>43</v>
      </c>
      <c r="V199" t="s">
        <v>2812</v>
      </c>
      <c r="W199" t="s">
        <v>2812</v>
      </c>
      <c r="X199">
        <v>-1.0661353799231277</v>
      </c>
      <c r="Y199">
        <v>9614.15</v>
      </c>
      <c r="Z199">
        <v>2037.3099999999995</v>
      </c>
      <c r="AA199">
        <v>0.21190744891644084</v>
      </c>
      <c r="AB199">
        <v>2</v>
      </c>
      <c r="AC199" t="s">
        <v>2829</v>
      </c>
      <c r="AD199">
        <v>2025</v>
      </c>
      <c r="AE199" t="s">
        <v>2814</v>
      </c>
    </row>
    <row r="200" spans="1:31">
      <c r="A200" t="s">
        <v>1080</v>
      </c>
      <c r="B200" s="8">
        <v>45898</v>
      </c>
      <c r="C200" s="8">
        <v>45904</v>
      </c>
      <c r="D200" t="s">
        <v>1081</v>
      </c>
      <c r="E200" t="s">
        <v>89</v>
      </c>
      <c r="F200" t="s">
        <v>100</v>
      </c>
      <c r="G200" t="s">
        <v>64</v>
      </c>
      <c r="H200" t="s">
        <v>195</v>
      </c>
      <c r="I200" t="s">
        <v>196</v>
      </c>
      <c r="J200" t="s">
        <v>51</v>
      </c>
      <c r="K200" t="s">
        <v>52</v>
      </c>
      <c r="L200" t="s">
        <v>1082</v>
      </c>
      <c r="M200" t="s">
        <v>60</v>
      </c>
      <c r="N200">
        <v>9</v>
      </c>
      <c r="O200">
        <v>2996.97</v>
      </c>
      <c r="P200">
        <v>0.15</v>
      </c>
      <c r="Q200">
        <v>22926.82</v>
      </c>
      <c r="R200">
        <v>14621.59</v>
      </c>
      <c r="S200">
        <v>8305.23</v>
      </c>
      <c r="T200" t="s">
        <v>42</v>
      </c>
      <c r="U200" t="s">
        <v>43</v>
      </c>
      <c r="V200" t="s">
        <v>2812</v>
      </c>
      <c r="W200" t="s">
        <v>2812</v>
      </c>
      <c r="X200">
        <v>0.3698572418644821</v>
      </c>
      <c r="Y200">
        <v>22926.820499999998</v>
      </c>
      <c r="Z200">
        <v>8305.2304999999978</v>
      </c>
      <c r="AA200">
        <v>0.36224955396671765</v>
      </c>
      <c r="AB200">
        <v>6</v>
      </c>
      <c r="AC200" t="s">
        <v>2813</v>
      </c>
      <c r="AD200">
        <v>2025</v>
      </c>
      <c r="AE200" t="s">
        <v>2814</v>
      </c>
    </row>
    <row r="201" spans="1:31">
      <c r="A201" t="s">
        <v>1062</v>
      </c>
      <c r="B201" s="8">
        <v>45409</v>
      </c>
      <c r="C201" s="8">
        <v>45414</v>
      </c>
      <c r="D201" t="s">
        <v>1063</v>
      </c>
      <c r="E201" t="s">
        <v>46</v>
      </c>
      <c r="F201" t="s">
        <v>100</v>
      </c>
      <c r="G201" t="s">
        <v>64</v>
      </c>
      <c r="H201" t="s">
        <v>185</v>
      </c>
      <c r="I201" t="s">
        <v>186</v>
      </c>
      <c r="J201" t="s">
        <v>38</v>
      </c>
      <c r="K201" t="s">
        <v>163</v>
      </c>
      <c r="L201" t="s">
        <v>1064</v>
      </c>
      <c r="M201" t="s">
        <v>41</v>
      </c>
      <c r="N201">
        <v>5</v>
      </c>
      <c r="O201">
        <v>554.04</v>
      </c>
      <c r="P201">
        <v>0.1</v>
      </c>
      <c r="Q201">
        <v>2493.1799999999998</v>
      </c>
      <c r="R201">
        <v>1764</v>
      </c>
      <c r="S201">
        <v>729.18</v>
      </c>
      <c r="T201" t="s">
        <v>42</v>
      </c>
      <c r="U201" t="s">
        <v>43</v>
      </c>
      <c r="V201" t="s">
        <v>2812</v>
      </c>
      <c r="W201" t="s">
        <v>2812</v>
      </c>
      <c r="X201">
        <v>-0.10880696539805437</v>
      </c>
      <c r="Y201">
        <v>2493.1799999999998</v>
      </c>
      <c r="Z201">
        <v>729.17999999999984</v>
      </c>
      <c r="AA201">
        <v>0.29246985777200196</v>
      </c>
      <c r="AB201">
        <v>5</v>
      </c>
      <c r="AC201" t="s">
        <v>2825</v>
      </c>
      <c r="AD201">
        <v>2024</v>
      </c>
      <c r="AE201" t="s">
        <v>2814</v>
      </c>
    </row>
    <row r="202" spans="1:31">
      <c r="A202" t="s">
        <v>1059</v>
      </c>
      <c r="B202" s="8">
        <v>45477</v>
      </c>
      <c r="C202" s="8">
        <v>45481</v>
      </c>
      <c r="D202" t="s">
        <v>1060</v>
      </c>
      <c r="E202" t="s">
        <v>151</v>
      </c>
      <c r="F202" t="s">
        <v>47</v>
      </c>
      <c r="G202" t="s">
        <v>64</v>
      </c>
      <c r="H202" t="s">
        <v>259</v>
      </c>
      <c r="I202" t="s">
        <v>260</v>
      </c>
      <c r="J202" t="s">
        <v>84</v>
      </c>
      <c r="K202" t="s">
        <v>286</v>
      </c>
      <c r="L202" t="s">
        <v>1061</v>
      </c>
      <c r="M202" t="s">
        <v>60</v>
      </c>
      <c r="N202">
        <v>8</v>
      </c>
      <c r="O202">
        <v>2034.25</v>
      </c>
      <c r="P202">
        <v>0</v>
      </c>
      <c r="Q202">
        <v>16274</v>
      </c>
      <c r="R202">
        <v>9424.25</v>
      </c>
      <c r="S202">
        <v>6849.75</v>
      </c>
      <c r="T202" t="s">
        <v>42</v>
      </c>
      <c r="U202" t="s">
        <v>43</v>
      </c>
      <c r="V202" t="s">
        <v>2812</v>
      </c>
      <c r="W202" t="s">
        <v>2812</v>
      </c>
      <c r="X202">
        <v>-1.0661353799231277</v>
      </c>
      <c r="Y202">
        <v>16274</v>
      </c>
      <c r="Z202">
        <v>6849.75</v>
      </c>
      <c r="AA202">
        <v>0.42090143787636719</v>
      </c>
      <c r="AB202">
        <v>4</v>
      </c>
      <c r="AC202" t="s">
        <v>2829</v>
      </c>
      <c r="AD202">
        <v>2024</v>
      </c>
      <c r="AE202" t="s">
        <v>2814</v>
      </c>
    </row>
    <row r="203" spans="1:31">
      <c r="A203" t="s">
        <v>1056</v>
      </c>
      <c r="B203" s="8">
        <v>45493</v>
      </c>
      <c r="C203" s="8">
        <v>45495</v>
      </c>
      <c r="D203" t="s">
        <v>1057</v>
      </c>
      <c r="E203" t="s">
        <v>72</v>
      </c>
      <c r="F203" t="s">
        <v>34</v>
      </c>
      <c r="G203" t="s">
        <v>64</v>
      </c>
      <c r="H203" t="s">
        <v>259</v>
      </c>
      <c r="I203" t="s">
        <v>260</v>
      </c>
      <c r="J203" t="s">
        <v>51</v>
      </c>
      <c r="K203" t="s">
        <v>52</v>
      </c>
      <c r="L203" t="s">
        <v>1058</v>
      </c>
      <c r="M203" t="s">
        <v>60</v>
      </c>
      <c r="N203">
        <v>7</v>
      </c>
      <c r="O203">
        <v>2060.73</v>
      </c>
      <c r="P203">
        <v>0.1</v>
      </c>
      <c r="Q203">
        <v>12982.6</v>
      </c>
      <c r="R203">
        <v>7246.36</v>
      </c>
      <c r="S203">
        <v>5736.24</v>
      </c>
      <c r="T203" t="s">
        <v>42</v>
      </c>
      <c r="U203" t="s">
        <v>78</v>
      </c>
      <c r="V203" t="s">
        <v>2812</v>
      </c>
      <c r="W203" t="s">
        <v>2812</v>
      </c>
      <c r="X203">
        <v>-0.10880696539805437</v>
      </c>
      <c r="Y203">
        <v>12982.599</v>
      </c>
      <c r="Z203">
        <v>5736.2390000000005</v>
      </c>
      <c r="AA203">
        <v>0.441840574448922</v>
      </c>
      <c r="AB203">
        <v>2</v>
      </c>
      <c r="AC203" t="s">
        <v>2829</v>
      </c>
      <c r="AD203">
        <v>2024</v>
      </c>
      <c r="AE203" t="s">
        <v>2824</v>
      </c>
    </row>
    <row r="204" spans="1:31">
      <c r="A204" t="s">
        <v>1022</v>
      </c>
      <c r="B204" s="8">
        <v>45680</v>
      </c>
      <c r="C204" s="8">
        <v>45683</v>
      </c>
      <c r="D204" t="s">
        <v>1023</v>
      </c>
      <c r="E204" t="s">
        <v>57</v>
      </c>
      <c r="F204" t="s">
        <v>34</v>
      </c>
      <c r="G204" t="s">
        <v>64</v>
      </c>
      <c r="H204" t="s">
        <v>195</v>
      </c>
      <c r="I204" t="s">
        <v>196</v>
      </c>
      <c r="J204" t="s">
        <v>84</v>
      </c>
      <c r="K204" t="s">
        <v>90</v>
      </c>
      <c r="L204" t="s">
        <v>1024</v>
      </c>
      <c r="M204" t="s">
        <v>60</v>
      </c>
      <c r="N204">
        <v>7</v>
      </c>
      <c r="O204">
        <v>348.49</v>
      </c>
      <c r="P204">
        <v>0.2</v>
      </c>
      <c r="Q204">
        <v>1951.54</v>
      </c>
      <c r="R204">
        <v>1609.95</v>
      </c>
      <c r="S204">
        <v>341.59</v>
      </c>
      <c r="T204" t="s">
        <v>165</v>
      </c>
      <c r="U204" t="s">
        <v>113</v>
      </c>
      <c r="V204" t="s">
        <v>2812</v>
      </c>
      <c r="W204" t="s">
        <v>2812</v>
      </c>
      <c r="X204">
        <v>0.84852144912701888</v>
      </c>
      <c r="Y204">
        <v>1951.5440000000003</v>
      </c>
      <c r="Z204">
        <v>341.59400000000028</v>
      </c>
      <c r="AA204">
        <v>0.17503781621116421</v>
      </c>
      <c r="AB204">
        <v>3</v>
      </c>
      <c r="AC204" t="s">
        <v>2826</v>
      </c>
      <c r="AD204">
        <v>2025</v>
      </c>
      <c r="AE204" t="s">
        <v>2814</v>
      </c>
    </row>
    <row r="205" spans="1:31">
      <c r="A205" t="s">
        <v>1019</v>
      </c>
      <c r="B205" s="8">
        <v>45594</v>
      </c>
      <c r="C205" s="8">
        <v>45602</v>
      </c>
      <c r="D205" t="s">
        <v>1020</v>
      </c>
      <c r="E205" t="s">
        <v>142</v>
      </c>
      <c r="F205" t="s">
        <v>100</v>
      </c>
      <c r="G205" t="s">
        <v>64</v>
      </c>
      <c r="H205" t="s">
        <v>259</v>
      </c>
      <c r="I205" t="s">
        <v>260</v>
      </c>
      <c r="J205" t="s">
        <v>84</v>
      </c>
      <c r="K205" t="s">
        <v>90</v>
      </c>
      <c r="L205" t="s">
        <v>1021</v>
      </c>
      <c r="M205" t="s">
        <v>54</v>
      </c>
      <c r="N205">
        <v>6</v>
      </c>
      <c r="O205">
        <v>1169.92</v>
      </c>
      <c r="P205">
        <v>0.15</v>
      </c>
      <c r="Q205">
        <v>5966.59</v>
      </c>
      <c r="R205">
        <v>3994.72</v>
      </c>
      <c r="S205">
        <v>1971.87</v>
      </c>
      <c r="T205" t="s">
        <v>42</v>
      </c>
      <c r="U205" t="s">
        <v>43</v>
      </c>
      <c r="V205" t="s">
        <v>2812</v>
      </c>
      <c r="W205" t="s">
        <v>2812</v>
      </c>
      <c r="X205">
        <v>0.3698572418644821</v>
      </c>
      <c r="Y205">
        <v>5966.5920000000006</v>
      </c>
      <c r="Z205">
        <v>1971.8720000000008</v>
      </c>
      <c r="AA205">
        <v>0.33048547646629778</v>
      </c>
      <c r="AB205">
        <v>8</v>
      </c>
      <c r="AC205" t="s">
        <v>2823</v>
      </c>
      <c r="AD205">
        <v>2024</v>
      </c>
      <c r="AE205" t="s">
        <v>2814</v>
      </c>
    </row>
    <row r="206" spans="1:31">
      <c r="A206" t="s">
        <v>1007</v>
      </c>
      <c r="B206" s="8">
        <v>45476</v>
      </c>
      <c r="C206" s="8">
        <v>45362</v>
      </c>
      <c r="D206" t="s">
        <v>1008</v>
      </c>
      <c r="E206" t="s">
        <v>63</v>
      </c>
      <c r="F206" t="s">
        <v>105</v>
      </c>
      <c r="G206" t="s">
        <v>64</v>
      </c>
      <c r="H206" t="s">
        <v>65</v>
      </c>
      <c r="I206" t="s">
        <v>66</v>
      </c>
      <c r="J206" t="s">
        <v>84</v>
      </c>
      <c r="K206" t="s">
        <v>181</v>
      </c>
      <c r="L206" t="s">
        <v>1009</v>
      </c>
      <c r="M206" t="s">
        <v>60</v>
      </c>
      <c r="N206">
        <v>2</v>
      </c>
      <c r="O206">
        <v>4401.51</v>
      </c>
      <c r="P206">
        <v>0.65</v>
      </c>
      <c r="Q206">
        <v>8362.8700000000008</v>
      </c>
      <c r="R206">
        <v>6541.04</v>
      </c>
      <c r="S206">
        <v>1821.83</v>
      </c>
      <c r="T206" t="s">
        <v>42</v>
      </c>
      <c r="U206" t="s">
        <v>43</v>
      </c>
      <c r="V206" t="s">
        <v>2827</v>
      </c>
      <c r="W206" t="s">
        <v>2818</v>
      </c>
      <c r="X206">
        <v>5.1564993144898486</v>
      </c>
      <c r="Y206">
        <v>3081.0569999999998</v>
      </c>
      <c r="Z206">
        <v>-3459.9830000000002</v>
      </c>
      <c r="AA206">
        <v>-1.1229857156164267</v>
      </c>
      <c r="AB206" t="e">
        <v>#NUM!</v>
      </c>
      <c r="AC206" t="s">
        <v>2829</v>
      </c>
      <c r="AD206">
        <v>2024</v>
      </c>
      <c r="AE206" t="s">
        <v>2819</v>
      </c>
    </row>
    <row r="207" spans="1:31">
      <c r="A207" t="s">
        <v>995</v>
      </c>
      <c r="B207" s="8">
        <v>45827</v>
      </c>
      <c r="C207" s="8">
        <v>45835</v>
      </c>
      <c r="D207" t="s">
        <v>996</v>
      </c>
      <c r="E207" t="s">
        <v>33</v>
      </c>
      <c r="F207" t="s">
        <v>105</v>
      </c>
      <c r="G207" t="s">
        <v>64</v>
      </c>
      <c r="H207" t="s">
        <v>259</v>
      </c>
      <c r="I207" t="s">
        <v>260</v>
      </c>
      <c r="J207" t="s">
        <v>51</v>
      </c>
      <c r="K207" t="s">
        <v>168</v>
      </c>
      <c r="L207" t="s">
        <v>997</v>
      </c>
      <c r="M207" t="s">
        <v>60</v>
      </c>
      <c r="N207">
        <v>2</v>
      </c>
      <c r="O207">
        <v>4346.6899999999996</v>
      </c>
      <c r="P207">
        <v>0.05</v>
      </c>
      <c r="Q207">
        <v>8258.7099999999991</v>
      </c>
      <c r="R207">
        <v>7018.97</v>
      </c>
      <c r="S207">
        <v>1239.74</v>
      </c>
      <c r="T207" t="s">
        <v>42</v>
      </c>
      <c r="U207" t="s">
        <v>43</v>
      </c>
      <c r="V207" t="s">
        <v>2812</v>
      </c>
      <c r="W207" t="s">
        <v>2812</v>
      </c>
      <c r="X207">
        <v>-0.58747117266059101</v>
      </c>
      <c r="Y207">
        <v>8258.7109999999993</v>
      </c>
      <c r="Z207">
        <v>1239.7409999999991</v>
      </c>
      <c r="AA207">
        <v>0.15011313508851432</v>
      </c>
      <c r="AB207">
        <v>8</v>
      </c>
      <c r="AC207" t="s">
        <v>2820</v>
      </c>
      <c r="AD207">
        <v>2025</v>
      </c>
      <c r="AE207" t="s">
        <v>2814</v>
      </c>
    </row>
    <row r="208" spans="1:31">
      <c r="A208" t="s">
        <v>989</v>
      </c>
      <c r="B208" s="8">
        <v>45421</v>
      </c>
      <c r="C208" s="8">
        <v>45542</v>
      </c>
      <c r="D208" t="s">
        <v>990</v>
      </c>
      <c r="E208" t="s">
        <v>89</v>
      </c>
      <c r="F208" t="s">
        <v>47</v>
      </c>
      <c r="G208" t="s">
        <v>64</v>
      </c>
      <c r="H208" t="s">
        <v>259</v>
      </c>
      <c r="I208" t="s">
        <v>260</v>
      </c>
      <c r="J208" t="s">
        <v>84</v>
      </c>
      <c r="K208" t="s">
        <v>90</v>
      </c>
      <c r="L208" t="s">
        <v>991</v>
      </c>
      <c r="M208" t="s">
        <v>69</v>
      </c>
      <c r="N208">
        <v>3</v>
      </c>
      <c r="O208">
        <v>2555.66</v>
      </c>
      <c r="P208">
        <v>0.15</v>
      </c>
      <c r="Q208">
        <v>6516.93</v>
      </c>
      <c r="R208">
        <v>4511.54</v>
      </c>
      <c r="S208">
        <v>2005.39</v>
      </c>
      <c r="T208" t="s">
        <v>42</v>
      </c>
      <c r="U208" t="s">
        <v>78</v>
      </c>
      <c r="V208" t="s">
        <v>2812</v>
      </c>
      <c r="W208" t="s">
        <v>2812</v>
      </c>
      <c r="X208">
        <v>0.3698572418644821</v>
      </c>
      <c r="Y208">
        <v>6516.9329999999991</v>
      </c>
      <c r="Z208">
        <v>2005.3929999999991</v>
      </c>
      <c r="AA208">
        <v>0.30772036477895343</v>
      </c>
      <c r="AB208">
        <v>121</v>
      </c>
      <c r="AC208" t="s">
        <v>2821</v>
      </c>
      <c r="AD208">
        <v>2024</v>
      </c>
      <c r="AE208" t="s">
        <v>2824</v>
      </c>
    </row>
    <row r="209" spans="1:31">
      <c r="A209" t="s">
        <v>968</v>
      </c>
      <c r="B209" s="8">
        <v>45649</v>
      </c>
      <c r="C209" s="8">
        <v>45652</v>
      </c>
      <c r="D209" t="s">
        <v>969</v>
      </c>
      <c r="E209" t="s">
        <v>99</v>
      </c>
      <c r="F209" t="s">
        <v>34</v>
      </c>
      <c r="G209" t="s">
        <v>64</v>
      </c>
      <c r="H209" t="s">
        <v>185</v>
      </c>
      <c r="I209" t="s">
        <v>186</v>
      </c>
      <c r="J209" t="s">
        <v>84</v>
      </c>
      <c r="K209" t="s">
        <v>90</v>
      </c>
      <c r="L209" t="s">
        <v>970</v>
      </c>
      <c r="M209" t="s">
        <v>69</v>
      </c>
      <c r="N209">
        <v>9</v>
      </c>
      <c r="O209">
        <v>993.67</v>
      </c>
      <c r="P209">
        <v>0</v>
      </c>
      <c r="Q209">
        <v>8943.0300000000007</v>
      </c>
      <c r="R209">
        <v>5165.38</v>
      </c>
      <c r="S209">
        <v>3777.65</v>
      </c>
      <c r="T209" t="s">
        <v>42</v>
      </c>
      <c r="U209" t="s">
        <v>43</v>
      </c>
      <c r="V209" t="s">
        <v>2812</v>
      </c>
      <c r="W209" t="s">
        <v>2812</v>
      </c>
      <c r="X209">
        <v>-1.0661353799231277</v>
      </c>
      <c r="Y209">
        <v>8943.0299999999988</v>
      </c>
      <c r="Z209">
        <v>3777.6499999999987</v>
      </c>
      <c r="AA209">
        <v>0.42241276167026154</v>
      </c>
      <c r="AB209">
        <v>3</v>
      </c>
      <c r="AC209" t="s">
        <v>2816</v>
      </c>
      <c r="AD209">
        <v>2024</v>
      </c>
      <c r="AE209" t="s">
        <v>2814</v>
      </c>
    </row>
    <row r="210" spans="1:31">
      <c r="A210" t="s">
        <v>951</v>
      </c>
      <c r="B210" s="8">
        <v>45389</v>
      </c>
      <c r="C210" s="8">
        <v>45396</v>
      </c>
      <c r="D210" t="s">
        <v>952</v>
      </c>
      <c r="E210" t="s">
        <v>151</v>
      </c>
      <c r="F210" t="s">
        <v>34</v>
      </c>
      <c r="G210" t="s">
        <v>64</v>
      </c>
      <c r="H210" t="s">
        <v>195</v>
      </c>
      <c r="I210" t="s">
        <v>196</v>
      </c>
      <c r="J210" t="s">
        <v>84</v>
      </c>
      <c r="K210" t="s">
        <v>90</v>
      </c>
      <c r="L210" t="s">
        <v>953</v>
      </c>
      <c r="M210" t="s">
        <v>69</v>
      </c>
      <c r="N210">
        <v>6</v>
      </c>
      <c r="O210">
        <v>4246.71</v>
      </c>
      <c r="P210">
        <v>0.15</v>
      </c>
      <c r="Q210">
        <v>21658.22</v>
      </c>
      <c r="R210">
        <v>15490.69</v>
      </c>
      <c r="S210">
        <v>6167.53</v>
      </c>
      <c r="T210" t="s">
        <v>165</v>
      </c>
      <c r="U210" t="s">
        <v>113</v>
      </c>
      <c r="V210" t="s">
        <v>2812</v>
      </c>
      <c r="W210" t="s">
        <v>2812</v>
      </c>
      <c r="X210">
        <v>0.3698572418644821</v>
      </c>
      <c r="Y210">
        <v>21658.221000000001</v>
      </c>
      <c r="Z210">
        <v>6167.5310000000009</v>
      </c>
      <c r="AA210">
        <v>0.28476627881856043</v>
      </c>
      <c r="AB210">
        <v>7</v>
      </c>
      <c r="AC210" t="s">
        <v>2825</v>
      </c>
      <c r="AD210">
        <v>2024</v>
      </c>
      <c r="AE210" t="s">
        <v>2814</v>
      </c>
    </row>
    <row r="211" spans="1:31">
      <c r="A211" t="s">
        <v>945</v>
      </c>
      <c r="B211" s="8">
        <v>45522</v>
      </c>
      <c r="C211" s="8">
        <v>45528</v>
      </c>
      <c r="D211" t="s">
        <v>946</v>
      </c>
      <c r="E211" t="s">
        <v>63</v>
      </c>
      <c r="F211" t="s">
        <v>34</v>
      </c>
      <c r="G211" t="s">
        <v>64</v>
      </c>
      <c r="H211" t="s">
        <v>94</v>
      </c>
      <c r="I211" t="s">
        <v>95</v>
      </c>
      <c r="J211" t="s">
        <v>51</v>
      </c>
      <c r="K211" t="s">
        <v>76</v>
      </c>
      <c r="L211" t="s">
        <v>947</v>
      </c>
      <c r="M211" t="s">
        <v>60</v>
      </c>
      <c r="N211">
        <v>7</v>
      </c>
      <c r="O211">
        <v>557.21</v>
      </c>
      <c r="P211">
        <v>0.1</v>
      </c>
      <c r="Q211">
        <v>3510.42</v>
      </c>
      <c r="R211">
        <v>2191.5</v>
      </c>
      <c r="S211">
        <v>1213.48</v>
      </c>
      <c r="T211" t="s">
        <v>42</v>
      </c>
      <c r="U211" t="s">
        <v>43</v>
      </c>
      <c r="V211" t="s">
        <v>2812</v>
      </c>
      <c r="W211" t="s">
        <v>2812</v>
      </c>
      <c r="X211">
        <v>-0.10880696539805437</v>
      </c>
      <c r="Y211">
        <v>3510.4230000000002</v>
      </c>
      <c r="Z211">
        <v>1318.9230000000002</v>
      </c>
      <c r="AA211">
        <v>0.37571625983535323</v>
      </c>
      <c r="AB211">
        <v>6</v>
      </c>
      <c r="AC211" t="s">
        <v>2813</v>
      </c>
      <c r="AD211">
        <v>2024</v>
      </c>
      <c r="AE211" t="s">
        <v>2814</v>
      </c>
    </row>
    <row r="212" spans="1:31">
      <c r="A212" t="s">
        <v>942</v>
      </c>
      <c r="B212" s="8">
        <v>45647</v>
      </c>
      <c r="C212" s="8">
        <v>45651</v>
      </c>
      <c r="D212" t="s">
        <v>943</v>
      </c>
      <c r="E212" t="s">
        <v>99</v>
      </c>
      <c r="F212" t="s">
        <v>34</v>
      </c>
      <c r="G212" t="s">
        <v>64</v>
      </c>
      <c r="H212" t="s">
        <v>65</v>
      </c>
      <c r="I212" t="s">
        <v>66</v>
      </c>
      <c r="J212" t="s">
        <v>38</v>
      </c>
      <c r="K212" t="s">
        <v>163</v>
      </c>
      <c r="L212" t="s">
        <v>944</v>
      </c>
      <c r="M212" t="s">
        <v>69</v>
      </c>
      <c r="N212">
        <v>7</v>
      </c>
      <c r="O212">
        <v>1667.75</v>
      </c>
      <c r="P212">
        <v>0</v>
      </c>
      <c r="Q212">
        <v>11674.25</v>
      </c>
      <c r="R212">
        <v>9621.19</v>
      </c>
      <c r="S212">
        <v>2053.06</v>
      </c>
      <c r="T212" t="s">
        <v>165</v>
      </c>
      <c r="U212" t="s">
        <v>78</v>
      </c>
      <c r="V212" t="s">
        <v>2812</v>
      </c>
      <c r="W212" t="s">
        <v>2812</v>
      </c>
      <c r="X212">
        <v>-1.0661353799231277</v>
      </c>
      <c r="Y212">
        <v>11674.25</v>
      </c>
      <c r="Z212">
        <v>2053.0599999999995</v>
      </c>
      <c r="AA212">
        <v>0.17586226095894808</v>
      </c>
      <c r="AB212">
        <v>4</v>
      </c>
      <c r="AC212" t="s">
        <v>2816</v>
      </c>
      <c r="AD212">
        <v>2024</v>
      </c>
      <c r="AE212" t="s">
        <v>2824</v>
      </c>
    </row>
    <row r="213" spans="1:31">
      <c r="A213" t="s">
        <v>753</v>
      </c>
      <c r="B213" s="8">
        <v>45882</v>
      </c>
      <c r="C213" s="8">
        <v>45883</v>
      </c>
      <c r="D213" t="s">
        <v>754</v>
      </c>
      <c r="E213" t="s">
        <v>151</v>
      </c>
      <c r="F213" t="s">
        <v>47</v>
      </c>
      <c r="G213" t="s">
        <v>64</v>
      </c>
      <c r="H213" t="s">
        <v>94</v>
      </c>
      <c r="I213" t="s">
        <v>95</v>
      </c>
      <c r="J213" t="s">
        <v>38</v>
      </c>
      <c r="K213" t="s">
        <v>39</v>
      </c>
      <c r="L213" t="s">
        <v>755</v>
      </c>
      <c r="M213" t="s">
        <v>60</v>
      </c>
      <c r="N213">
        <v>9</v>
      </c>
      <c r="O213">
        <v>864.98</v>
      </c>
      <c r="P213">
        <v>0.1</v>
      </c>
      <c r="Q213">
        <v>7006.34</v>
      </c>
      <c r="R213">
        <v>4640.88</v>
      </c>
      <c r="S213">
        <v>2365.46</v>
      </c>
      <c r="T213" t="s">
        <v>42</v>
      </c>
      <c r="U213" t="s">
        <v>43</v>
      </c>
      <c r="V213" t="s">
        <v>2812</v>
      </c>
      <c r="W213" t="s">
        <v>2812</v>
      </c>
      <c r="X213">
        <v>-0.10880696539805437</v>
      </c>
      <c r="Y213">
        <v>7006.3379999999997</v>
      </c>
      <c r="Z213">
        <v>2365.4579999999996</v>
      </c>
      <c r="AA213">
        <v>0.33761688345609359</v>
      </c>
      <c r="AB213">
        <v>1</v>
      </c>
      <c r="AC213" t="s">
        <v>2813</v>
      </c>
      <c r="AD213">
        <v>2025</v>
      </c>
      <c r="AE213" t="s">
        <v>2814</v>
      </c>
    </row>
    <row r="214" spans="1:31">
      <c r="A214" t="s">
        <v>756</v>
      </c>
      <c r="B214" s="8">
        <v>45366</v>
      </c>
      <c r="C214" s="8">
        <v>45369</v>
      </c>
      <c r="D214" t="s">
        <v>757</v>
      </c>
      <c r="E214" t="s">
        <v>276</v>
      </c>
      <c r="F214" t="s">
        <v>105</v>
      </c>
      <c r="G214" t="s">
        <v>64</v>
      </c>
      <c r="H214" t="s">
        <v>185</v>
      </c>
      <c r="I214" t="s">
        <v>186</v>
      </c>
      <c r="J214" t="s">
        <v>84</v>
      </c>
      <c r="K214" t="s">
        <v>286</v>
      </c>
      <c r="L214" t="s">
        <v>758</v>
      </c>
      <c r="M214" t="s">
        <v>41</v>
      </c>
      <c r="N214">
        <v>1</v>
      </c>
      <c r="O214">
        <v>4131.3599999999997</v>
      </c>
      <c r="P214">
        <v>0</v>
      </c>
      <c r="Q214">
        <v>4131.3599999999997</v>
      </c>
      <c r="R214">
        <v>2937.07</v>
      </c>
      <c r="S214">
        <v>1194.29</v>
      </c>
      <c r="T214" t="s">
        <v>165</v>
      </c>
      <c r="U214" t="s">
        <v>113</v>
      </c>
      <c r="V214" t="s">
        <v>2812</v>
      </c>
      <c r="W214" t="s">
        <v>2812</v>
      </c>
      <c r="X214">
        <v>-1.0661353799231277</v>
      </c>
      <c r="Y214">
        <v>4131.3599999999997</v>
      </c>
      <c r="Z214">
        <v>1194.2899999999995</v>
      </c>
      <c r="AA214">
        <v>0.28907914100925591</v>
      </c>
      <c r="AB214">
        <v>3</v>
      </c>
      <c r="AC214" t="s">
        <v>2828</v>
      </c>
      <c r="AD214">
        <v>2024</v>
      </c>
      <c r="AE214" t="s">
        <v>2814</v>
      </c>
    </row>
    <row r="215" spans="1:31">
      <c r="A215" t="s">
        <v>907</v>
      </c>
      <c r="B215" s="8">
        <v>45464</v>
      </c>
      <c r="C215" s="8">
        <v>45472</v>
      </c>
      <c r="D215" t="s">
        <v>908</v>
      </c>
      <c r="E215" t="s">
        <v>89</v>
      </c>
      <c r="F215" t="s">
        <v>34</v>
      </c>
      <c r="G215" t="s">
        <v>64</v>
      </c>
      <c r="H215" t="s">
        <v>259</v>
      </c>
      <c r="I215" t="s">
        <v>260</v>
      </c>
      <c r="J215" t="s">
        <v>84</v>
      </c>
      <c r="K215" t="s">
        <v>286</v>
      </c>
      <c r="L215" t="s">
        <v>909</v>
      </c>
      <c r="M215" t="s">
        <v>69</v>
      </c>
      <c r="N215">
        <v>8</v>
      </c>
      <c r="O215">
        <v>2853.92</v>
      </c>
      <c r="P215">
        <v>0.2</v>
      </c>
      <c r="Q215">
        <v>18265.09</v>
      </c>
      <c r="R215">
        <v>10437.14</v>
      </c>
      <c r="S215">
        <v>7827.95</v>
      </c>
      <c r="T215" t="s">
        <v>42</v>
      </c>
      <c r="U215" t="s">
        <v>43</v>
      </c>
      <c r="V215" t="s">
        <v>2812</v>
      </c>
      <c r="W215" t="s">
        <v>2812</v>
      </c>
      <c r="X215">
        <v>0.84852144912701888</v>
      </c>
      <c r="Y215">
        <v>18265.088</v>
      </c>
      <c r="Z215">
        <v>7827.9480000000003</v>
      </c>
      <c r="AA215">
        <v>0.42857433810338064</v>
      </c>
      <c r="AB215">
        <v>8</v>
      </c>
      <c r="AC215" t="s">
        <v>2820</v>
      </c>
      <c r="AD215">
        <v>2024</v>
      </c>
      <c r="AE215" t="s">
        <v>2814</v>
      </c>
    </row>
    <row r="216" spans="1:31">
      <c r="A216" t="s">
        <v>904</v>
      </c>
      <c r="B216" s="8">
        <v>45656</v>
      </c>
      <c r="C216" s="8">
        <v>45661</v>
      </c>
      <c r="D216" t="s">
        <v>905</v>
      </c>
      <c r="E216" t="s">
        <v>142</v>
      </c>
      <c r="F216" t="s">
        <v>100</v>
      </c>
      <c r="G216" t="s">
        <v>64</v>
      </c>
      <c r="H216" t="s">
        <v>259</v>
      </c>
      <c r="I216" t="s">
        <v>260</v>
      </c>
      <c r="J216" t="s">
        <v>51</v>
      </c>
      <c r="K216" t="s">
        <v>52</v>
      </c>
      <c r="L216" t="s">
        <v>906</v>
      </c>
      <c r="M216" t="s">
        <v>54</v>
      </c>
      <c r="N216">
        <v>2</v>
      </c>
      <c r="O216">
        <v>3720.07</v>
      </c>
      <c r="P216">
        <v>0.25</v>
      </c>
      <c r="Q216">
        <v>5580.11</v>
      </c>
      <c r="R216">
        <v>4307.01</v>
      </c>
      <c r="S216">
        <v>1273.0999999999999</v>
      </c>
      <c r="T216" t="s">
        <v>42</v>
      </c>
      <c r="U216" t="s">
        <v>43</v>
      </c>
      <c r="V216" t="s">
        <v>2812</v>
      </c>
      <c r="W216" t="s">
        <v>2812</v>
      </c>
      <c r="X216">
        <v>1.3271856563895552</v>
      </c>
      <c r="Y216">
        <v>5580.1050000000005</v>
      </c>
      <c r="Z216">
        <v>1273.0950000000003</v>
      </c>
      <c r="AA216">
        <v>0.22814893268137429</v>
      </c>
      <c r="AB216">
        <v>5</v>
      </c>
      <c r="AC216" t="s">
        <v>2816</v>
      </c>
      <c r="AD216">
        <v>2024</v>
      </c>
      <c r="AE216" t="s">
        <v>2814</v>
      </c>
    </row>
    <row r="217" spans="1:31">
      <c r="A217" t="s">
        <v>901</v>
      </c>
      <c r="B217" s="8">
        <v>45878</v>
      </c>
      <c r="C217" s="8">
        <v>45881</v>
      </c>
      <c r="D217" t="s">
        <v>902</v>
      </c>
      <c r="E217" t="s">
        <v>172</v>
      </c>
      <c r="F217" t="s">
        <v>100</v>
      </c>
      <c r="G217" t="s">
        <v>64</v>
      </c>
      <c r="H217" t="s">
        <v>185</v>
      </c>
      <c r="I217" t="s">
        <v>186</v>
      </c>
      <c r="J217" t="s">
        <v>84</v>
      </c>
      <c r="K217" t="s">
        <v>85</v>
      </c>
      <c r="L217" t="s">
        <v>903</v>
      </c>
      <c r="M217" t="s">
        <v>41</v>
      </c>
      <c r="N217">
        <v>2</v>
      </c>
      <c r="O217">
        <v>3237.27</v>
      </c>
      <c r="P217">
        <v>0</v>
      </c>
      <c r="Q217">
        <v>6474.54</v>
      </c>
      <c r="R217">
        <v>5095.91</v>
      </c>
      <c r="S217">
        <v>1378.63</v>
      </c>
      <c r="T217" t="s">
        <v>42</v>
      </c>
      <c r="U217" t="s">
        <v>78</v>
      </c>
      <c r="V217" t="s">
        <v>2812</v>
      </c>
      <c r="W217" t="s">
        <v>2812</v>
      </c>
      <c r="X217">
        <v>-1.0661353799231277</v>
      </c>
      <c r="Y217">
        <v>6474.54</v>
      </c>
      <c r="Z217">
        <v>1378.63</v>
      </c>
      <c r="AA217">
        <v>0.21293095725719513</v>
      </c>
      <c r="AB217">
        <v>3</v>
      </c>
      <c r="AC217" t="s">
        <v>2813</v>
      </c>
      <c r="AD217">
        <v>2025</v>
      </c>
      <c r="AE217" t="s">
        <v>2824</v>
      </c>
    </row>
    <row r="218" spans="1:31">
      <c r="A218" t="s">
        <v>864</v>
      </c>
      <c r="B218" s="8">
        <v>45583</v>
      </c>
      <c r="C218" s="8">
        <v>45589</v>
      </c>
      <c r="D218" t="s">
        <v>865</v>
      </c>
      <c r="E218" t="s">
        <v>89</v>
      </c>
      <c r="F218" t="s">
        <v>105</v>
      </c>
      <c r="G218" t="s">
        <v>64</v>
      </c>
      <c r="H218" t="s">
        <v>195</v>
      </c>
      <c r="I218" t="s">
        <v>196</v>
      </c>
      <c r="J218" t="s">
        <v>51</v>
      </c>
      <c r="K218" t="s">
        <v>76</v>
      </c>
      <c r="L218" t="s">
        <v>867</v>
      </c>
      <c r="M218" t="s">
        <v>41</v>
      </c>
      <c r="N218">
        <v>3</v>
      </c>
      <c r="O218">
        <v>3275.93</v>
      </c>
      <c r="P218">
        <v>0</v>
      </c>
      <c r="Q218">
        <v>9827.7900000000009</v>
      </c>
      <c r="R218">
        <v>5478.28</v>
      </c>
      <c r="S218">
        <v>4349.51</v>
      </c>
      <c r="T218" t="s">
        <v>42</v>
      </c>
      <c r="U218" t="s">
        <v>43</v>
      </c>
      <c r="V218" t="s">
        <v>2812</v>
      </c>
      <c r="W218" t="s">
        <v>2812</v>
      </c>
      <c r="X218">
        <v>-1.0661353799231277</v>
      </c>
      <c r="Y218">
        <v>9827.7899999999991</v>
      </c>
      <c r="Z218">
        <v>4349.5099999999993</v>
      </c>
      <c r="AA218">
        <v>0.44257254174132737</v>
      </c>
      <c r="AB218">
        <v>6</v>
      </c>
      <c r="AC218" t="s">
        <v>2823</v>
      </c>
      <c r="AD218">
        <v>2024</v>
      </c>
      <c r="AE218" t="s">
        <v>2814</v>
      </c>
    </row>
    <row r="219" spans="1:31">
      <c r="A219" t="s">
        <v>861</v>
      </c>
      <c r="B219" s="8">
        <v>45527</v>
      </c>
      <c r="C219" s="8">
        <v>45528</v>
      </c>
      <c r="D219" t="s">
        <v>862</v>
      </c>
      <c r="E219" t="s">
        <v>89</v>
      </c>
      <c r="F219" t="s">
        <v>34</v>
      </c>
      <c r="G219" t="s">
        <v>64</v>
      </c>
      <c r="H219" t="s">
        <v>65</v>
      </c>
      <c r="I219" t="s">
        <v>66</v>
      </c>
      <c r="J219" t="s">
        <v>51</v>
      </c>
      <c r="K219" t="s">
        <v>168</v>
      </c>
      <c r="L219" t="s">
        <v>863</v>
      </c>
      <c r="M219" t="s">
        <v>54</v>
      </c>
      <c r="N219">
        <v>6</v>
      </c>
      <c r="O219">
        <v>1021.89</v>
      </c>
      <c r="P219">
        <v>0</v>
      </c>
      <c r="Q219">
        <v>6131.34</v>
      </c>
      <c r="R219">
        <v>4060.88</v>
      </c>
      <c r="S219">
        <v>2070.46</v>
      </c>
      <c r="T219" t="s">
        <v>42</v>
      </c>
      <c r="U219" t="s">
        <v>43</v>
      </c>
      <c r="V219" t="s">
        <v>2812</v>
      </c>
      <c r="W219" t="s">
        <v>2812</v>
      </c>
      <c r="X219">
        <v>-1.0661353799231277</v>
      </c>
      <c r="Y219">
        <v>6131.34</v>
      </c>
      <c r="Z219">
        <v>2070.46</v>
      </c>
      <c r="AA219">
        <v>0.33768474754295147</v>
      </c>
      <c r="AB219">
        <v>1</v>
      </c>
      <c r="AC219" t="s">
        <v>2813</v>
      </c>
      <c r="AD219">
        <v>2024</v>
      </c>
      <c r="AE219" t="s">
        <v>2814</v>
      </c>
    </row>
    <row r="220" spans="1:31">
      <c r="A220" t="s">
        <v>849</v>
      </c>
      <c r="B220" s="8">
        <v>45643</v>
      </c>
      <c r="C220" s="8">
        <v>45649</v>
      </c>
      <c r="D220" t="s">
        <v>850</v>
      </c>
      <c r="E220" t="s">
        <v>138</v>
      </c>
      <c r="F220" t="s">
        <v>100</v>
      </c>
      <c r="G220" t="s">
        <v>64</v>
      </c>
      <c r="H220" t="s">
        <v>65</v>
      </c>
      <c r="I220" t="s">
        <v>66</v>
      </c>
      <c r="J220" t="s">
        <v>38</v>
      </c>
      <c r="K220" t="s">
        <v>163</v>
      </c>
      <c r="L220" t="s">
        <v>851</v>
      </c>
      <c r="M220" t="s">
        <v>60</v>
      </c>
      <c r="N220">
        <v>9</v>
      </c>
      <c r="O220">
        <v>2315.1</v>
      </c>
      <c r="P220">
        <v>0</v>
      </c>
      <c r="Q220">
        <v>20835.900000000001</v>
      </c>
      <c r="R220">
        <v>13928.19</v>
      </c>
      <c r="S220">
        <v>6907.71</v>
      </c>
      <c r="T220" t="s">
        <v>42</v>
      </c>
      <c r="U220" t="s">
        <v>43</v>
      </c>
      <c r="V220" t="s">
        <v>2812</v>
      </c>
      <c r="W220" t="s">
        <v>2812</v>
      </c>
      <c r="X220">
        <v>-1.0661353799231277</v>
      </c>
      <c r="Y220">
        <v>20835.899999999998</v>
      </c>
      <c r="Z220">
        <v>6907.7099999999973</v>
      </c>
      <c r="AA220">
        <v>0.33152923559817421</v>
      </c>
      <c r="AB220">
        <v>6</v>
      </c>
      <c r="AC220" t="s">
        <v>2816</v>
      </c>
      <c r="AD220">
        <v>2024</v>
      </c>
      <c r="AE220" t="s">
        <v>2814</v>
      </c>
    </row>
    <row r="221" spans="1:31">
      <c r="A221" t="s">
        <v>846</v>
      </c>
      <c r="B221" s="8">
        <v>45556</v>
      </c>
      <c r="C221" s="8">
        <v>45556</v>
      </c>
      <c r="D221" t="s">
        <v>847</v>
      </c>
      <c r="E221" t="s">
        <v>276</v>
      </c>
      <c r="F221" t="s">
        <v>100</v>
      </c>
      <c r="G221" t="s">
        <v>64</v>
      </c>
      <c r="H221" t="s">
        <v>185</v>
      </c>
      <c r="I221" t="s">
        <v>186</v>
      </c>
      <c r="J221" t="s">
        <v>84</v>
      </c>
      <c r="K221" t="s">
        <v>286</v>
      </c>
      <c r="L221" t="s">
        <v>848</v>
      </c>
      <c r="M221" t="s">
        <v>60</v>
      </c>
      <c r="N221">
        <v>2</v>
      </c>
      <c r="O221">
        <v>1960.06</v>
      </c>
      <c r="P221">
        <v>0.2</v>
      </c>
      <c r="Q221">
        <v>3136.1</v>
      </c>
      <c r="R221">
        <v>2279.4899999999998</v>
      </c>
      <c r="S221">
        <v>856.61</v>
      </c>
      <c r="T221" t="s">
        <v>42</v>
      </c>
      <c r="U221" t="s">
        <v>43</v>
      </c>
      <c r="V221" t="s">
        <v>2812</v>
      </c>
      <c r="W221" t="s">
        <v>2812</v>
      </c>
      <c r="X221">
        <v>0.84852144912701888</v>
      </c>
      <c r="Y221">
        <v>3136.096</v>
      </c>
      <c r="Z221">
        <v>856.60600000000022</v>
      </c>
      <c r="AA221">
        <v>0.273144061916472</v>
      </c>
      <c r="AB221">
        <v>0</v>
      </c>
      <c r="AC221" t="s">
        <v>2822</v>
      </c>
      <c r="AD221">
        <v>2024</v>
      </c>
      <c r="AE221" t="s">
        <v>2814</v>
      </c>
    </row>
    <row r="222" spans="1:31">
      <c r="A222" t="s">
        <v>843</v>
      </c>
      <c r="B222" s="8">
        <v>45627</v>
      </c>
      <c r="C222" s="8">
        <v>45308</v>
      </c>
      <c r="D222" t="s">
        <v>844</v>
      </c>
      <c r="E222" t="s">
        <v>63</v>
      </c>
      <c r="F222" t="s">
        <v>34</v>
      </c>
      <c r="G222" t="s">
        <v>64</v>
      </c>
      <c r="H222" t="s">
        <v>94</v>
      </c>
      <c r="I222" t="s">
        <v>95</v>
      </c>
      <c r="J222" t="s">
        <v>38</v>
      </c>
      <c r="K222" t="s">
        <v>134</v>
      </c>
      <c r="L222" t="s">
        <v>845</v>
      </c>
      <c r="M222" t="s">
        <v>60</v>
      </c>
      <c r="N222">
        <v>7</v>
      </c>
      <c r="O222">
        <v>4005.05</v>
      </c>
      <c r="P222">
        <v>0.55000000000000004</v>
      </c>
      <c r="Q222">
        <v>26633.58</v>
      </c>
      <c r="R222">
        <v>18838.75</v>
      </c>
      <c r="S222">
        <v>7794.83</v>
      </c>
      <c r="T222" t="s">
        <v>42</v>
      </c>
      <c r="U222" t="s">
        <v>43</v>
      </c>
      <c r="V222" t="s">
        <v>2827</v>
      </c>
      <c r="W222" t="s">
        <v>2818</v>
      </c>
      <c r="X222">
        <v>4.1991708999647752</v>
      </c>
      <c r="Y222">
        <v>12615.907499999999</v>
      </c>
      <c r="Z222">
        <v>-6222.8425000000007</v>
      </c>
      <c r="AA222">
        <v>-0.4932536561480021</v>
      </c>
      <c r="AB222" t="e">
        <v>#NUM!</v>
      </c>
      <c r="AC222" t="s">
        <v>2816</v>
      </c>
      <c r="AD222">
        <v>2024</v>
      </c>
      <c r="AE222" t="s">
        <v>2819</v>
      </c>
    </row>
    <row r="223" spans="1:31">
      <c r="A223" t="s">
        <v>828</v>
      </c>
      <c r="B223" s="8">
        <v>45579</v>
      </c>
      <c r="C223" s="8">
        <v>45579</v>
      </c>
      <c r="D223" t="s">
        <v>829</v>
      </c>
      <c r="E223" t="s">
        <v>81</v>
      </c>
      <c r="F223" t="s">
        <v>100</v>
      </c>
      <c r="G223" t="s">
        <v>64</v>
      </c>
      <c r="H223" t="s">
        <v>185</v>
      </c>
      <c r="I223" t="s">
        <v>186</v>
      </c>
      <c r="J223" t="s">
        <v>51</v>
      </c>
      <c r="K223" t="s">
        <v>168</v>
      </c>
      <c r="L223" t="s">
        <v>830</v>
      </c>
      <c r="M223" t="s">
        <v>215</v>
      </c>
      <c r="N223">
        <v>8</v>
      </c>
      <c r="O223">
        <v>3904.59</v>
      </c>
      <c r="P223">
        <v>0</v>
      </c>
      <c r="Q223">
        <v>31236.720000000001</v>
      </c>
      <c r="R223">
        <v>26377.7</v>
      </c>
      <c r="S223">
        <v>4859.0200000000004</v>
      </c>
      <c r="T223" t="s">
        <v>42</v>
      </c>
      <c r="U223" t="s">
        <v>43</v>
      </c>
      <c r="V223" t="s">
        <v>2812</v>
      </c>
      <c r="W223" t="s">
        <v>2812</v>
      </c>
      <c r="X223">
        <v>-1.0661353799231277</v>
      </c>
      <c r="Y223">
        <v>31236.720000000001</v>
      </c>
      <c r="Z223">
        <v>4859.0200000000004</v>
      </c>
      <c r="AA223">
        <v>0.15555474454424154</v>
      </c>
      <c r="AB223">
        <v>0</v>
      </c>
      <c r="AC223" t="s">
        <v>2823</v>
      </c>
      <c r="AD223">
        <v>2024</v>
      </c>
      <c r="AE223" t="s">
        <v>2814</v>
      </c>
    </row>
    <row r="224" spans="1:31">
      <c r="A224" t="s">
        <v>788</v>
      </c>
      <c r="B224" s="8">
        <v>45360</v>
      </c>
      <c r="C224" s="8">
        <v>45360</v>
      </c>
      <c r="D224" t="s">
        <v>789</v>
      </c>
      <c r="E224" t="s">
        <v>142</v>
      </c>
      <c r="F224" t="s">
        <v>34</v>
      </c>
      <c r="G224" t="s">
        <v>64</v>
      </c>
      <c r="H224" t="s">
        <v>195</v>
      </c>
      <c r="I224" t="s">
        <v>196</v>
      </c>
      <c r="J224" t="s">
        <v>38</v>
      </c>
      <c r="K224" t="s">
        <v>134</v>
      </c>
      <c r="L224" t="s">
        <v>790</v>
      </c>
      <c r="M224" t="s">
        <v>60</v>
      </c>
      <c r="N224">
        <v>4</v>
      </c>
      <c r="O224">
        <v>2810.17</v>
      </c>
      <c r="P224">
        <v>0.15</v>
      </c>
      <c r="Q224">
        <v>9554.58</v>
      </c>
      <c r="R224">
        <v>6068.47</v>
      </c>
      <c r="S224">
        <v>3486.11</v>
      </c>
      <c r="T224" t="s">
        <v>112</v>
      </c>
      <c r="U224" t="s">
        <v>78</v>
      </c>
      <c r="V224" t="s">
        <v>2812</v>
      </c>
      <c r="W224" t="s">
        <v>2812</v>
      </c>
      <c r="X224">
        <v>0.3698572418644821</v>
      </c>
      <c r="Y224">
        <v>9554.5779999999995</v>
      </c>
      <c r="Z224">
        <v>3486.1079999999993</v>
      </c>
      <c r="AA224">
        <v>0.36486258210462036</v>
      </c>
      <c r="AB224">
        <v>0</v>
      </c>
      <c r="AC224" t="s">
        <v>2828</v>
      </c>
      <c r="AD224">
        <v>2024</v>
      </c>
      <c r="AE224" t="s">
        <v>2824</v>
      </c>
    </row>
    <row r="225" spans="1:31">
      <c r="A225" t="s">
        <v>791</v>
      </c>
      <c r="B225" s="8">
        <v>45669</v>
      </c>
      <c r="C225" s="8">
        <v>45672</v>
      </c>
      <c r="D225" t="s">
        <v>792</v>
      </c>
      <c r="E225" t="s">
        <v>46</v>
      </c>
      <c r="F225" t="s">
        <v>100</v>
      </c>
      <c r="G225" t="s">
        <v>64</v>
      </c>
      <c r="H225" t="s">
        <v>185</v>
      </c>
      <c r="I225" t="s">
        <v>186</v>
      </c>
      <c r="J225" t="s">
        <v>51</v>
      </c>
      <c r="K225" t="s">
        <v>76</v>
      </c>
      <c r="L225" t="s">
        <v>793</v>
      </c>
      <c r="M225" t="s">
        <v>54</v>
      </c>
      <c r="N225">
        <v>4</v>
      </c>
      <c r="O225">
        <v>1531.53</v>
      </c>
      <c r="P225">
        <v>0.2</v>
      </c>
      <c r="Q225">
        <v>4900.8999999999996</v>
      </c>
      <c r="R225">
        <v>3552.69</v>
      </c>
      <c r="S225">
        <v>1348.21</v>
      </c>
      <c r="T225" t="s">
        <v>42</v>
      </c>
      <c r="U225" t="s">
        <v>43</v>
      </c>
      <c r="V225" t="s">
        <v>2812</v>
      </c>
      <c r="W225" t="s">
        <v>2812</v>
      </c>
      <c r="X225">
        <v>0.84852144912701888</v>
      </c>
      <c r="Y225">
        <v>4900.8959999999997</v>
      </c>
      <c r="Z225">
        <v>1348.2059999999997</v>
      </c>
      <c r="AA225">
        <v>0.27509377877024932</v>
      </c>
      <c r="AB225">
        <v>3</v>
      </c>
      <c r="AC225" t="s">
        <v>2826</v>
      </c>
      <c r="AD225">
        <v>2025</v>
      </c>
      <c r="AE225" t="s">
        <v>2814</v>
      </c>
    </row>
    <row r="226" spans="1:31">
      <c r="A226" t="s">
        <v>825</v>
      </c>
      <c r="B226" s="8">
        <v>45812</v>
      </c>
      <c r="C226" s="8">
        <v>45818</v>
      </c>
      <c r="D226" t="s">
        <v>826</v>
      </c>
      <c r="E226" t="s">
        <v>128</v>
      </c>
      <c r="F226" t="s">
        <v>34</v>
      </c>
      <c r="G226" t="s">
        <v>64</v>
      </c>
      <c r="H226" t="s">
        <v>94</v>
      </c>
      <c r="I226" t="s">
        <v>95</v>
      </c>
      <c r="J226" t="s">
        <v>84</v>
      </c>
      <c r="K226" t="s">
        <v>181</v>
      </c>
      <c r="L226" t="s">
        <v>827</v>
      </c>
      <c r="M226" t="s">
        <v>69</v>
      </c>
      <c r="N226">
        <v>4</v>
      </c>
      <c r="O226">
        <v>223.37</v>
      </c>
      <c r="P226">
        <v>0.25</v>
      </c>
      <c r="Q226">
        <v>670.11</v>
      </c>
      <c r="R226">
        <v>559.57000000000005</v>
      </c>
      <c r="S226">
        <v>110.54</v>
      </c>
      <c r="T226" t="s">
        <v>42</v>
      </c>
      <c r="U226" t="s">
        <v>43</v>
      </c>
      <c r="V226" t="s">
        <v>2812</v>
      </c>
      <c r="W226" t="s">
        <v>2812</v>
      </c>
      <c r="X226">
        <v>1.3271856563895552</v>
      </c>
      <c r="Y226">
        <v>670.11</v>
      </c>
      <c r="Z226">
        <v>110.53999999999996</v>
      </c>
      <c r="AA226">
        <v>0.16495799197146732</v>
      </c>
      <c r="AB226">
        <v>6</v>
      </c>
      <c r="AC226" t="s">
        <v>2820</v>
      </c>
      <c r="AD226">
        <v>2025</v>
      </c>
      <c r="AE226" t="s">
        <v>2814</v>
      </c>
    </row>
    <row r="227" spans="1:31">
      <c r="A227" t="s">
        <v>816</v>
      </c>
      <c r="B227" s="8">
        <v>45836</v>
      </c>
      <c r="C227" s="8">
        <v>45754</v>
      </c>
      <c r="D227" t="s">
        <v>817</v>
      </c>
      <c r="E227" t="s">
        <v>151</v>
      </c>
      <c r="F227" t="s">
        <v>34</v>
      </c>
      <c r="G227" t="s">
        <v>64</v>
      </c>
      <c r="H227" t="s">
        <v>65</v>
      </c>
      <c r="I227" t="s">
        <v>66</v>
      </c>
      <c r="J227" t="s">
        <v>51</v>
      </c>
      <c r="K227" t="s">
        <v>168</v>
      </c>
      <c r="L227" t="s">
        <v>818</v>
      </c>
      <c r="M227" t="s">
        <v>60</v>
      </c>
      <c r="N227">
        <v>3</v>
      </c>
      <c r="O227">
        <v>2886.23</v>
      </c>
      <c r="P227">
        <v>0</v>
      </c>
      <c r="Q227">
        <v>8658.69</v>
      </c>
      <c r="R227">
        <v>5535.94</v>
      </c>
      <c r="S227">
        <v>3122.75</v>
      </c>
      <c r="T227" t="s">
        <v>112</v>
      </c>
      <c r="U227" t="s">
        <v>113</v>
      </c>
      <c r="V227" t="s">
        <v>2812</v>
      </c>
      <c r="W227" t="s">
        <v>2818</v>
      </c>
      <c r="X227">
        <v>-1.0661353799231277</v>
      </c>
      <c r="Y227">
        <v>8658.69</v>
      </c>
      <c r="Z227">
        <v>3122.7500000000009</v>
      </c>
      <c r="AA227">
        <v>0.36064924370776652</v>
      </c>
      <c r="AB227" t="e">
        <v>#NUM!</v>
      </c>
      <c r="AC227" t="s">
        <v>2820</v>
      </c>
      <c r="AD227">
        <v>2025</v>
      </c>
      <c r="AE227" t="s">
        <v>2819</v>
      </c>
    </row>
    <row r="228" spans="1:31">
      <c r="A228" t="s">
        <v>813</v>
      </c>
      <c r="B228" s="8">
        <v>45406</v>
      </c>
      <c r="C228" s="8">
        <v>45410</v>
      </c>
      <c r="D228" t="s">
        <v>814</v>
      </c>
      <c r="E228" t="s">
        <v>33</v>
      </c>
      <c r="F228" t="s">
        <v>47</v>
      </c>
      <c r="G228" t="s">
        <v>64</v>
      </c>
      <c r="H228" t="s">
        <v>65</v>
      </c>
      <c r="I228" t="s">
        <v>66</v>
      </c>
      <c r="J228" t="s">
        <v>38</v>
      </c>
      <c r="K228" t="s">
        <v>101</v>
      </c>
      <c r="L228" t="s">
        <v>815</v>
      </c>
      <c r="M228" t="s">
        <v>41</v>
      </c>
      <c r="N228">
        <v>1</v>
      </c>
      <c r="O228">
        <v>3194.37</v>
      </c>
      <c r="P228">
        <v>0.15</v>
      </c>
      <c r="Q228">
        <v>2715.21</v>
      </c>
      <c r="R228">
        <v>1551.55</v>
      </c>
      <c r="S228">
        <v>1163.6600000000001</v>
      </c>
      <c r="T228" t="s">
        <v>42</v>
      </c>
      <c r="U228" t="s">
        <v>43</v>
      </c>
      <c r="V228" t="s">
        <v>2812</v>
      </c>
      <c r="W228" t="s">
        <v>2812</v>
      </c>
      <c r="X228">
        <v>0.3698572418644821</v>
      </c>
      <c r="Y228">
        <v>2715.2145</v>
      </c>
      <c r="Z228">
        <v>1163.6645000000001</v>
      </c>
      <c r="AA228">
        <v>0.42857184948003191</v>
      </c>
      <c r="AB228">
        <v>4</v>
      </c>
      <c r="AC228" t="s">
        <v>2825</v>
      </c>
      <c r="AD228">
        <v>2024</v>
      </c>
      <c r="AE228" t="s">
        <v>2814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9769-36B8-473E-8186-D758AB4DA99B}">
  <dimension ref="A3:C9"/>
  <sheetViews>
    <sheetView workbookViewId="0">
      <selection activeCell="D33" sqref="D33"/>
    </sheetView>
  </sheetViews>
  <sheetFormatPr defaultRowHeight="14.4"/>
  <cols>
    <col min="1" max="1" width="12.5546875" bestFit="1" customWidth="1"/>
    <col min="2" max="2" width="11.44140625" bestFit="1" customWidth="1"/>
    <col min="3" max="3" width="12.109375" bestFit="1" customWidth="1"/>
    <col min="4" max="10" width="15.5546875" bestFit="1" customWidth="1"/>
    <col min="11" max="11" width="16.21875" bestFit="1" customWidth="1"/>
    <col min="12" max="12" width="16.88671875" bestFit="1" customWidth="1"/>
    <col min="13" max="913" width="15.5546875" bestFit="1" customWidth="1"/>
    <col min="914" max="914" width="10.77734375" bestFit="1" customWidth="1"/>
  </cols>
  <sheetData>
    <row r="3" spans="1:3">
      <c r="A3" s="4" t="s">
        <v>2807</v>
      </c>
      <c r="B3" t="s">
        <v>2810</v>
      </c>
      <c r="C3" t="s">
        <v>2811</v>
      </c>
    </row>
    <row r="4" spans="1:3">
      <c r="A4" s="5" t="s">
        <v>48</v>
      </c>
      <c r="B4" s="6">
        <v>2195887.7799999998</v>
      </c>
      <c r="C4" s="6">
        <v>674396.4800000001</v>
      </c>
    </row>
    <row r="5" spans="1:3">
      <c r="A5" s="5" t="s">
        <v>35</v>
      </c>
      <c r="B5" s="6">
        <v>2166470.1099999994</v>
      </c>
      <c r="C5" s="6">
        <v>642497.06000000029</v>
      </c>
    </row>
    <row r="6" spans="1:3">
      <c r="A6" s="5" t="s">
        <v>64</v>
      </c>
      <c r="B6" s="6">
        <v>2319638.1999999993</v>
      </c>
      <c r="C6" s="6">
        <v>664110.75999999943</v>
      </c>
    </row>
    <row r="7" spans="1:3">
      <c r="A7" s="5" t="s">
        <v>215</v>
      </c>
      <c r="B7" s="6">
        <v>289809.21000000002</v>
      </c>
      <c r="C7" s="6">
        <v>94818.06</v>
      </c>
    </row>
    <row r="8" spans="1:3">
      <c r="A8" s="5" t="s">
        <v>73</v>
      </c>
      <c r="B8" s="6">
        <v>2107785.1700000013</v>
      </c>
      <c r="C8" s="6">
        <v>591397.11</v>
      </c>
    </row>
    <row r="9" spans="1:3">
      <c r="A9" s="5" t="s">
        <v>2809</v>
      </c>
      <c r="B9" s="6">
        <v>9079590.4699999988</v>
      </c>
      <c r="C9" s="6">
        <v>2667219.4699999997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014F-F0D7-4E4B-89DA-8EE4EC1ADB03}">
  <dimension ref="A1:AE933"/>
  <sheetViews>
    <sheetView workbookViewId="0">
      <selection activeCell="E5" sqref="E5"/>
    </sheetView>
  </sheetViews>
  <sheetFormatPr defaultRowHeight="14.4"/>
  <cols>
    <col min="1" max="1" width="15.109375" bestFit="1" customWidth="1"/>
    <col min="2" max="3" width="10.5546875" bestFit="1" customWidth="1"/>
    <col min="4" max="4" width="10" bestFit="1" customWidth="1"/>
    <col min="5" max="5" width="13.77734375" bestFit="1" customWidth="1"/>
    <col min="6" max="6" width="15" bestFit="1" customWidth="1"/>
    <col min="7" max="7" width="9" bestFit="1" customWidth="1"/>
    <col min="8" max="8" width="14.5546875" bestFit="1" customWidth="1"/>
    <col min="9" max="9" width="12" bestFit="1" customWidth="1"/>
    <col min="10" max="10" width="14.88671875" bestFit="1" customWidth="1"/>
    <col min="11" max="11" width="10.44140625" bestFit="1" customWidth="1"/>
    <col min="12" max="12" width="20" bestFit="1" customWidth="1"/>
    <col min="13" max="13" width="15.44140625" bestFit="1" customWidth="1"/>
    <col min="15" max="15" width="8.33203125" bestFit="1" customWidth="1"/>
    <col min="16" max="16" width="8.6640625" bestFit="1" customWidth="1"/>
    <col min="17" max="19" width="9" bestFit="1" customWidth="1"/>
    <col min="21" max="21" width="11.21875" bestFit="1" customWidth="1"/>
    <col min="22" max="22" width="14" bestFit="1" customWidth="1"/>
    <col min="23" max="23" width="19.88671875" bestFit="1" customWidth="1"/>
    <col min="24" max="24" width="12.6640625" bestFit="1" customWidth="1"/>
    <col min="25" max="25" width="11" bestFit="1" customWidth="1"/>
    <col min="26" max="26" width="11.6640625" bestFit="1" customWidth="1"/>
    <col min="27" max="27" width="12.6640625" bestFit="1" customWidth="1"/>
    <col min="28" max="28" width="8.6640625" bestFit="1" customWidth="1"/>
    <col min="29" max="29" width="9.77734375" bestFit="1" customWidth="1"/>
    <col min="30" max="30" width="6.5546875" bestFit="1" customWidth="1"/>
    <col min="31" max="31" width="9.44140625" bestFit="1" customWidth="1"/>
  </cols>
  <sheetData>
    <row r="1" spans="1:31" ht="55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s="3">
        <v>45494</v>
      </c>
      <c r="C2" s="3">
        <v>45500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42</v>
      </c>
      <c r="U2" t="s">
        <v>43</v>
      </c>
      <c r="V2" t="str">
        <f>IF(AND(N2&gt;0,O2&gt;0,Q2&gt;0,R2&gt;=0,S2&lt;&gt;""),IF(OR(P2&lt;0,ABS(P2-AVERAGE($P:$P))&gt;2*_xlfn.STDEV.P($P:$P)),"Invalid Discount",""),"")</f>
        <v/>
      </c>
      <c r="W2" t="str">
        <f>IF(AND(B2&lt;&gt;"",C2&lt;&gt;""),IF(C2&lt;B2,"Invalid Shipping Record",""),"")</f>
        <v/>
      </c>
      <c r="X2">
        <f>(P2-AVERAGE($P:$P))/_xlfn.STDEV.P($P:$P)</f>
        <v>0.84852144912701888</v>
      </c>
      <c r="Y2">
        <f>N2*O2*(1-P2)</f>
        <v>19049.28</v>
      </c>
      <c r="Z2">
        <f>Y2-R2</f>
        <v>3207.3899999999994</v>
      </c>
      <c r="AA2">
        <f>IF(Y2=0,0,Z2/Y2)</f>
        <v>0.16837329284886357</v>
      </c>
      <c r="AB2">
        <f>DATEDIF(B2,C2,"d")</f>
        <v>6</v>
      </c>
      <c r="AC2" t="str">
        <f>TEXT(B2,"mmmm")</f>
        <v>July</v>
      </c>
      <c r="AD2">
        <f>YEAR(B2)</f>
        <v>2024</v>
      </c>
      <c r="AE2" t="str">
        <f>IF(OR(V2="Invalid Discount",W2="Invalid Shipping Record"),"INVALID",IF(U2="Cancelled","WARNING","CLEAN"))</f>
        <v>CLEAN</v>
      </c>
    </row>
    <row r="3" spans="1:31">
      <c r="A3" t="s">
        <v>44</v>
      </c>
      <c r="B3" s="3">
        <v>45535</v>
      </c>
      <c r="C3" s="3">
        <v>45540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42</v>
      </c>
      <c r="U3" t="s">
        <v>43</v>
      </c>
      <c r="V3" t="str">
        <f t="shared" ref="V3:V66" si="0">IF(AND(N3&gt;0,O3&gt;0,Q3&gt;0,R3&gt;=0,S3&lt;&gt;""),IF(OR(P3&lt;0,ABS(P3-AVERAGE($P:$P))&gt;2*_xlfn.STDEV.P($P:$P)),"Invalid Discount",""),"")</f>
        <v/>
      </c>
      <c r="W3" t="str">
        <f t="shared" ref="W3:W66" si="1">IF(AND(B3&lt;&gt;"",C3&lt;&gt;""),IF(C3&lt;B3,"Invalid Shipping Record",""),"")</f>
        <v/>
      </c>
      <c r="X3">
        <f t="shared" ref="X3:X66" si="2">(P3-AVERAGE($P:$P))/_xlfn.STDEV.P($P:$P)</f>
        <v>-1.0661353799231277</v>
      </c>
      <c r="Y3">
        <f t="shared" ref="Y3:Y66" si="3">N3*O3*(1-P3)</f>
        <v>7312.5</v>
      </c>
      <c r="Z3">
        <f t="shared" ref="Z3:Z66" si="4">Y3-R3</f>
        <v>2407.7700000000004</v>
      </c>
      <c r="AA3">
        <f t="shared" ref="AA3:AA66" si="5">IF(Y3=0,0,Z3/Y3)</f>
        <v>0.32926769230769237</v>
      </c>
      <c r="AB3">
        <f t="shared" ref="AB3:AB66" si="6">DATEDIF(B3,C3,"d")</f>
        <v>5</v>
      </c>
      <c r="AC3" t="str">
        <f t="shared" ref="AC3:AC66" si="7">TEXT(B3,"mmmm")</f>
        <v>August</v>
      </c>
      <c r="AD3">
        <f t="shared" ref="AD3:AD66" si="8">YEAR(B3)</f>
        <v>2024</v>
      </c>
      <c r="AE3" t="str">
        <f t="shared" ref="AE3:AE66" si="9">IF(OR(V3="Invalid Discount",W3="Invalid Shipping Record"),"INVALID",IF(U3="Cancelled","WARNING","CLEAN"))</f>
        <v>CLEAN</v>
      </c>
    </row>
    <row r="4" spans="1:31">
      <c r="A4" t="s">
        <v>55</v>
      </c>
      <c r="B4" s="3">
        <v>45510</v>
      </c>
      <c r="C4" s="3">
        <v>45458</v>
      </c>
      <c r="D4" t="s">
        <v>56</v>
      </c>
      <c r="E4" t="s">
        <v>57</v>
      </c>
      <c r="F4" t="s">
        <v>34</v>
      </c>
      <c r="G4" t="s">
        <v>48</v>
      </c>
      <c r="H4" t="s">
        <v>49</v>
      </c>
      <c r="I4" t="s">
        <v>50</v>
      </c>
      <c r="J4" t="s">
        <v>38</v>
      </c>
      <c r="K4" t="s">
        <v>58</v>
      </c>
      <c r="L4" t="s">
        <v>59</v>
      </c>
      <c r="M4" t="s">
        <v>60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42</v>
      </c>
      <c r="U4" t="s">
        <v>43</v>
      </c>
      <c r="V4" t="str">
        <f t="shared" si="0"/>
        <v>Invalid Discount</v>
      </c>
      <c r="W4" t="str">
        <f t="shared" si="1"/>
        <v>Invalid Shipping Record</v>
      </c>
      <c r="X4">
        <f t="shared" si="2"/>
        <v>4.1991708999647752</v>
      </c>
      <c r="Y4">
        <f t="shared" si="3"/>
        <v>1917.7739999999999</v>
      </c>
      <c r="Z4">
        <f t="shared" si="4"/>
        <v>-547.91600000000017</v>
      </c>
      <c r="AA4">
        <f t="shared" si="5"/>
        <v>-0.28570415492127865</v>
      </c>
      <c r="AB4" t="e">
        <f>DATEDIF(B4,C4,"d")</f>
        <v>#NUM!</v>
      </c>
      <c r="AC4" t="str">
        <f t="shared" si="7"/>
        <v>August</v>
      </c>
      <c r="AD4">
        <f t="shared" si="8"/>
        <v>2024</v>
      </c>
      <c r="AE4" t="str">
        <f t="shared" si="9"/>
        <v>INVALID</v>
      </c>
    </row>
    <row r="5" spans="1:31">
      <c r="A5" t="s">
        <v>61</v>
      </c>
      <c r="B5" s="3">
        <v>45624</v>
      </c>
      <c r="C5" s="3">
        <v>45625</v>
      </c>
      <c r="D5" t="s">
        <v>62</v>
      </c>
      <c r="E5" t="s">
        <v>63</v>
      </c>
      <c r="F5" t="s">
        <v>47</v>
      </c>
      <c r="G5" t="s">
        <v>64</v>
      </c>
      <c r="H5" t="s">
        <v>65</v>
      </c>
      <c r="I5" t="s">
        <v>66</v>
      </c>
      <c r="J5" t="s">
        <v>51</v>
      </c>
      <c r="K5" t="s">
        <v>67</v>
      </c>
      <c r="L5" t="s">
        <v>68</v>
      </c>
      <c r="M5" t="s">
        <v>69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42</v>
      </c>
      <c r="U5" t="s">
        <v>43</v>
      </c>
      <c r="V5" t="str">
        <f t="shared" si="0"/>
        <v/>
      </c>
      <c r="W5" t="str">
        <f t="shared" si="1"/>
        <v/>
      </c>
      <c r="X5">
        <f t="shared" si="2"/>
        <v>1.3271856563895552</v>
      </c>
      <c r="Y5">
        <f t="shared" si="3"/>
        <v>8317.9349999999995</v>
      </c>
      <c r="Z5">
        <f t="shared" si="4"/>
        <v>1521.1649999999991</v>
      </c>
      <c r="AA5">
        <f t="shared" si="5"/>
        <v>0.18287772145370204</v>
      </c>
      <c r="AB5">
        <f t="shared" si="6"/>
        <v>1</v>
      </c>
      <c r="AC5" t="str">
        <f t="shared" si="7"/>
        <v>November</v>
      </c>
      <c r="AD5">
        <f t="shared" si="8"/>
        <v>2024</v>
      </c>
      <c r="AE5" t="str">
        <f t="shared" si="9"/>
        <v>CLEAN</v>
      </c>
    </row>
    <row r="6" spans="1:31">
      <c r="A6" t="s">
        <v>70</v>
      </c>
      <c r="B6" s="3">
        <v>45898</v>
      </c>
      <c r="C6" s="3">
        <v>45901</v>
      </c>
      <c r="D6" t="s">
        <v>71</v>
      </c>
      <c r="E6" t="s">
        <v>72</v>
      </c>
      <c r="F6" t="s">
        <v>47</v>
      </c>
      <c r="G6" t="s">
        <v>73</v>
      </c>
      <c r="H6" t="s">
        <v>74</v>
      </c>
      <c r="I6" t="s">
        <v>75</v>
      </c>
      <c r="J6" t="s">
        <v>51</v>
      </c>
      <c r="K6" t="s">
        <v>76</v>
      </c>
      <c r="L6" t="s">
        <v>77</v>
      </c>
      <c r="M6" t="s">
        <v>60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42</v>
      </c>
      <c r="U6" t="s">
        <v>78</v>
      </c>
      <c r="V6" t="str">
        <f t="shared" si="0"/>
        <v/>
      </c>
      <c r="W6" t="str">
        <f t="shared" si="1"/>
        <v/>
      </c>
      <c r="X6">
        <f t="shared" si="2"/>
        <v>-1.0661353799231277</v>
      </c>
      <c r="Y6">
        <f t="shared" si="3"/>
        <v>20816.32</v>
      </c>
      <c r="Z6">
        <f t="shared" si="4"/>
        <v>3110.9500000000007</v>
      </c>
      <c r="AA6">
        <f t="shared" si="5"/>
        <v>0.14944764492475138</v>
      </c>
      <c r="AB6">
        <f t="shared" si="6"/>
        <v>3</v>
      </c>
      <c r="AC6" t="str">
        <f t="shared" si="7"/>
        <v>August</v>
      </c>
      <c r="AD6">
        <f t="shared" si="8"/>
        <v>2025</v>
      </c>
      <c r="AE6" t="str">
        <f t="shared" si="9"/>
        <v>WARNING</v>
      </c>
    </row>
    <row r="7" spans="1:31">
      <c r="A7" t="s">
        <v>79</v>
      </c>
      <c r="B7" s="3">
        <v>45436</v>
      </c>
      <c r="C7" s="3">
        <v>45440</v>
      </c>
      <c r="D7" t="s">
        <v>80</v>
      </c>
      <c r="E7" t="s">
        <v>81</v>
      </c>
      <c r="F7" t="s">
        <v>47</v>
      </c>
      <c r="G7" t="s">
        <v>73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54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42</v>
      </c>
      <c r="U7" t="s">
        <v>43</v>
      </c>
      <c r="V7" t="str">
        <f t="shared" si="0"/>
        <v/>
      </c>
      <c r="W7" t="str">
        <f t="shared" si="1"/>
        <v/>
      </c>
      <c r="X7">
        <f t="shared" si="2"/>
        <v>0.84852144912701888</v>
      </c>
      <c r="Y7">
        <f t="shared" si="3"/>
        <v>2527.4639999999999</v>
      </c>
      <c r="Z7">
        <f t="shared" si="4"/>
        <v>993.88400000000001</v>
      </c>
      <c r="AA7">
        <f t="shared" si="5"/>
        <v>0.39323369195367375</v>
      </c>
      <c r="AB7">
        <f t="shared" si="6"/>
        <v>4</v>
      </c>
      <c r="AC7" t="str">
        <f t="shared" si="7"/>
        <v>May</v>
      </c>
      <c r="AD7">
        <f t="shared" si="8"/>
        <v>2024</v>
      </c>
      <c r="AE7" t="str">
        <f t="shared" si="9"/>
        <v>CLEAN</v>
      </c>
    </row>
    <row r="8" spans="1:31">
      <c r="A8" t="s">
        <v>87</v>
      </c>
      <c r="B8" s="3">
        <v>45934</v>
      </c>
      <c r="C8" s="3">
        <v>45763</v>
      </c>
      <c r="D8" t="s">
        <v>88</v>
      </c>
      <c r="E8" t="s">
        <v>89</v>
      </c>
      <c r="F8" t="s">
        <v>34</v>
      </c>
      <c r="G8" t="s">
        <v>48</v>
      </c>
      <c r="H8" t="s">
        <v>49</v>
      </c>
      <c r="I8" t="s">
        <v>50</v>
      </c>
      <c r="J8" t="s">
        <v>84</v>
      </c>
      <c r="K8" t="s">
        <v>90</v>
      </c>
      <c r="L8" t="s">
        <v>91</v>
      </c>
      <c r="M8" t="s">
        <v>69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42</v>
      </c>
      <c r="U8" t="s">
        <v>43</v>
      </c>
      <c r="V8" t="str">
        <f t="shared" si="0"/>
        <v/>
      </c>
      <c r="W8" t="str">
        <f t="shared" si="1"/>
        <v>Invalid Shipping Record</v>
      </c>
      <c r="X8">
        <f t="shared" si="2"/>
        <v>0.3698572418644821</v>
      </c>
      <c r="Y8">
        <f t="shared" si="3"/>
        <v>5847.5579999999991</v>
      </c>
      <c r="Z8">
        <f t="shared" si="4"/>
        <v>1120.3079999999991</v>
      </c>
      <c r="AA8">
        <f t="shared" si="5"/>
        <v>0.19158561573908275</v>
      </c>
      <c r="AB8" t="e">
        <f t="shared" si="6"/>
        <v>#NUM!</v>
      </c>
      <c r="AC8" t="str">
        <f t="shared" si="7"/>
        <v>October</v>
      </c>
      <c r="AD8">
        <f t="shared" si="8"/>
        <v>2025</v>
      </c>
      <c r="AE8" t="str">
        <f t="shared" si="9"/>
        <v>INVALID</v>
      </c>
    </row>
    <row r="9" spans="1:31">
      <c r="A9" t="s">
        <v>92</v>
      </c>
      <c r="B9" s="3">
        <v>45711</v>
      </c>
      <c r="C9" s="3">
        <v>45714</v>
      </c>
      <c r="D9" t="s">
        <v>93</v>
      </c>
      <c r="E9" t="s">
        <v>57</v>
      </c>
      <c r="F9" t="s">
        <v>47</v>
      </c>
      <c r="G9" t="s">
        <v>64</v>
      </c>
      <c r="H9" t="s">
        <v>94</v>
      </c>
      <c r="I9" t="s">
        <v>95</v>
      </c>
      <c r="J9" t="s">
        <v>38</v>
      </c>
      <c r="K9" t="s">
        <v>58</v>
      </c>
      <c r="L9" t="s">
        <v>96</v>
      </c>
      <c r="M9" t="s">
        <v>60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42</v>
      </c>
      <c r="U9" t="s">
        <v>43</v>
      </c>
      <c r="V9" t="str">
        <f t="shared" si="0"/>
        <v/>
      </c>
      <c r="W9" t="str">
        <f t="shared" si="1"/>
        <v/>
      </c>
      <c r="X9">
        <f t="shared" si="2"/>
        <v>-1.0661353799231277</v>
      </c>
      <c r="Y9">
        <f t="shared" si="3"/>
        <v>2980.71</v>
      </c>
      <c r="Z9">
        <f t="shared" si="4"/>
        <v>623.49000000000024</v>
      </c>
      <c r="AA9">
        <f t="shared" si="5"/>
        <v>0.20917499521925992</v>
      </c>
      <c r="AB9">
        <f t="shared" si="6"/>
        <v>3</v>
      </c>
      <c r="AC9" t="str">
        <f t="shared" si="7"/>
        <v>February</v>
      </c>
      <c r="AD9">
        <f t="shared" si="8"/>
        <v>2025</v>
      </c>
      <c r="AE9" t="str">
        <f t="shared" si="9"/>
        <v>CLEAN</v>
      </c>
    </row>
    <row r="10" spans="1:31">
      <c r="A10" t="s">
        <v>97</v>
      </c>
      <c r="B10" s="3">
        <v>45423</v>
      </c>
      <c r="C10" s="3">
        <v>45576</v>
      </c>
      <c r="D10" t="s">
        <v>98</v>
      </c>
      <c r="E10" t="s">
        <v>99</v>
      </c>
      <c r="F10" t="s">
        <v>100</v>
      </c>
      <c r="G10" t="s">
        <v>64</v>
      </c>
      <c r="H10" t="s">
        <v>65</v>
      </c>
      <c r="I10" t="s">
        <v>66</v>
      </c>
      <c r="J10" t="s">
        <v>38</v>
      </c>
      <c r="K10" t="s">
        <v>101</v>
      </c>
      <c r="L10" t="s">
        <v>102</v>
      </c>
      <c r="M10" t="s">
        <v>60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42</v>
      </c>
      <c r="U10" t="s">
        <v>43</v>
      </c>
      <c r="V10" t="str">
        <f t="shared" si="0"/>
        <v/>
      </c>
      <c r="W10" t="str">
        <f t="shared" si="1"/>
        <v/>
      </c>
      <c r="X10">
        <f t="shared" si="2"/>
        <v>-1.0661353799231277</v>
      </c>
      <c r="Y10">
        <f t="shared" si="3"/>
        <v>25073.599999999999</v>
      </c>
      <c r="Z10">
        <f t="shared" si="4"/>
        <v>7726.369999999999</v>
      </c>
      <c r="AA10">
        <f t="shared" si="5"/>
        <v>0.30814761342607361</v>
      </c>
      <c r="AB10">
        <f t="shared" si="6"/>
        <v>153</v>
      </c>
      <c r="AC10" t="str">
        <f t="shared" si="7"/>
        <v>May</v>
      </c>
      <c r="AD10">
        <f t="shared" si="8"/>
        <v>2024</v>
      </c>
      <c r="AE10" t="str">
        <f t="shared" si="9"/>
        <v>CLEAN</v>
      </c>
    </row>
    <row r="11" spans="1:31">
      <c r="A11" t="s">
        <v>103</v>
      </c>
      <c r="B11" s="3">
        <v>45907</v>
      </c>
      <c r="C11" s="3">
        <v>46000</v>
      </c>
      <c r="D11" t="s">
        <v>104</v>
      </c>
      <c r="E11" t="s">
        <v>46</v>
      </c>
      <c r="F11" t="s">
        <v>105</v>
      </c>
      <c r="G11" t="s">
        <v>64</v>
      </c>
      <c r="H11" t="s">
        <v>65</v>
      </c>
      <c r="I11" t="s">
        <v>66</v>
      </c>
      <c r="J11" t="s">
        <v>38</v>
      </c>
      <c r="K11" t="s">
        <v>39</v>
      </c>
      <c r="L11" t="s">
        <v>106</v>
      </c>
      <c r="M11" t="s">
        <v>41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42</v>
      </c>
      <c r="U11" t="s">
        <v>43</v>
      </c>
      <c r="V11" t="str">
        <f t="shared" si="0"/>
        <v/>
      </c>
      <c r="W11" t="str">
        <f t="shared" si="1"/>
        <v/>
      </c>
      <c r="X11">
        <f t="shared" si="2"/>
        <v>0.84852144912701888</v>
      </c>
      <c r="Y11">
        <f t="shared" si="3"/>
        <v>6134.6880000000001</v>
      </c>
      <c r="Z11">
        <f t="shared" si="4"/>
        <v>2334.498</v>
      </c>
      <c r="AA11">
        <f t="shared" si="5"/>
        <v>0.38054062407085737</v>
      </c>
      <c r="AB11">
        <f t="shared" si="6"/>
        <v>93</v>
      </c>
      <c r="AC11" t="str">
        <f t="shared" si="7"/>
        <v>September</v>
      </c>
      <c r="AD11">
        <f t="shared" si="8"/>
        <v>2025</v>
      </c>
      <c r="AE11" t="str">
        <f t="shared" si="9"/>
        <v>CLEAN</v>
      </c>
    </row>
    <row r="12" spans="1:31">
      <c r="A12" t="s">
        <v>107</v>
      </c>
      <c r="B12" s="3">
        <v>45797</v>
      </c>
      <c r="C12" s="3">
        <v>45797</v>
      </c>
      <c r="D12" t="s">
        <v>108</v>
      </c>
      <c r="E12" t="s">
        <v>72</v>
      </c>
      <c r="F12" t="s">
        <v>100</v>
      </c>
      <c r="G12" t="s">
        <v>48</v>
      </c>
      <c r="H12" t="s">
        <v>109</v>
      </c>
      <c r="I12" t="s">
        <v>110</v>
      </c>
      <c r="J12" t="s">
        <v>38</v>
      </c>
      <c r="K12" t="s">
        <v>101</v>
      </c>
      <c r="L12" t="s">
        <v>111</v>
      </c>
      <c r="M12" t="s">
        <v>41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112</v>
      </c>
      <c r="U12" t="s">
        <v>113</v>
      </c>
      <c r="V12" t="str">
        <f t="shared" si="0"/>
        <v/>
      </c>
      <c r="W12" t="str">
        <f t="shared" si="1"/>
        <v/>
      </c>
      <c r="X12">
        <f t="shared" si="2"/>
        <v>-0.58747117266059101</v>
      </c>
      <c r="Y12">
        <f t="shared" si="3"/>
        <v>10074.2655</v>
      </c>
      <c r="Z12">
        <f t="shared" si="4"/>
        <v>4025.9954999999991</v>
      </c>
      <c r="AA12">
        <f t="shared" si="5"/>
        <v>0.39963166545491574</v>
      </c>
      <c r="AB12">
        <f t="shared" si="6"/>
        <v>0</v>
      </c>
      <c r="AC12" t="str">
        <f t="shared" si="7"/>
        <v>May</v>
      </c>
      <c r="AD12">
        <f t="shared" si="8"/>
        <v>2025</v>
      </c>
      <c r="AE12" t="str">
        <f t="shared" si="9"/>
        <v>CLEAN</v>
      </c>
    </row>
    <row r="13" spans="1:31">
      <c r="A13" t="s">
        <v>114</v>
      </c>
      <c r="B13" s="3">
        <v>45495</v>
      </c>
      <c r="C13" s="3">
        <v>45496</v>
      </c>
      <c r="D13" t="s">
        <v>115</v>
      </c>
      <c r="E13" t="s">
        <v>81</v>
      </c>
      <c r="F13" t="s">
        <v>47</v>
      </c>
      <c r="G13" t="s">
        <v>48</v>
      </c>
      <c r="H13" t="s">
        <v>49</v>
      </c>
      <c r="I13" t="s">
        <v>50</v>
      </c>
      <c r="J13" t="s">
        <v>84</v>
      </c>
      <c r="K13" t="s">
        <v>85</v>
      </c>
      <c r="L13" t="s">
        <v>116</v>
      </c>
      <c r="M13" t="s">
        <v>54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42</v>
      </c>
      <c r="U13" t="s">
        <v>43</v>
      </c>
      <c r="V13" t="str">
        <f t="shared" si="0"/>
        <v/>
      </c>
      <c r="W13" t="str">
        <f t="shared" si="1"/>
        <v/>
      </c>
      <c r="X13">
        <f t="shared" si="2"/>
        <v>0.84852144912701888</v>
      </c>
      <c r="Y13">
        <f t="shared" si="3"/>
        <v>9628.5600000000013</v>
      </c>
      <c r="Z13">
        <f t="shared" si="4"/>
        <v>1589.9700000000012</v>
      </c>
      <c r="AA13">
        <f t="shared" si="5"/>
        <v>0.16513061143099289</v>
      </c>
      <c r="AB13">
        <f t="shared" si="6"/>
        <v>1</v>
      </c>
      <c r="AC13" t="str">
        <f t="shared" si="7"/>
        <v>July</v>
      </c>
      <c r="AD13">
        <f t="shared" si="8"/>
        <v>2024</v>
      </c>
      <c r="AE13" t="str">
        <f t="shared" si="9"/>
        <v>CLEAN</v>
      </c>
    </row>
    <row r="14" spans="1:31">
      <c r="A14" t="s">
        <v>117</v>
      </c>
      <c r="B14" s="3">
        <v>45646</v>
      </c>
      <c r="C14" s="3">
        <v>45647</v>
      </c>
      <c r="D14" t="s">
        <v>118</v>
      </c>
      <c r="E14" t="s">
        <v>72</v>
      </c>
      <c r="F14" t="s">
        <v>100</v>
      </c>
      <c r="G14" t="s">
        <v>73</v>
      </c>
      <c r="H14" t="s">
        <v>36</v>
      </c>
      <c r="I14" t="s">
        <v>119</v>
      </c>
      <c r="J14" t="s">
        <v>38</v>
      </c>
      <c r="K14" t="s">
        <v>39</v>
      </c>
      <c r="L14" t="s">
        <v>120</v>
      </c>
      <c r="M14" t="s">
        <v>60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121</v>
      </c>
      <c r="U14" t="s">
        <v>113</v>
      </c>
      <c r="V14" t="str">
        <f t="shared" si="0"/>
        <v/>
      </c>
      <c r="W14" t="str">
        <f t="shared" si="1"/>
        <v/>
      </c>
      <c r="X14">
        <f t="shared" si="2"/>
        <v>0.3698572418644821</v>
      </c>
      <c r="Y14">
        <f t="shared" si="3"/>
        <v>596.81899999999996</v>
      </c>
      <c r="Z14">
        <f t="shared" si="4"/>
        <v>216.56899999999996</v>
      </c>
      <c r="AA14">
        <f t="shared" si="5"/>
        <v>0.36287216057129545</v>
      </c>
      <c r="AB14">
        <f t="shared" si="6"/>
        <v>1</v>
      </c>
      <c r="AC14" t="str">
        <f t="shared" si="7"/>
        <v>December</v>
      </c>
      <c r="AD14">
        <f t="shared" si="8"/>
        <v>2024</v>
      </c>
      <c r="AE14" t="str">
        <f t="shared" si="9"/>
        <v>CLEAN</v>
      </c>
    </row>
    <row r="15" spans="1:31">
      <c r="A15" t="s">
        <v>122</v>
      </c>
      <c r="B15" s="3">
        <v>45942</v>
      </c>
      <c r="C15" s="3">
        <v>45946</v>
      </c>
      <c r="D15" t="s">
        <v>123</v>
      </c>
      <c r="E15" t="s">
        <v>124</v>
      </c>
      <c r="F15" t="s">
        <v>47</v>
      </c>
      <c r="G15" t="s">
        <v>73</v>
      </c>
      <c r="H15" t="s">
        <v>74</v>
      </c>
      <c r="I15" t="s">
        <v>75</v>
      </c>
      <c r="J15" t="s">
        <v>38</v>
      </c>
      <c r="K15" t="s">
        <v>58</v>
      </c>
      <c r="L15" t="s">
        <v>125</v>
      </c>
      <c r="M15" t="s">
        <v>41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42</v>
      </c>
      <c r="U15" t="s">
        <v>43</v>
      </c>
      <c r="V15" t="str">
        <f t="shared" si="0"/>
        <v/>
      </c>
      <c r="W15" t="str">
        <f t="shared" si="1"/>
        <v/>
      </c>
      <c r="X15">
        <f t="shared" si="2"/>
        <v>-0.58747117266059101</v>
      </c>
      <c r="Y15">
        <f t="shared" si="3"/>
        <v>26365.387999999995</v>
      </c>
      <c r="Z15">
        <f t="shared" si="4"/>
        <v>4059.1479999999938</v>
      </c>
      <c r="AA15">
        <f t="shared" si="5"/>
        <v>0.15395745361304733</v>
      </c>
      <c r="AB15">
        <f t="shared" si="6"/>
        <v>4</v>
      </c>
      <c r="AC15" t="str">
        <f t="shared" si="7"/>
        <v>October</v>
      </c>
      <c r="AD15">
        <f t="shared" si="8"/>
        <v>2025</v>
      </c>
      <c r="AE15" t="str">
        <f t="shared" si="9"/>
        <v>CLEAN</v>
      </c>
    </row>
    <row r="16" spans="1:31">
      <c r="A16" t="s">
        <v>126</v>
      </c>
      <c r="B16" s="3">
        <v>45653</v>
      </c>
      <c r="C16" s="3">
        <v>45654</v>
      </c>
      <c r="D16" t="s">
        <v>127</v>
      </c>
      <c r="E16" t="s">
        <v>128</v>
      </c>
      <c r="F16" t="s">
        <v>34</v>
      </c>
      <c r="G16" t="s">
        <v>73</v>
      </c>
      <c r="H16" t="s">
        <v>36</v>
      </c>
      <c r="I16" t="s">
        <v>119</v>
      </c>
      <c r="J16" t="s">
        <v>84</v>
      </c>
      <c r="K16" t="s">
        <v>90</v>
      </c>
      <c r="L16" t="s">
        <v>129</v>
      </c>
      <c r="M16" t="s">
        <v>69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42</v>
      </c>
      <c r="U16" t="s">
        <v>43</v>
      </c>
      <c r="V16" t="str">
        <f t="shared" si="0"/>
        <v/>
      </c>
      <c r="W16" t="str">
        <f t="shared" si="1"/>
        <v/>
      </c>
      <c r="X16">
        <f t="shared" si="2"/>
        <v>1.3271856563895552</v>
      </c>
      <c r="Y16">
        <f t="shared" si="3"/>
        <v>4106.7449999999999</v>
      </c>
      <c r="Z16">
        <f t="shared" si="4"/>
        <v>1440.4449999999997</v>
      </c>
      <c r="AA16">
        <f t="shared" si="5"/>
        <v>0.35075102057712365</v>
      </c>
      <c r="AB16">
        <f t="shared" si="6"/>
        <v>1</v>
      </c>
      <c r="AC16" t="str">
        <f t="shared" si="7"/>
        <v>December</v>
      </c>
      <c r="AD16">
        <f t="shared" si="8"/>
        <v>2024</v>
      </c>
      <c r="AE16" t="str">
        <f t="shared" si="9"/>
        <v>CLEAN</v>
      </c>
    </row>
    <row r="17" spans="1:31">
      <c r="A17" t="s">
        <v>130</v>
      </c>
      <c r="B17" s="3">
        <v>45542</v>
      </c>
      <c r="C17" s="3">
        <v>45482</v>
      </c>
      <c r="D17" t="s">
        <v>131</v>
      </c>
      <c r="E17" t="s">
        <v>33</v>
      </c>
      <c r="F17" t="s">
        <v>47</v>
      </c>
      <c r="G17" t="s">
        <v>35</v>
      </c>
      <c r="H17" t="s">
        <v>132</v>
      </c>
      <c r="I17" t="s">
        <v>133</v>
      </c>
      <c r="J17" t="s">
        <v>38</v>
      </c>
      <c r="K17" t="s">
        <v>134</v>
      </c>
      <c r="L17" t="s">
        <v>135</v>
      </c>
      <c r="M17" t="s">
        <v>41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42</v>
      </c>
      <c r="U17" t="s">
        <v>43</v>
      </c>
      <c r="V17" t="str">
        <f t="shared" si="0"/>
        <v/>
      </c>
      <c r="W17" t="str">
        <f t="shared" si="1"/>
        <v>Invalid Shipping Record</v>
      </c>
      <c r="X17">
        <f t="shared" si="2"/>
        <v>-1.0661353799231277</v>
      </c>
      <c r="Y17">
        <f t="shared" si="3"/>
        <v>23794.560000000001</v>
      </c>
      <c r="Z17">
        <f t="shared" si="4"/>
        <v>8096.090000000002</v>
      </c>
      <c r="AA17">
        <f t="shared" si="5"/>
        <v>0.34024962008122872</v>
      </c>
      <c r="AB17" t="e">
        <f t="shared" si="6"/>
        <v>#NUM!</v>
      </c>
      <c r="AC17" t="str">
        <f t="shared" si="7"/>
        <v>September</v>
      </c>
      <c r="AD17">
        <f t="shared" si="8"/>
        <v>2024</v>
      </c>
      <c r="AE17" t="str">
        <f t="shared" si="9"/>
        <v>INVALID</v>
      </c>
    </row>
    <row r="18" spans="1:31">
      <c r="A18" t="s">
        <v>136</v>
      </c>
      <c r="B18" s="3">
        <v>45509</v>
      </c>
      <c r="C18" s="3">
        <v>45427</v>
      </c>
      <c r="D18" t="s">
        <v>137</v>
      </c>
      <c r="E18" t="s">
        <v>138</v>
      </c>
      <c r="F18" t="s">
        <v>34</v>
      </c>
      <c r="G18" t="s">
        <v>64</v>
      </c>
      <c r="H18" t="s">
        <v>65</v>
      </c>
      <c r="I18" t="s">
        <v>66</v>
      </c>
      <c r="J18" t="s">
        <v>38</v>
      </c>
      <c r="K18" t="s">
        <v>58</v>
      </c>
      <c r="L18" t="s">
        <v>139</v>
      </c>
      <c r="M18" t="s">
        <v>60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42</v>
      </c>
      <c r="U18" t="s">
        <v>43</v>
      </c>
      <c r="V18" t="str">
        <f t="shared" si="0"/>
        <v/>
      </c>
      <c r="W18" t="str">
        <f t="shared" si="1"/>
        <v>Invalid Shipping Record</v>
      </c>
      <c r="X18">
        <f t="shared" si="2"/>
        <v>1.3271856563895552</v>
      </c>
      <c r="Y18">
        <f t="shared" si="3"/>
        <v>9970.5300000000007</v>
      </c>
      <c r="Z18">
        <f t="shared" si="4"/>
        <v>4302.3600000000006</v>
      </c>
      <c r="AA18">
        <f t="shared" si="5"/>
        <v>0.43150765305354882</v>
      </c>
      <c r="AB18" t="e">
        <f t="shared" si="6"/>
        <v>#NUM!</v>
      </c>
      <c r="AC18" t="str">
        <f t="shared" si="7"/>
        <v>August</v>
      </c>
      <c r="AD18">
        <f t="shared" si="8"/>
        <v>2024</v>
      </c>
      <c r="AE18" t="str">
        <f t="shared" si="9"/>
        <v>INVALID</v>
      </c>
    </row>
    <row r="19" spans="1:31">
      <c r="A19" t="s">
        <v>140</v>
      </c>
      <c r="B19" s="3">
        <v>45474</v>
      </c>
      <c r="C19" s="3">
        <v>45299</v>
      </c>
      <c r="D19" t="s">
        <v>141</v>
      </c>
      <c r="E19" t="s">
        <v>142</v>
      </c>
      <c r="F19" t="s">
        <v>47</v>
      </c>
      <c r="G19" t="s">
        <v>35</v>
      </c>
      <c r="H19" t="s">
        <v>36</v>
      </c>
      <c r="I19" t="s">
        <v>37</v>
      </c>
      <c r="J19" t="s">
        <v>51</v>
      </c>
      <c r="K19" t="s">
        <v>67</v>
      </c>
      <c r="L19" t="s">
        <v>143</v>
      </c>
      <c r="M19" t="s">
        <v>54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42</v>
      </c>
      <c r="U19" t="s">
        <v>43</v>
      </c>
      <c r="V19" t="str">
        <f t="shared" si="0"/>
        <v/>
      </c>
      <c r="W19" t="str">
        <f t="shared" si="1"/>
        <v>Invalid Shipping Record</v>
      </c>
      <c r="X19">
        <f t="shared" si="2"/>
        <v>-1.0661353799231277</v>
      </c>
      <c r="Y19">
        <f t="shared" si="3"/>
        <v>7633.9</v>
      </c>
      <c r="Z19">
        <f t="shared" si="4"/>
        <v>2926.99</v>
      </c>
      <c r="AA19">
        <f t="shared" si="5"/>
        <v>0.38342000812166782</v>
      </c>
      <c r="AB19" t="e">
        <f t="shared" si="6"/>
        <v>#NUM!</v>
      </c>
      <c r="AC19" t="str">
        <f t="shared" si="7"/>
        <v>July</v>
      </c>
      <c r="AD19">
        <f t="shared" si="8"/>
        <v>2024</v>
      </c>
      <c r="AE19" t="str">
        <f t="shared" si="9"/>
        <v>INVALID</v>
      </c>
    </row>
    <row r="20" spans="1:31">
      <c r="A20" t="s">
        <v>144</v>
      </c>
      <c r="B20" s="3">
        <v>45853</v>
      </c>
      <c r="C20" s="3">
        <v>45855</v>
      </c>
      <c r="D20" t="s">
        <v>145</v>
      </c>
      <c r="E20" t="s">
        <v>138</v>
      </c>
      <c r="F20" t="s">
        <v>105</v>
      </c>
      <c r="G20" t="s">
        <v>35</v>
      </c>
      <c r="H20" t="s">
        <v>146</v>
      </c>
      <c r="I20" t="s">
        <v>147</v>
      </c>
      <c r="J20" t="s">
        <v>84</v>
      </c>
      <c r="K20" t="s">
        <v>90</v>
      </c>
      <c r="L20" t="s">
        <v>148</v>
      </c>
      <c r="M20" t="s">
        <v>60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112</v>
      </c>
      <c r="U20" t="s">
        <v>78</v>
      </c>
      <c r="V20" t="str">
        <f t="shared" si="0"/>
        <v/>
      </c>
      <c r="W20" t="str">
        <f t="shared" si="1"/>
        <v/>
      </c>
      <c r="X20">
        <f t="shared" si="2"/>
        <v>-1.0661353799231277</v>
      </c>
      <c r="Y20">
        <f t="shared" si="3"/>
        <v>3995.98</v>
      </c>
      <c r="Z20">
        <f t="shared" si="4"/>
        <v>1362.7800000000002</v>
      </c>
      <c r="AA20">
        <f t="shared" si="5"/>
        <v>0.34103774293164635</v>
      </c>
      <c r="AB20">
        <f t="shared" si="6"/>
        <v>2</v>
      </c>
      <c r="AC20" t="str">
        <f t="shared" si="7"/>
        <v>July</v>
      </c>
      <c r="AD20">
        <f t="shared" si="8"/>
        <v>2025</v>
      </c>
      <c r="AE20" t="str">
        <f t="shared" si="9"/>
        <v>WARNING</v>
      </c>
    </row>
    <row r="21" spans="1:31">
      <c r="A21" t="s">
        <v>149</v>
      </c>
      <c r="B21" s="3">
        <v>45500</v>
      </c>
      <c r="C21" s="3">
        <v>45504</v>
      </c>
      <c r="D21" t="s">
        <v>150</v>
      </c>
      <c r="E21" t="s">
        <v>151</v>
      </c>
      <c r="F21" t="s">
        <v>105</v>
      </c>
      <c r="G21" t="s">
        <v>73</v>
      </c>
      <c r="H21" t="s">
        <v>82</v>
      </c>
      <c r="I21" t="s">
        <v>83</v>
      </c>
      <c r="J21" t="s">
        <v>38</v>
      </c>
      <c r="K21" t="s">
        <v>134</v>
      </c>
      <c r="L21" t="s">
        <v>152</v>
      </c>
      <c r="M21" t="s">
        <v>41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42</v>
      </c>
      <c r="U21" t="s">
        <v>43</v>
      </c>
      <c r="V21" t="str">
        <f t="shared" si="0"/>
        <v>Invalid Discount</v>
      </c>
      <c r="W21" t="str">
        <f t="shared" si="1"/>
        <v/>
      </c>
      <c r="X21">
        <f t="shared" si="2"/>
        <v>-2.8850593675207667</v>
      </c>
      <c r="Y21">
        <f t="shared" si="3"/>
        <v>13879.9458</v>
      </c>
      <c r="Z21">
        <f t="shared" si="4"/>
        <v>6350.6357999999991</v>
      </c>
      <c r="AA21">
        <f t="shared" si="5"/>
        <v>0.45754038895454474</v>
      </c>
      <c r="AB21">
        <f t="shared" si="6"/>
        <v>4</v>
      </c>
      <c r="AC21" t="str">
        <f t="shared" si="7"/>
        <v>July</v>
      </c>
      <c r="AD21">
        <f t="shared" si="8"/>
        <v>2024</v>
      </c>
      <c r="AE21" t="str">
        <f t="shared" si="9"/>
        <v>INVALID</v>
      </c>
    </row>
    <row r="22" spans="1:31">
      <c r="A22" t="s">
        <v>153</v>
      </c>
      <c r="B22" s="3">
        <v>45678</v>
      </c>
      <c r="C22" s="3">
        <v>45680</v>
      </c>
      <c r="D22" t="s">
        <v>154</v>
      </c>
      <c r="E22" t="s">
        <v>99</v>
      </c>
      <c r="F22" t="s">
        <v>105</v>
      </c>
      <c r="G22" t="s">
        <v>48</v>
      </c>
      <c r="H22" t="s">
        <v>155</v>
      </c>
      <c r="I22" t="s">
        <v>156</v>
      </c>
      <c r="J22" t="s">
        <v>84</v>
      </c>
      <c r="K22" t="s">
        <v>90</v>
      </c>
      <c r="L22" t="s">
        <v>157</v>
      </c>
      <c r="M22" t="s">
        <v>60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42</v>
      </c>
      <c r="U22" t="s">
        <v>43</v>
      </c>
      <c r="V22" t="str">
        <f t="shared" si="0"/>
        <v/>
      </c>
      <c r="W22" t="str">
        <f t="shared" si="1"/>
        <v/>
      </c>
      <c r="X22">
        <f t="shared" si="2"/>
        <v>1.3271856563895552</v>
      </c>
      <c r="Y22">
        <f t="shared" si="3"/>
        <v>16398.975000000002</v>
      </c>
      <c r="Z22">
        <f t="shared" si="4"/>
        <v>6842.4550000000017</v>
      </c>
      <c r="AA22">
        <f t="shared" si="5"/>
        <v>0.4172489439126531</v>
      </c>
      <c r="AB22">
        <f t="shared" si="6"/>
        <v>2</v>
      </c>
      <c r="AC22" t="str">
        <f t="shared" si="7"/>
        <v>January</v>
      </c>
      <c r="AD22">
        <f t="shared" si="8"/>
        <v>2025</v>
      </c>
      <c r="AE22" t="str">
        <f t="shared" si="9"/>
        <v>CLEAN</v>
      </c>
    </row>
    <row r="23" spans="1:31">
      <c r="A23" t="s">
        <v>158</v>
      </c>
      <c r="B23" s="3">
        <v>45681</v>
      </c>
      <c r="C23" s="3">
        <v>45687</v>
      </c>
      <c r="D23" t="s">
        <v>159</v>
      </c>
      <c r="E23" t="s">
        <v>142</v>
      </c>
      <c r="F23" t="s">
        <v>34</v>
      </c>
      <c r="G23" t="s">
        <v>73</v>
      </c>
      <c r="H23" t="s">
        <v>82</v>
      </c>
      <c r="I23" t="s">
        <v>83</v>
      </c>
      <c r="J23" t="s">
        <v>51</v>
      </c>
      <c r="K23" t="s">
        <v>67</v>
      </c>
      <c r="L23" t="s">
        <v>160</v>
      </c>
      <c r="M23" t="s">
        <v>41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42</v>
      </c>
      <c r="U23" t="s">
        <v>43</v>
      </c>
      <c r="V23" t="str">
        <f t="shared" si="0"/>
        <v>Invalid Discount</v>
      </c>
      <c r="W23" t="str">
        <f t="shared" si="1"/>
        <v/>
      </c>
      <c r="X23">
        <f t="shared" si="2"/>
        <v>-3.2679907333307958</v>
      </c>
      <c r="Y23">
        <f t="shared" si="3"/>
        <v>3432.6348000000003</v>
      </c>
      <c r="Z23">
        <f t="shared" si="4"/>
        <v>1394.9248000000002</v>
      </c>
      <c r="AA23">
        <f t="shared" si="5"/>
        <v>0.40637145553613807</v>
      </c>
      <c r="AB23">
        <f t="shared" si="6"/>
        <v>6</v>
      </c>
      <c r="AC23" t="str">
        <f t="shared" si="7"/>
        <v>January</v>
      </c>
      <c r="AD23">
        <f t="shared" si="8"/>
        <v>2025</v>
      </c>
      <c r="AE23" t="str">
        <f t="shared" si="9"/>
        <v>INVALID</v>
      </c>
    </row>
    <row r="24" spans="1:31">
      <c r="A24" t="s">
        <v>161</v>
      </c>
      <c r="B24" s="3">
        <v>45676</v>
      </c>
      <c r="C24" s="3">
        <v>45678</v>
      </c>
      <c r="D24" t="s">
        <v>162</v>
      </c>
      <c r="E24" t="s">
        <v>46</v>
      </c>
      <c r="F24" t="s">
        <v>34</v>
      </c>
      <c r="G24" t="s">
        <v>64</v>
      </c>
      <c r="H24" t="s">
        <v>65</v>
      </c>
      <c r="I24" t="s">
        <v>66</v>
      </c>
      <c r="J24" t="s">
        <v>38</v>
      </c>
      <c r="K24" t="s">
        <v>163</v>
      </c>
      <c r="L24" t="s">
        <v>164</v>
      </c>
      <c r="M24" t="s">
        <v>69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165</v>
      </c>
      <c r="U24" t="s">
        <v>113</v>
      </c>
      <c r="V24" t="str">
        <f t="shared" si="0"/>
        <v/>
      </c>
      <c r="W24" t="str">
        <f t="shared" si="1"/>
        <v/>
      </c>
      <c r="X24">
        <f t="shared" si="2"/>
        <v>0.3698572418644821</v>
      </c>
      <c r="Y24">
        <f t="shared" si="3"/>
        <v>8291.5119999999988</v>
      </c>
      <c r="Z24">
        <f t="shared" si="4"/>
        <v>1606.4819999999991</v>
      </c>
      <c r="AA24">
        <f t="shared" si="5"/>
        <v>0.19375018693816029</v>
      </c>
      <c r="AB24">
        <f t="shared" si="6"/>
        <v>2</v>
      </c>
      <c r="AC24" t="str">
        <f t="shared" si="7"/>
        <v>January</v>
      </c>
      <c r="AD24">
        <f t="shared" si="8"/>
        <v>2025</v>
      </c>
      <c r="AE24" t="str">
        <f t="shared" si="9"/>
        <v>CLEAN</v>
      </c>
    </row>
    <row r="25" spans="1:31">
      <c r="A25" t="s">
        <v>166</v>
      </c>
      <c r="B25" s="3">
        <v>45898</v>
      </c>
      <c r="C25" s="3">
        <v>45900</v>
      </c>
      <c r="D25" t="s">
        <v>167</v>
      </c>
      <c r="E25" t="s">
        <v>128</v>
      </c>
      <c r="F25" t="s">
        <v>105</v>
      </c>
      <c r="G25" t="s">
        <v>48</v>
      </c>
      <c r="H25" t="s">
        <v>155</v>
      </c>
      <c r="I25" t="s">
        <v>156</v>
      </c>
      <c r="J25" t="s">
        <v>51</v>
      </c>
      <c r="K25" t="s">
        <v>168</v>
      </c>
      <c r="L25" t="s">
        <v>169</v>
      </c>
      <c r="M25" t="s">
        <v>60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42</v>
      </c>
      <c r="U25" t="s">
        <v>43</v>
      </c>
      <c r="V25" t="str">
        <f t="shared" si="0"/>
        <v/>
      </c>
      <c r="W25" t="str">
        <f t="shared" si="1"/>
        <v/>
      </c>
      <c r="X25">
        <f t="shared" si="2"/>
        <v>0.84852144912701888</v>
      </c>
      <c r="Y25">
        <f t="shared" si="3"/>
        <v>6265.6320000000005</v>
      </c>
      <c r="Z25">
        <f t="shared" si="4"/>
        <v>1943.7720000000008</v>
      </c>
      <c r="AA25">
        <f t="shared" si="5"/>
        <v>0.31022760353624351</v>
      </c>
      <c r="AB25">
        <f t="shared" si="6"/>
        <v>2</v>
      </c>
      <c r="AC25" t="str">
        <f t="shared" si="7"/>
        <v>August</v>
      </c>
      <c r="AD25">
        <f t="shared" si="8"/>
        <v>2025</v>
      </c>
      <c r="AE25" t="str">
        <f t="shared" si="9"/>
        <v>CLEAN</v>
      </c>
    </row>
    <row r="26" spans="1:31">
      <c r="A26" t="s">
        <v>170</v>
      </c>
      <c r="B26" s="3">
        <v>45355</v>
      </c>
      <c r="C26" s="3">
        <v>45294</v>
      </c>
      <c r="D26" t="s">
        <v>171</v>
      </c>
      <c r="E26" t="s">
        <v>172</v>
      </c>
      <c r="F26" t="s">
        <v>34</v>
      </c>
      <c r="G26" t="s">
        <v>35</v>
      </c>
      <c r="H26" t="s">
        <v>132</v>
      </c>
      <c r="I26" t="s">
        <v>133</v>
      </c>
      <c r="J26" t="s">
        <v>38</v>
      </c>
      <c r="K26" t="s">
        <v>58</v>
      </c>
      <c r="L26" t="s">
        <v>173</v>
      </c>
      <c r="M26" t="s">
        <v>69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121</v>
      </c>
      <c r="U26" t="s">
        <v>78</v>
      </c>
      <c r="V26" t="str">
        <f t="shared" si="0"/>
        <v/>
      </c>
      <c r="W26" t="str">
        <f t="shared" si="1"/>
        <v>Invalid Shipping Record</v>
      </c>
      <c r="X26">
        <f t="shared" si="2"/>
        <v>1.3271856563895552</v>
      </c>
      <c r="Y26">
        <f t="shared" si="3"/>
        <v>13478.82</v>
      </c>
      <c r="Z26">
        <f t="shared" si="4"/>
        <v>2541.4699999999993</v>
      </c>
      <c r="AA26">
        <f t="shared" si="5"/>
        <v>0.18855285551702591</v>
      </c>
      <c r="AB26" t="e">
        <f t="shared" si="6"/>
        <v>#NUM!</v>
      </c>
      <c r="AC26" t="str">
        <f t="shared" si="7"/>
        <v>March</v>
      </c>
      <c r="AD26">
        <f t="shared" si="8"/>
        <v>2024</v>
      </c>
      <c r="AE26" t="str">
        <f t="shared" si="9"/>
        <v>INVALID</v>
      </c>
    </row>
    <row r="27" spans="1:31">
      <c r="A27" t="s">
        <v>174</v>
      </c>
      <c r="B27" s="3">
        <v>45576</v>
      </c>
      <c r="C27" s="3">
        <v>45584</v>
      </c>
      <c r="D27" t="s">
        <v>175</v>
      </c>
      <c r="E27" t="s">
        <v>63</v>
      </c>
      <c r="F27" t="s">
        <v>100</v>
      </c>
      <c r="G27" t="s">
        <v>48</v>
      </c>
      <c r="H27" t="s">
        <v>176</v>
      </c>
      <c r="I27" t="s">
        <v>177</v>
      </c>
      <c r="J27" t="s">
        <v>84</v>
      </c>
      <c r="K27" t="s">
        <v>85</v>
      </c>
      <c r="L27" t="s">
        <v>178</v>
      </c>
      <c r="M27" t="s">
        <v>60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42</v>
      </c>
      <c r="U27" t="s">
        <v>43</v>
      </c>
      <c r="V27" t="str">
        <f t="shared" si="0"/>
        <v/>
      </c>
      <c r="W27" t="str">
        <f t="shared" si="1"/>
        <v/>
      </c>
      <c r="X27">
        <f t="shared" si="2"/>
        <v>0.3698572418644821</v>
      </c>
      <c r="Y27">
        <f t="shared" si="3"/>
        <v>7335.8399999999992</v>
      </c>
      <c r="Z27">
        <f t="shared" si="4"/>
        <v>2367.4299999999994</v>
      </c>
      <c r="AA27">
        <f t="shared" si="5"/>
        <v>0.32272105171323251</v>
      </c>
      <c r="AB27">
        <f t="shared" si="6"/>
        <v>8</v>
      </c>
      <c r="AC27" t="str">
        <f t="shared" si="7"/>
        <v>October</v>
      </c>
      <c r="AD27">
        <f t="shared" si="8"/>
        <v>2024</v>
      </c>
      <c r="AE27" t="str">
        <f t="shared" si="9"/>
        <v>CLEAN</v>
      </c>
    </row>
    <row r="28" spans="1:31">
      <c r="A28" t="s">
        <v>179</v>
      </c>
      <c r="B28" s="3">
        <v>45619</v>
      </c>
      <c r="C28" s="3">
        <v>45619</v>
      </c>
      <c r="D28" t="s">
        <v>180</v>
      </c>
      <c r="E28" t="s">
        <v>172</v>
      </c>
      <c r="F28" t="s">
        <v>100</v>
      </c>
      <c r="G28" t="s">
        <v>35</v>
      </c>
      <c r="H28" t="s">
        <v>146</v>
      </c>
      <c r="I28" t="s">
        <v>147</v>
      </c>
      <c r="J28" t="s">
        <v>84</v>
      </c>
      <c r="K28" t="s">
        <v>181</v>
      </c>
      <c r="L28" t="s">
        <v>182</v>
      </c>
      <c r="M28" t="s">
        <v>69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42</v>
      </c>
      <c r="U28" t="s">
        <v>113</v>
      </c>
      <c r="V28" t="str">
        <f t="shared" si="0"/>
        <v/>
      </c>
      <c r="W28" t="str">
        <f t="shared" si="1"/>
        <v/>
      </c>
      <c r="X28">
        <f t="shared" si="2"/>
        <v>-0.10880696539805437</v>
      </c>
      <c r="Y28">
        <f t="shared" si="3"/>
        <v>2578.0680000000002</v>
      </c>
      <c r="Z28">
        <f t="shared" si="4"/>
        <v>1050.5180000000003</v>
      </c>
      <c r="AA28">
        <f t="shared" si="5"/>
        <v>0.40748265755596835</v>
      </c>
      <c r="AB28">
        <f t="shared" si="6"/>
        <v>0</v>
      </c>
      <c r="AC28" t="str">
        <f t="shared" si="7"/>
        <v>November</v>
      </c>
      <c r="AD28">
        <f t="shared" si="8"/>
        <v>2024</v>
      </c>
      <c r="AE28" t="str">
        <f t="shared" si="9"/>
        <v>CLEAN</v>
      </c>
    </row>
    <row r="29" spans="1:31">
      <c r="A29" t="s">
        <v>183</v>
      </c>
      <c r="B29" s="3">
        <v>45929</v>
      </c>
      <c r="C29" s="3">
        <v>45935</v>
      </c>
      <c r="D29" t="s">
        <v>184</v>
      </c>
      <c r="E29" t="s">
        <v>63</v>
      </c>
      <c r="F29" t="s">
        <v>47</v>
      </c>
      <c r="G29" t="s">
        <v>64</v>
      </c>
      <c r="H29" t="s">
        <v>185</v>
      </c>
      <c r="I29" t="s">
        <v>186</v>
      </c>
      <c r="J29" t="s">
        <v>38</v>
      </c>
      <c r="K29" t="s">
        <v>39</v>
      </c>
      <c r="L29" t="s">
        <v>187</v>
      </c>
      <c r="M29" t="s">
        <v>41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165</v>
      </c>
      <c r="U29" t="s">
        <v>113</v>
      </c>
      <c r="V29" t="str">
        <f t="shared" si="0"/>
        <v/>
      </c>
      <c r="W29" t="str">
        <f t="shared" si="1"/>
        <v/>
      </c>
      <c r="X29">
        <f t="shared" si="2"/>
        <v>1.3271856563895552</v>
      </c>
      <c r="Y29">
        <f t="shared" si="3"/>
        <v>6774.4124999999995</v>
      </c>
      <c r="Z29">
        <f t="shared" si="4"/>
        <v>2064.0524999999998</v>
      </c>
      <c r="AA29">
        <f t="shared" si="5"/>
        <v>0.30468361647596748</v>
      </c>
      <c r="AB29">
        <f t="shared" si="6"/>
        <v>6</v>
      </c>
      <c r="AC29" t="str">
        <f t="shared" si="7"/>
        <v>September</v>
      </c>
      <c r="AD29">
        <f t="shared" si="8"/>
        <v>2025</v>
      </c>
      <c r="AE29" t="str">
        <f t="shared" si="9"/>
        <v>CLEAN</v>
      </c>
    </row>
    <row r="30" spans="1:31">
      <c r="A30" t="s">
        <v>188</v>
      </c>
      <c r="B30" s="3">
        <v>45576</v>
      </c>
      <c r="C30" s="3">
        <v>45583</v>
      </c>
      <c r="D30" t="s">
        <v>189</v>
      </c>
      <c r="E30" t="s">
        <v>72</v>
      </c>
      <c r="F30" t="s">
        <v>105</v>
      </c>
      <c r="G30" t="s">
        <v>73</v>
      </c>
      <c r="H30" t="s">
        <v>190</v>
      </c>
      <c r="I30" t="s">
        <v>191</v>
      </c>
      <c r="J30" t="s">
        <v>84</v>
      </c>
      <c r="K30" t="s">
        <v>181</v>
      </c>
      <c r="L30" t="s">
        <v>192</v>
      </c>
      <c r="M30" t="s">
        <v>41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112</v>
      </c>
      <c r="U30" t="s">
        <v>78</v>
      </c>
      <c r="V30" t="str">
        <f t="shared" si="0"/>
        <v/>
      </c>
      <c r="W30" t="str">
        <f t="shared" si="1"/>
        <v/>
      </c>
      <c r="X30">
        <f t="shared" si="2"/>
        <v>1.3271856563895552</v>
      </c>
      <c r="Y30">
        <f t="shared" si="3"/>
        <v>2913.33</v>
      </c>
      <c r="Z30">
        <f t="shared" si="4"/>
        <v>791</v>
      </c>
      <c r="AA30">
        <f t="shared" si="5"/>
        <v>0.27151060813570727</v>
      </c>
      <c r="AB30">
        <f t="shared" si="6"/>
        <v>7</v>
      </c>
      <c r="AC30" t="str">
        <f t="shared" si="7"/>
        <v>October</v>
      </c>
      <c r="AD30">
        <f t="shared" si="8"/>
        <v>2024</v>
      </c>
      <c r="AE30" t="str">
        <f t="shared" si="9"/>
        <v>WARNING</v>
      </c>
    </row>
    <row r="31" spans="1:31">
      <c r="A31" t="s">
        <v>193</v>
      </c>
      <c r="B31" s="3">
        <v>45882</v>
      </c>
      <c r="C31" s="3">
        <v>45882</v>
      </c>
      <c r="D31" t="s">
        <v>194</v>
      </c>
      <c r="E31" t="s">
        <v>151</v>
      </c>
      <c r="F31" t="s">
        <v>105</v>
      </c>
      <c r="G31" t="s">
        <v>64</v>
      </c>
      <c r="H31" t="s">
        <v>195</v>
      </c>
      <c r="I31" t="s">
        <v>196</v>
      </c>
      <c r="J31" t="s">
        <v>84</v>
      </c>
      <c r="K31" t="s">
        <v>181</v>
      </c>
      <c r="L31" t="s">
        <v>197</v>
      </c>
      <c r="M31" t="s">
        <v>69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42</v>
      </c>
      <c r="U31" t="s">
        <v>43</v>
      </c>
      <c r="V31" t="str">
        <f t="shared" si="0"/>
        <v/>
      </c>
      <c r="W31" t="str">
        <f t="shared" si="1"/>
        <v/>
      </c>
      <c r="X31">
        <f t="shared" si="2"/>
        <v>0.3698572418644821</v>
      </c>
      <c r="Y31">
        <f t="shared" si="3"/>
        <v>217.60849999999999</v>
      </c>
      <c r="Z31">
        <f t="shared" si="4"/>
        <v>97.838499999999996</v>
      </c>
      <c r="AA31">
        <f t="shared" si="5"/>
        <v>0.44960789675035673</v>
      </c>
      <c r="AB31">
        <f t="shared" si="6"/>
        <v>0</v>
      </c>
      <c r="AC31" t="str">
        <f t="shared" si="7"/>
        <v>August</v>
      </c>
      <c r="AD31">
        <f t="shared" si="8"/>
        <v>2025</v>
      </c>
      <c r="AE31" t="str">
        <f t="shared" si="9"/>
        <v>CLEAN</v>
      </c>
    </row>
    <row r="32" spans="1:31">
      <c r="A32" t="s">
        <v>198</v>
      </c>
      <c r="B32" s="3">
        <v>45331</v>
      </c>
      <c r="C32" s="3">
        <v>45628</v>
      </c>
      <c r="D32" t="s">
        <v>199</v>
      </c>
      <c r="E32" t="s">
        <v>72</v>
      </c>
      <c r="F32" t="s">
        <v>100</v>
      </c>
      <c r="G32" t="s">
        <v>73</v>
      </c>
      <c r="H32" t="s">
        <v>200</v>
      </c>
      <c r="I32" t="s">
        <v>201</v>
      </c>
      <c r="J32" t="s">
        <v>38</v>
      </c>
      <c r="K32" t="s">
        <v>101</v>
      </c>
      <c r="L32" t="s">
        <v>202</v>
      </c>
      <c r="M32" t="s">
        <v>60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42</v>
      </c>
      <c r="U32" t="s">
        <v>43</v>
      </c>
      <c r="V32" t="str">
        <f t="shared" si="0"/>
        <v/>
      </c>
      <c r="W32" t="str">
        <f t="shared" si="1"/>
        <v/>
      </c>
      <c r="X32">
        <f t="shared" si="2"/>
        <v>-0.10880696539805437</v>
      </c>
      <c r="Y32">
        <f t="shared" si="3"/>
        <v>3079.5929999999998</v>
      </c>
      <c r="Z32">
        <f t="shared" si="4"/>
        <v>1077.7029999999997</v>
      </c>
      <c r="AA32">
        <f t="shared" si="5"/>
        <v>0.34994981479695525</v>
      </c>
      <c r="AB32">
        <f t="shared" si="6"/>
        <v>297</v>
      </c>
      <c r="AC32" t="str">
        <f t="shared" si="7"/>
        <v>February</v>
      </c>
      <c r="AD32">
        <f t="shared" si="8"/>
        <v>2024</v>
      </c>
      <c r="AE32" t="str">
        <f t="shared" si="9"/>
        <v>CLEAN</v>
      </c>
    </row>
    <row r="33" spans="1:31">
      <c r="A33" t="s">
        <v>203</v>
      </c>
      <c r="B33" s="3">
        <v>45823</v>
      </c>
      <c r="C33" s="3">
        <v>45827</v>
      </c>
      <c r="D33" t="s">
        <v>204</v>
      </c>
      <c r="E33" t="s">
        <v>33</v>
      </c>
      <c r="F33" t="s">
        <v>47</v>
      </c>
      <c r="G33" t="s">
        <v>73</v>
      </c>
      <c r="H33" t="s">
        <v>82</v>
      </c>
      <c r="I33" t="s">
        <v>83</v>
      </c>
      <c r="J33" t="s">
        <v>38</v>
      </c>
      <c r="K33" t="s">
        <v>39</v>
      </c>
      <c r="L33" t="s">
        <v>205</v>
      </c>
      <c r="M33" t="s">
        <v>41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165</v>
      </c>
      <c r="U33" t="s">
        <v>113</v>
      </c>
      <c r="V33" t="str">
        <f t="shared" si="0"/>
        <v/>
      </c>
      <c r="W33" t="str">
        <f t="shared" si="1"/>
        <v/>
      </c>
      <c r="X33">
        <f t="shared" si="2"/>
        <v>-1.0661353799231277</v>
      </c>
      <c r="Y33">
        <f t="shared" si="3"/>
        <v>27832.95</v>
      </c>
      <c r="Z33">
        <f t="shared" si="4"/>
        <v>10063.200000000001</v>
      </c>
      <c r="AA33">
        <f t="shared" si="5"/>
        <v>0.36155707533696574</v>
      </c>
      <c r="AB33">
        <f t="shared" si="6"/>
        <v>4</v>
      </c>
      <c r="AC33" t="str">
        <f t="shared" si="7"/>
        <v>June</v>
      </c>
      <c r="AD33">
        <f t="shared" si="8"/>
        <v>2025</v>
      </c>
      <c r="AE33" t="str">
        <f t="shared" si="9"/>
        <v>CLEAN</v>
      </c>
    </row>
    <row r="34" spans="1:31">
      <c r="A34" t="s">
        <v>206</v>
      </c>
      <c r="B34" s="3">
        <v>45618</v>
      </c>
      <c r="C34" s="3">
        <v>45622</v>
      </c>
      <c r="D34" t="s">
        <v>207</v>
      </c>
      <c r="E34" t="s">
        <v>138</v>
      </c>
      <c r="F34" t="s">
        <v>100</v>
      </c>
      <c r="G34" t="s">
        <v>64</v>
      </c>
      <c r="H34" t="s">
        <v>94</v>
      </c>
      <c r="I34" t="s">
        <v>95</v>
      </c>
      <c r="J34" t="s">
        <v>84</v>
      </c>
      <c r="K34" t="s">
        <v>181</v>
      </c>
      <c r="L34" t="s">
        <v>208</v>
      </c>
      <c r="M34" t="s">
        <v>41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42</v>
      </c>
      <c r="U34" t="s">
        <v>43</v>
      </c>
      <c r="V34" t="str">
        <f t="shared" si="0"/>
        <v/>
      </c>
      <c r="W34" t="str">
        <f t="shared" si="1"/>
        <v/>
      </c>
      <c r="X34">
        <f t="shared" si="2"/>
        <v>-1.0661353799231277</v>
      </c>
      <c r="Y34">
        <f t="shared" si="3"/>
        <v>12003.75</v>
      </c>
      <c r="Z34">
        <f t="shared" si="4"/>
        <v>4473.83</v>
      </c>
      <c r="AA34">
        <f t="shared" si="5"/>
        <v>0.37270269707383108</v>
      </c>
      <c r="AB34">
        <f t="shared" si="6"/>
        <v>4</v>
      </c>
      <c r="AC34" t="str">
        <f t="shared" si="7"/>
        <v>November</v>
      </c>
      <c r="AD34">
        <f t="shared" si="8"/>
        <v>2024</v>
      </c>
      <c r="AE34" t="str">
        <f t="shared" si="9"/>
        <v>CLEAN</v>
      </c>
    </row>
    <row r="35" spans="1:31">
      <c r="A35" t="s">
        <v>209</v>
      </c>
      <c r="B35" s="3">
        <v>45495</v>
      </c>
      <c r="C35" s="3">
        <v>45500</v>
      </c>
      <c r="D35" t="s">
        <v>210</v>
      </c>
      <c r="E35" t="s">
        <v>124</v>
      </c>
      <c r="F35" t="s">
        <v>105</v>
      </c>
      <c r="G35" t="s">
        <v>73</v>
      </c>
      <c r="H35" t="s">
        <v>200</v>
      </c>
      <c r="I35" t="s">
        <v>201</v>
      </c>
      <c r="J35" t="s">
        <v>51</v>
      </c>
      <c r="K35" t="s">
        <v>52</v>
      </c>
      <c r="L35" t="s">
        <v>211</v>
      </c>
      <c r="M35" t="s">
        <v>54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42</v>
      </c>
      <c r="U35" t="s">
        <v>43</v>
      </c>
      <c r="V35" t="str">
        <f t="shared" si="0"/>
        <v/>
      </c>
      <c r="W35" t="str">
        <f t="shared" si="1"/>
        <v/>
      </c>
      <c r="X35">
        <f t="shared" si="2"/>
        <v>1.3271856563895552</v>
      </c>
      <c r="Y35">
        <f t="shared" si="3"/>
        <v>2585.1525000000001</v>
      </c>
      <c r="Z35">
        <f t="shared" si="4"/>
        <v>514.42250000000013</v>
      </c>
      <c r="AA35">
        <f t="shared" si="5"/>
        <v>0.19899116203009304</v>
      </c>
      <c r="AB35">
        <f t="shared" si="6"/>
        <v>5</v>
      </c>
      <c r="AC35" t="str">
        <f t="shared" si="7"/>
        <v>July</v>
      </c>
      <c r="AD35">
        <f t="shared" si="8"/>
        <v>2024</v>
      </c>
      <c r="AE35" t="str">
        <f t="shared" si="9"/>
        <v>CLEAN</v>
      </c>
    </row>
    <row r="36" spans="1:31">
      <c r="A36" t="s">
        <v>212</v>
      </c>
      <c r="B36" s="3">
        <v>45688</v>
      </c>
      <c r="C36" s="3">
        <v>45693</v>
      </c>
      <c r="D36" t="s">
        <v>213</v>
      </c>
      <c r="E36" t="s">
        <v>124</v>
      </c>
      <c r="F36" t="s">
        <v>105</v>
      </c>
      <c r="G36" t="s">
        <v>48</v>
      </c>
      <c r="H36" t="s">
        <v>109</v>
      </c>
      <c r="I36" t="s">
        <v>110</v>
      </c>
      <c r="J36" t="s">
        <v>51</v>
      </c>
      <c r="K36" t="s">
        <v>76</v>
      </c>
      <c r="L36" t="s">
        <v>214</v>
      </c>
      <c r="M36" t="s">
        <v>215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42</v>
      </c>
      <c r="U36" t="s">
        <v>43</v>
      </c>
      <c r="V36" t="str">
        <f t="shared" si="0"/>
        <v/>
      </c>
      <c r="W36" t="str">
        <f t="shared" si="1"/>
        <v/>
      </c>
      <c r="X36">
        <f t="shared" si="2"/>
        <v>0.84852144912701888</v>
      </c>
      <c r="Y36">
        <f t="shared" si="3"/>
        <v>6655.5039999999999</v>
      </c>
      <c r="Z36">
        <f t="shared" si="4"/>
        <v>2315.2939999999999</v>
      </c>
      <c r="AA36">
        <f t="shared" si="5"/>
        <v>0.34787658455317583</v>
      </c>
      <c r="AB36">
        <f t="shared" si="6"/>
        <v>5</v>
      </c>
      <c r="AC36" t="str">
        <f t="shared" si="7"/>
        <v>January</v>
      </c>
      <c r="AD36">
        <f t="shared" si="8"/>
        <v>2025</v>
      </c>
      <c r="AE36" t="str">
        <f t="shared" si="9"/>
        <v>CLEAN</v>
      </c>
    </row>
    <row r="37" spans="1:31">
      <c r="A37" t="s">
        <v>216</v>
      </c>
      <c r="B37" s="3">
        <v>45441</v>
      </c>
      <c r="C37" s="3">
        <v>45441</v>
      </c>
      <c r="D37" t="s">
        <v>217</v>
      </c>
      <c r="E37" t="s">
        <v>142</v>
      </c>
      <c r="F37" t="s">
        <v>47</v>
      </c>
      <c r="G37" t="s">
        <v>73</v>
      </c>
      <c r="H37" t="s">
        <v>190</v>
      </c>
      <c r="I37" t="s">
        <v>191</v>
      </c>
      <c r="J37" t="s">
        <v>51</v>
      </c>
      <c r="K37" t="s">
        <v>168</v>
      </c>
      <c r="L37" t="s">
        <v>218</v>
      </c>
      <c r="M37" t="s">
        <v>41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121</v>
      </c>
      <c r="U37" t="s">
        <v>113</v>
      </c>
      <c r="V37" t="str">
        <f t="shared" si="0"/>
        <v/>
      </c>
      <c r="W37" t="str">
        <f t="shared" si="1"/>
        <v/>
      </c>
      <c r="X37">
        <f t="shared" si="2"/>
        <v>-0.58747117266059101</v>
      </c>
      <c r="Y37">
        <f t="shared" si="3"/>
        <v>19054.111999999997</v>
      </c>
      <c r="Z37">
        <f t="shared" si="4"/>
        <v>3740.2819999999974</v>
      </c>
      <c r="AA37">
        <f t="shared" si="5"/>
        <v>0.19629789097492437</v>
      </c>
      <c r="AB37">
        <f t="shared" si="6"/>
        <v>0</v>
      </c>
      <c r="AC37" t="str">
        <f t="shared" si="7"/>
        <v>May</v>
      </c>
      <c r="AD37">
        <f t="shared" si="8"/>
        <v>2024</v>
      </c>
      <c r="AE37" t="str">
        <f t="shared" si="9"/>
        <v>CLEAN</v>
      </c>
    </row>
    <row r="38" spans="1:31">
      <c r="A38" t="s">
        <v>219</v>
      </c>
      <c r="B38" s="3">
        <v>45590</v>
      </c>
      <c r="C38" s="3">
        <v>45593</v>
      </c>
      <c r="D38" t="s">
        <v>220</v>
      </c>
      <c r="E38" t="s">
        <v>151</v>
      </c>
      <c r="F38" t="s">
        <v>100</v>
      </c>
      <c r="G38" t="s">
        <v>73</v>
      </c>
      <c r="H38" t="s">
        <v>74</v>
      </c>
      <c r="I38" t="s">
        <v>75</v>
      </c>
      <c r="J38" t="s">
        <v>51</v>
      </c>
      <c r="K38" t="s">
        <v>168</v>
      </c>
      <c r="L38" t="s">
        <v>221</v>
      </c>
      <c r="M38" t="s">
        <v>41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42</v>
      </c>
      <c r="U38" t="s">
        <v>113</v>
      </c>
      <c r="V38" t="str">
        <f t="shared" si="0"/>
        <v/>
      </c>
      <c r="W38" t="str">
        <f t="shared" si="1"/>
        <v/>
      </c>
      <c r="X38">
        <f t="shared" si="2"/>
        <v>-1.0661353799231277</v>
      </c>
      <c r="Y38">
        <f t="shared" si="3"/>
        <v>9379.41</v>
      </c>
      <c r="Z38">
        <f t="shared" si="4"/>
        <v>2708.5599999999995</v>
      </c>
      <c r="AA38">
        <f t="shared" si="5"/>
        <v>0.28877722585962223</v>
      </c>
      <c r="AB38">
        <f t="shared" si="6"/>
        <v>3</v>
      </c>
      <c r="AC38" t="str">
        <f t="shared" si="7"/>
        <v>October</v>
      </c>
      <c r="AD38">
        <f t="shared" si="8"/>
        <v>2024</v>
      </c>
      <c r="AE38" t="str">
        <f t="shared" si="9"/>
        <v>CLEAN</v>
      </c>
    </row>
    <row r="39" spans="1:31">
      <c r="A39" t="s">
        <v>222</v>
      </c>
      <c r="B39" s="3">
        <v>45867</v>
      </c>
      <c r="C39" s="3">
        <v>45867</v>
      </c>
      <c r="D39" t="s">
        <v>223</v>
      </c>
      <c r="E39" t="s">
        <v>172</v>
      </c>
      <c r="F39" t="s">
        <v>34</v>
      </c>
      <c r="G39" t="s">
        <v>73</v>
      </c>
      <c r="H39" t="s">
        <v>74</v>
      </c>
      <c r="I39" t="s">
        <v>75</v>
      </c>
      <c r="J39" t="s">
        <v>84</v>
      </c>
      <c r="K39" t="s">
        <v>90</v>
      </c>
      <c r="L39" t="s">
        <v>224</v>
      </c>
      <c r="M39" t="s">
        <v>225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42</v>
      </c>
      <c r="U39" t="s">
        <v>43</v>
      </c>
      <c r="V39" t="str">
        <f t="shared" si="0"/>
        <v/>
      </c>
      <c r="W39" t="str">
        <f t="shared" si="1"/>
        <v/>
      </c>
      <c r="X39">
        <f t="shared" si="2"/>
        <v>0.84852144912701888</v>
      </c>
      <c r="Y39">
        <f t="shared" si="3"/>
        <v>4248.1279999999997</v>
      </c>
      <c r="Z39">
        <f t="shared" si="4"/>
        <v>927.03799999999956</v>
      </c>
      <c r="AA39">
        <f t="shared" si="5"/>
        <v>0.21822270892025844</v>
      </c>
      <c r="AB39">
        <f t="shared" si="6"/>
        <v>0</v>
      </c>
      <c r="AC39" t="str">
        <f t="shared" si="7"/>
        <v>July</v>
      </c>
      <c r="AD39">
        <f t="shared" si="8"/>
        <v>2025</v>
      </c>
      <c r="AE39" t="str">
        <f t="shared" si="9"/>
        <v>CLEAN</v>
      </c>
    </row>
    <row r="40" spans="1:31">
      <c r="A40" t="s">
        <v>226</v>
      </c>
      <c r="B40" s="3">
        <v>45460</v>
      </c>
      <c r="C40" s="3">
        <v>45465</v>
      </c>
      <c r="D40" t="s">
        <v>227</v>
      </c>
      <c r="E40" t="s">
        <v>138</v>
      </c>
      <c r="F40" t="s">
        <v>100</v>
      </c>
      <c r="G40" t="s">
        <v>73</v>
      </c>
      <c r="H40" t="s">
        <v>190</v>
      </c>
      <c r="I40" t="s">
        <v>191</v>
      </c>
      <c r="J40" t="s">
        <v>84</v>
      </c>
      <c r="K40" t="s">
        <v>181</v>
      </c>
      <c r="L40" t="s">
        <v>228</v>
      </c>
      <c r="M40" t="s">
        <v>60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42</v>
      </c>
      <c r="U40" t="s">
        <v>43</v>
      </c>
      <c r="V40" t="str">
        <f t="shared" si="0"/>
        <v/>
      </c>
      <c r="W40" t="str">
        <f t="shared" si="1"/>
        <v/>
      </c>
      <c r="X40">
        <f t="shared" si="2"/>
        <v>-0.10880696539805437</v>
      </c>
      <c r="Y40">
        <f t="shared" si="3"/>
        <v>13927.284</v>
      </c>
      <c r="Z40">
        <f t="shared" si="4"/>
        <v>3422.4139999999989</v>
      </c>
      <c r="AA40">
        <f t="shared" si="5"/>
        <v>0.24573448778670692</v>
      </c>
      <c r="AB40">
        <f t="shared" si="6"/>
        <v>5</v>
      </c>
      <c r="AC40" t="str">
        <f t="shared" si="7"/>
        <v>June</v>
      </c>
      <c r="AD40">
        <f t="shared" si="8"/>
        <v>2024</v>
      </c>
      <c r="AE40" t="str">
        <f t="shared" si="9"/>
        <v>CLEAN</v>
      </c>
    </row>
    <row r="41" spans="1:31">
      <c r="A41" t="s">
        <v>229</v>
      </c>
      <c r="B41" s="3">
        <v>45608</v>
      </c>
      <c r="C41" s="3">
        <v>45637</v>
      </c>
      <c r="D41" t="s">
        <v>230</v>
      </c>
      <c r="E41" t="s">
        <v>46</v>
      </c>
      <c r="F41" t="s">
        <v>47</v>
      </c>
      <c r="G41" t="s">
        <v>73</v>
      </c>
      <c r="H41" t="s">
        <v>82</v>
      </c>
      <c r="I41" t="s">
        <v>83</v>
      </c>
      <c r="J41" t="s">
        <v>84</v>
      </c>
      <c r="K41" t="s">
        <v>90</v>
      </c>
      <c r="L41" t="s">
        <v>231</v>
      </c>
      <c r="M41" t="s">
        <v>60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121</v>
      </c>
      <c r="U41" t="s">
        <v>113</v>
      </c>
      <c r="V41" t="str">
        <f t="shared" si="0"/>
        <v/>
      </c>
      <c r="W41" t="str">
        <f t="shared" si="1"/>
        <v/>
      </c>
      <c r="X41">
        <f t="shared" si="2"/>
        <v>-0.10880696539805437</v>
      </c>
      <c r="Y41">
        <f t="shared" si="3"/>
        <v>4935.3120000000008</v>
      </c>
      <c r="Z41">
        <f t="shared" si="4"/>
        <v>1560.5420000000008</v>
      </c>
      <c r="AA41">
        <f t="shared" si="5"/>
        <v>0.31619925954022776</v>
      </c>
      <c r="AB41">
        <f t="shared" si="6"/>
        <v>29</v>
      </c>
      <c r="AC41" t="str">
        <f t="shared" si="7"/>
        <v>November</v>
      </c>
      <c r="AD41">
        <f t="shared" si="8"/>
        <v>2024</v>
      </c>
      <c r="AE41" t="str">
        <f t="shared" si="9"/>
        <v>CLEAN</v>
      </c>
    </row>
    <row r="42" spans="1:31">
      <c r="A42" t="s">
        <v>232</v>
      </c>
      <c r="B42" s="3">
        <v>45575</v>
      </c>
      <c r="C42" s="3">
        <v>45581</v>
      </c>
      <c r="D42" t="s">
        <v>233</v>
      </c>
      <c r="E42" t="s">
        <v>57</v>
      </c>
      <c r="F42" t="s">
        <v>105</v>
      </c>
      <c r="G42" t="s">
        <v>73</v>
      </c>
      <c r="H42" t="s">
        <v>36</v>
      </c>
      <c r="I42" t="s">
        <v>119</v>
      </c>
      <c r="J42" t="s">
        <v>84</v>
      </c>
      <c r="K42" t="s">
        <v>90</v>
      </c>
      <c r="L42" t="s">
        <v>234</v>
      </c>
      <c r="M42" t="s">
        <v>69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42</v>
      </c>
      <c r="U42" t="s">
        <v>43</v>
      </c>
      <c r="V42" t="str">
        <f t="shared" si="0"/>
        <v/>
      </c>
      <c r="W42" t="str">
        <f t="shared" si="1"/>
        <v/>
      </c>
      <c r="X42">
        <f t="shared" si="2"/>
        <v>0.84852144912701888</v>
      </c>
      <c r="Y42">
        <f t="shared" si="3"/>
        <v>14051.912</v>
      </c>
      <c r="Z42">
        <f t="shared" si="4"/>
        <v>2061.5419999999995</v>
      </c>
      <c r="AA42">
        <f t="shared" si="5"/>
        <v>0.14670900301681361</v>
      </c>
      <c r="AB42">
        <f t="shared" si="6"/>
        <v>6</v>
      </c>
      <c r="AC42" t="str">
        <f t="shared" si="7"/>
        <v>October</v>
      </c>
      <c r="AD42">
        <f t="shared" si="8"/>
        <v>2024</v>
      </c>
      <c r="AE42" t="str">
        <f t="shared" si="9"/>
        <v>CLEAN</v>
      </c>
    </row>
    <row r="43" spans="1:31">
      <c r="A43" t="s">
        <v>235</v>
      </c>
      <c r="B43" s="3">
        <v>45629</v>
      </c>
      <c r="C43" s="3">
        <v>45368</v>
      </c>
      <c r="D43" t="s">
        <v>236</v>
      </c>
      <c r="E43" t="s">
        <v>138</v>
      </c>
      <c r="F43" t="s">
        <v>47</v>
      </c>
      <c r="G43" t="s">
        <v>48</v>
      </c>
      <c r="H43" t="s">
        <v>49</v>
      </c>
      <c r="I43" t="s">
        <v>50</v>
      </c>
      <c r="J43" t="s">
        <v>51</v>
      </c>
      <c r="K43" t="s">
        <v>168</v>
      </c>
      <c r="L43" t="s">
        <v>237</v>
      </c>
      <c r="M43" t="s">
        <v>54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121</v>
      </c>
      <c r="U43" t="s">
        <v>78</v>
      </c>
      <c r="V43" t="str">
        <f t="shared" si="0"/>
        <v/>
      </c>
      <c r="W43" t="str">
        <f t="shared" si="1"/>
        <v>Invalid Shipping Record</v>
      </c>
      <c r="X43">
        <f t="shared" si="2"/>
        <v>-1.0661353799231277</v>
      </c>
      <c r="Y43">
        <f t="shared" si="3"/>
        <v>6846.48</v>
      </c>
      <c r="Z43">
        <f t="shared" si="4"/>
        <v>2606.5899999999992</v>
      </c>
      <c r="AA43">
        <f t="shared" si="5"/>
        <v>0.38071972750961069</v>
      </c>
      <c r="AB43" t="e">
        <f t="shared" si="6"/>
        <v>#NUM!</v>
      </c>
      <c r="AC43" t="str">
        <f t="shared" si="7"/>
        <v>December</v>
      </c>
      <c r="AD43">
        <f t="shared" si="8"/>
        <v>2024</v>
      </c>
      <c r="AE43" t="str">
        <f t="shared" si="9"/>
        <v>INVALID</v>
      </c>
    </row>
    <row r="44" spans="1:31">
      <c r="A44" t="s">
        <v>238</v>
      </c>
      <c r="B44" s="3">
        <v>45940</v>
      </c>
      <c r="C44" s="3">
        <v>45945</v>
      </c>
      <c r="D44" t="s">
        <v>239</v>
      </c>
      <c r="E44" t="s">
        <v>63</v>
      </c>
      <c r="F44" t="s">
        <v>100</v>
      </c>
      <c r="G44" t="s">
        <v>48</v>
      </c>
      <c r="H44" t="s">
        <v>240</v>
      </c>
      <c r="I44" t="s">
        <v>241</v>
      </c>
      <c r="J44" t="s">
        <v>84</v>
      </c>
      <c r="K44" t="s">
        <v>181</v>
      </c>
      <c r="L44" t="s">
        <v>242</v>
      </c>
      <c r="M44" t="s">
        <v>69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42</v>
      </c>
      <c r="U44" t="s">
        <v>43</v>
      </c>
      <c r="V44" t="str">
        <f t="shared" si="0"/>
        <v/>
      </c>
      <c r="W44" t="str">
        <f t="shared" si="1"/>
        <v/>
      </c>
      <c r="X44">
        <f t="shared" si="2"/>
        <v>-0.58747117266059101</v>
      </c>
      <c r="Y44">
        <f t="shared" si="3"/>
        <v>7447.0119999999997</v>
      </c>
      <c r="Z44">
        <f t="shared" si="4"/>
        <v>2950.7919999999995</v>
      </c>
      <c r="AA44">
        <f t="shared" si="5"/>
        <v>0.39623838393170302</v>
      </c>
      <c r="AB44">
        <f t="shared" si="6"/>
        <v>5</v>
      </c>
      <c r="AC44" t="str">
        <f t="shared" si="7"/>
        <v>October</v>
      </c>
      <c r="AD44">
        <f t="shared" si="8"/>
        <v>2025</v>
      </c>
      <c r="AE44" t="str">
        <f t="shared" si="9"/>
        <v>CLEAN</v>
      </c>
    </row>
    <row r="45" spans="1:31">
      <c r="A45" t="s">
        <v>243</v>
      </c>
      <c r="B45" s="3">
        <v>45511</v>
      </c>
      <c r="C45" s="3">
        <v>45487</v>
      </c>
      <c r="D45" t="s">
        <v>244</v>
      </c>
      <c r="E45" t="s">
        <v>124</v>
      </c>
      <c r="F45" t="s">
        <v>47</v>
      </c>
      <c r="G45" t="s">
        <v>48</v>
      </c>
      <c r="H45" t="s">
        <v>49</v>
      </c>
      <c r="I45" t="s">
        <v>50</v>
      </c>
      <c r="J45" t="s">
        <v>51</v>
      </c>
      <c r="K45" t="s">
        <v>67</v>
      </c>
      <c r="L45" t="s">
        <v>245</v>
      </c>
      <c r="M45" t="s">
        <v>54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42</v>
      </c>
      <c r="U45" t="s">
        <v>43</v>
      </c>
      <c r="V45" t="str">
        <f t="shared" si="0"/>
        <v/>
      </c>
      <c r="W45" t="str">
        <f t="shared" si="1"/>
        <v>Invalid Shipping Record</v>
      </c>
      <c r="X45">
        <f t="shared" si="2"/>
        <v>-1.0661353799231277</v>
      </c>
      <c r="Y45">
        <f t="shared" si="3"/>
        <v>3030.69</v>
      </c>
      <c r="Z45">
        <f t="shared" si="4"/>
        <v>1309.6100000000001</v>
      </c>
      <c r="AA45">
        <f t="shared" si="5"/>
        <v>0.43211611877163292</v>
      </c>
      <c r="AB45" t="e">
        <f t="shared" si="6"/>
        <v>#NUM!</v>
      </c>
      <c r="AC45" t="str">
        <f t="shared" si="7"/>
        <v>August</v>
      </c>
      <c r="AD45">
        <f t="shared" si="8"/>
        <v>2024</v>
      </c>
      <c r="AE45" t="str">
        <f t="shared" si="9"/>
        <v>INVALID</v>
      </c>
    </row>
    <row r="46" spans="1:31">
      <c r="A46" t="s">
        <v>246</v>
      </c>
      <c r="B46" s="3">
        <v>45465</v>
      </c>
      <c r="C46" s="3">
        <v>45468</v>
      </c>
      <c r="D46" t="s">
        <v>247</v>
      </c>
      <c r="E46" t="s">
        <v>151</v>
      </c>
      <c r="F46" t="s">
        <v>47</v>
      </c>
      <c r="G46" t="s">
        <v>35</v>
      </c>
      <c r="H46" t="s">
        <v>248</v>
      </c>
      <c r="I46" t="s">
        <v>249</v>
      </c>
      <c r="J46" t="s">
        <v>51</v>
      </c>
      <c r="K46" t="s">
        <v>76</v>
      </c>
      <c r="L46" t="s">
        <v>250</v>
      </c>
      <c r="M46" t="s">
        <v>69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42</v>
      </c>
      <c r="U46" t="s">
        <v>43</v>
      </c>
      <c r="V46" t="str">
        <f t="shared" si="0"/>
        <v/>
      </c>
      <c r="W46" t="str">
        <f t="shared" si="1"/>
        <v/>
      </c>
      <c r="X46">
        <f t="shared" si="2"/>
        <v>-0.10880696539805437</v>
      </c>
      <c r="Y46">
        <f t="shared" si="3"/>
        <v>26971.137000000002</v>
      </c>
      <c r="Z46">
        <f t="shared" si="4"/>
        <v>9594.9370000000017</v>
      </c>
      <c r="AA46">
        <f t="shared" si="5"/>
        <v>0.35574833200394929</v>
      </c>
      <c r="AB46">
        <f t="shared" si="6"/>
        <v>3</v>
      </c>
      <c r="AC46" t="str">
        <f t="shared" si="7"/>
        <v>June</v>
      </c>
      <c r="AD46">
        <f t="shared" si="8"/>
        <v>2024</v>
      </c>
      <c r="AE46" t="str">
        <f t="shared" si="9"/>
        <v>CLEAN</v>
      </c>
    </row>
    <row r="47" spans="1:31">
      <c r="A47" t="s">
        <v>251</v>
      </c>
      <c r="B47" s="3">
        <v>45309</v>
      </c>
      <c r="C47" s="3">
        <v>45315</v>
      </c>
      <c r="D47" t="s">
        <v>252</v>
      </c>
      <c r="E47" t="s">
        <v>57</v>
      </c>
      <c r="F47" t="s">
        <v>105</v>
      </c>
      <c r="G47" t="s">
        <v>48</v>
      </c>
      <c r="H47" t="s">
        <v>155</v>
      </c>
      <c r="I47" t="s">
        <v>156</v>
      </c>
      <c r="J47" t="s">
        <v>38</v>
      </c>
      <c r="K47" t="s">
        <v>58</v>
      </c>
      <c r="L47" t="s">
        <v>253</v>
      </c>
      <c r="M47" t="s">
        <v>41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121</v>
      </c>
      <c r="U47" t="s">
        <v>113</v>
      </c>
      <c r="V47" t="str">
        <f t="shared" si="0"/>
        <v/>
      </c>
      <c r="W47" t="str">
        <f t="shared" si="1"/>
        <v/>
      </c>
      <c r="X47">
        <f t="shared" si="2"/>
        <v>-0.58747117266059101</v>
      </c>
      <c r="Y47">
        <f t="shared" si="3"/>
        <v>29851.432000000001</v>
      </c>
      <c r="Z47">
        <f t="shared" si="4"/>
        <v>12363.952000000001</v>
      </c>
      <c r="AA47">
        <f t="shared" si="5"/>
        <v>0.41418287739094062</v>
      </c>
      <c r="AB47">
        <f t="shared" si="6"/>
        <v>6</v>
      </c>
      <c r="AC47" t="str">
        <f t="shared" si="7"/>
        <v>January</v>
      </c>
      <c r="AD47">
        <f t="shared" si="8"/>
        <v>2024</v>
      </c>
      <c r="AE47" t="str">
        <f t="shared" si="9"/>
        <v>CLEAN</v>
      </c>
    </row>
    <row r="48" spans="1:31">
      <c r="A48" t="s">
        <v>254</v>
      </c>
      <c r="B48" s="3">
        <v>45492</v>
      </c>
      <c r="C48" s="3">
        <v>45492</v>
      </c>
      <c r="D48" t="s">
        <v>255</v>
      </c>
      <c r="E48" t="s">
        <v>72</v>
      </c>
      <c r="F48" t="s">
        <v>47</v>
      </c>
      <c r="G48" t="s">
        <v>64</v>
      </c>
      <c r="H48" t="s">
        <v>195</v>
      </c>
      <c r="I48" t="s">
        <v>196</v>
      </c>
      <c r="J48" t="s">
        <v>51</v>
      </c>
      <c r="K48" t="s">
        <v>168</v>
      </c>
      <c r="L48" t="s">
        <v>256</v>
      </c>
      <c r="M48" t="s">
        <v>69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112</v>
      </c>
      <c r="U48" t="s">
        <v>113</v>
      </c>
      <c r="V48" t="str">
        <f t="shared" si="0"/>
        <v/>
      </c>
      <c r="W48" t="str">
        <f t="shared" si="1"/>
        <v/>
      </c>
      <c r="X48">
        <f t="shared" si="2"/>
        <v>1.3271856563895552</v>
      </c>
      <c r="Y48">
        <f t="shared" si="3"/>
        <v>16110.8325</v>
      </c>
      <c r="Z48">
        <f t="shared" si="4"/>
        <v>5430.8024999999998</v>
      </c>
      <c r="AA48">
        <f t="shared" si="5"/>
        <v>0.33709012243780695</v>
      </c>
      <c r="AB48">
        <f t="shared" si="6"/>
        <v>0</v>
      </c>
      <c r="AC48" t="str">
        <f t="shared" si="7"/>
        <v>July</v>
      </c>
      <c r="AD48">
        <f t="shared" si="8"/>
        <v>2024</v>
      </c>
      <c r="AE48" t="str">
        <f t="shared" si="9"/>
        <v>CLEAN</v>
      </c>
    </row>
    <row r="49" spans="1:31">
      <c r="A49" t="s">
        <v>257</v>
      </c>
      <c r="B49" s="3">
        <v>45516</v>
      </c>
      <c r="C49" s="3">
        <v>45516</v>
      </c>
      <c r="D49" t="s">
        <v>258</v>
      </c>
      <c r="E49" t="s">
        <v>128</v>
      </c>
      <c r="F49" t="s">
        <v>100</v>
      </c>
      <c r="G49" t="s">
        <v>64</v>
      </c>
      <c r="H49" t="s">
        <v>259</v>
      </c>
      <c r="I49" t="s">
        <v>260</v>
      </c>
      <c r="J49" t="s">
        <v>38</v>
      </c>
      <c r="K49" t="s">
        <v>134</v>
      </c>
      <c r="L49" t="s">
        <v>261</v>
      </c>
      <c r="M49" t="s">
        <v>69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42</v>
      </c>
      <c r="U49" t="s">
        <v>43</v>
      </c>
      <c r="V49" t="str">
        <f t="shared" si="0"/>
        <v/>
      </c>
      <c r="W49" t="str">
        <f t="shared" si="1"/>
        <v/>
      </c>
      <c r="X49">
        <f t="shared" si="2"/>
        <v>-0.10880696539805437</v>
      </c>
      <c r="Y49">
        <f t="shared" si="3"/>
        <v>17606.232</v>
      </c>
      <c r="Z49">
        <f t="shared" si="4"/>
        <v>5167.2720000000008</v>
      </c>
      <c r="AA49">
        <f t="shared" si="5"/>
        <v>0.29349107747756592</v>
      </c>
      <c r="AB49">
        <f t="shared" si="6"/>
        <v>0</v>
      </c>
      <c r="AC49" t="str">
        <f t="shared" si="7"/>
        <v>August</v>
      </c>
      <c r="AD49">
        <f t="shared" si="8"/>
        <v>2024</v>
      </c>
      <c r="AE49" t="str">
        <f t="shared" si="9"/>
        <v>CLEAN</v>
      </c>
    </row>
    <row r="50" spans="1:31">
      <c r="A50" t="s">
        <v>262</v>
      </c>
      <c r="B50" s="3">
        <v>45687</v>
      </c>
      <c r="C50" s="3">
        <v>45693</v>
      </c>
      <c r="D50" t="s">
        <v>263</v>
      </c>
      <c r="E50" t="s">
        <v>89</v>
      </c>
      <c r="F50" t="s">
        <v>100</v>
      </c>
      <c r="G50" t="s">
        <v>73</v>
      </c>
      <c r="H50" t="s">
        <v>74</v>
      </c>
      <c r="I50" t="s">
        <v>75</v>
      </c>
      <c r="J50" t="s">
        <v>51</v>
      </c>
      <c r="K50" t="s">
        <v>76</v>
      </c>
      <c r="L50" t="s">
        <v>264</v>
      </c>
      <c r="M50" t="s">
        <v>41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42</v>
      </c>
      <c r="U50" t="s">
        <v>43</v>
      </c>
      <c r="V50" t="str">
        <f t="shared" si="0"/>
        <v/>
      </c>
      <c r="W50" t="str">
        <f t="shared" si="1"/>
        <v/>
      </c>
      <c r="X50">
        <f t="shared" si="2"/>
        <v>-1.0661353799231277</v>
      </c>
      <c r="Y50">
        <f t="shared" si="3"/>
        <v>28445.62</v>
      </c>
      <c r="Z50">
        <f t="shared" si="4"/>
        <v>7507.0299999999988</v>
      </c>
      <c r="AA50">
        <f t="shared" si="5"/>
        <v>0.26390811660986818</v>
      </c>
      <c r="AB50">
        <f t="shared" si="6"/>
        <v>6</v>
      </c>
      <c r="AC50" t="str">
        <f t="shared" si="7"/>
        <v>January</v>
      </c>
      <c r="AD50">
        <f t="shared" si="8"/>
        <v>2025</v>
      </c>
      <c r="AE50" t="str">
        <f t="shared" si="9"/>
        <v>CLEAN</v>
      </c>
    </row>
    <row r="51" spans="1:31">
      <c r="A51" t="s">
        <v>265</v>
      </c>
      <c r="B51" s="3">
        <v>45388</v>
      </c>
      <c r="C51" s="3">
        <v>45395</v>
      </c>
      <c r="D51" t="s">
        <v>266</v>
      </c>
      <c r="E51" t="s">
        <v>138</v>
      </c>
      <c r="F51" t="s">
        <v>105</v>
      </c>
      <c r="G51" t="s">
        <v>35</v>
      </c>
      <c r="H51" t="s">
        <v>146</v>
      </c>
      <c r="I51" t="s">
        <v>147</v>
      </c>
      <c r="J51" t="s">
        <v>84</v>
      </c>
      <c r="K51" t="s">
        <v>90</v>
      </c>
      <c r="L51" t="s">
        <v>267</v>
      </c>
      <c r="M51" t="s">
        <v>41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42</v>
      </c>
      <c r="U51" t="s">
        <v>43</v>
      </c>
      <c r="V51" t="str">
        <f t="shared" si="0"/>
        <v/>
      </c>
      <c r="W51" t="str">
        <f t="shared" si="1"/>
        <v/>
      </c>
      <c r="X51">
        <f t="shared" si="2"/>
        <v>-0.58747117266059101</v>
      </c>
      <c r="Y51">
        <f t="shared" si="3"/>
        <v>6772.5404999999992</v>
      </c>
      <c r="Z51">
        <f t="shared" si="4"/>
        <v>1017.0804999999991</v>
      </c>
      <c r="AA51">
        <f t="shared" si="5"/>
        <v>0.15017710119267641</v>
      </c>
      <c r="AB51">
        <f t="shared" si="6"/>
        <v>7</v>
      </c>
      <c r="AC51" t="str">
        <f t="shared" si="7"/>
        <v>April</v>
      </c>
      <c r="AD51">
        <f t="shared" si="8"/>
        <v>2024</v>
      </c>
      <c r="AE51" t="str">
        <f t="shared" si="9"/>
        <v>CLEAN</v>
      </c>
    </row>
    <row r="52" spans="1:31">
      <c r="A52" t="s">
        <v>268</v>
      </c>
      <c r="B52" s="3">
        <v>45966</v>
      </c>
      <c r="C52" s="3">
        <v>45796</v>
      </c>
      <c r="D52" t="s">
        <v>269</v>
      </c>
      <c r="E52" t="s">
        <v>142</v>
      </c>
      <c r="F52" t="s">
        <v>34</v>
      </c>
      <c r="G52" t="s">
        <v>48</v>
      </c>
      <c r="H52" t="s">
        <v>109</v>
      </c>
      <c r="I52" t="s">
        <v>110</v>
      </c>
      <c r="J52" t="s">
        <v>84</v>
      </c>
      <c r="K52" t="s">
        <v>90</v>
      </c>
      <c r="L52" t="s">
        <v>270</v>
      </c>
      <c r="M52" t="s">
        <v>69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42</v>
      </c>
      <c r="U52" t="s">
        <v>43</v>
      </c>
      <c r="V52" t="str">
        <f t="shared" si="0"/>
        <v/>
      </c>
      <c r="W52" t="str">
        <f t="shared" si="1"/>
        <v>Invalid Shipping Record</v>
      </c>
      <c r="X52">
        <f t="shared" si="2"/>
        <v>0.3698572418644821</v>
      </c>
      <c r="Y52">
        <f t="shared" si="3"/>
        <v>2025.38</v>
      </c>
      <c r="Z52">
        <f t="shared" si="4"/>
        <v>884.73</v>
      </c>
      <c r="AA52">
        <f t="shared" si="5"/>
        <v>0.43682173221815163</v>
      </c>
      <c r="AB52" t="e">
        <f t="shared" si="6"/>
        <v>#NUM!</v>
      </c>
      <c r="AC52" t="str">
        <f t="shared" si="7"/>
        <v>November</v>
      </c>
      <c r="AD52">
        <f t="shared" si="8"/>
        <v>2025</v>
      </c>
      <c r="AE52" t="str">
        <f t="shared" si="9"/>
        <v>INVALID</v>
      </c>
    </row>
    <row r="53" spans="1:31">
      <c r="A53" t="s">
        <v>271</v>
      </c>
      <c r="B53" s="3">
        <v>45406</v>
      </c>
      <c r="C53" s="3">
        <v>45411</v>
      </c>
      <c r="D53" t="s">
        <v>272</v>
      </c>
      <c r="E53" t="s">
        <v>72</v>
      </c>
      <c r="F53" t="s">
        <v>100</v>
      </c>
      <c r="G53" t="s">
        <v>64</v>
      </c>
      <c r="H53" t="s">
        <v>65</v>
      </c>
      <c r="I53" t="s">
        <v>66</v>
      </c>
      <c r="J53" t="s">
        <v>38</v>
      </c>
      <c r="K53" t="s">
        <v>58</v>
      </c>
      <c r="L53" t="s">
        <v>273</v>
      </c>
      <c r="M53" t="s">
        <v>69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42</v>
      </c>
      <c r="U53" t="s">
        <v>43</v>
      </c>
      <c r="V53" t="str">
        <f t="shared" si="0"/>
        <v/>
      </c>
      <c r="W53" t="str">
        <f t="shared" si="1"/>
        <v/>
      </c>
      <c r="X53">
        <f t="shared" si="2"/>
        <v>-1.0661353799231277</v>
      </c>
      <c r="Y53">
        <f t="shared" si="3"/>
        <v>9168.48</v>
      </c>
      <c r="Z53">
        <f t="shared" si="4"/>
        <v>1728.7099999999991</v>
      </c>
      <c r="AA53">
        <f t="shared" si="5"/>
        <v>0.18854924698532355</v>
      </c>
      <c r="AB53">
        <f t="shared" si="6"/>
        <v>5</v>
      </c>
      <c r="AC53" t="str">
        <f t="shared" si="7"/>
        <v>April</v>
      </c>
      <c r="AD53">
        <f t="shared" si="8"/>
        <v>2024</v>
      </c>
      <c r="AE53" t="str">
        <f t="shared" si="9"/>
        <v>CLEAN</v>
      </c>
    </row>
    <row r="54" spans="1:31">
      <c r="A54" t="s">
        <v>274</v>
      </c>
      <c r="B54" s="3">
        <v>45591</v>
      </c>
      <c r="C54" s="3">
        <v>45593</v>
      </c>
      <c r="D54" t="s">
        <v>275</v>
      </c>
      <c r="E54" t="s">
        <v>276</v>
      </c>
      <c r="F54" t="s">
        <v>47</v>
      </c>
      <c r="G54" t="s">
        <v>35</v>
      </c>
      <c r="H54" t="s">
        <v>36</v>
      </c>
      <c r="I54" t="s">
        <v>37</v>
      </c>
      <c r="J54" t="s">
        <v>51</v>
      </c>
      <c r="K54" t="s">
        <v>76</v>
      </c>
      <c r="L54" t="s">
        <v>277</v>
      </c>
      <c r="M54" t="s">
        <v>60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165</v>
      </c>
      <c r="U54" t="s">
        <v>78</v>
      </c>
      <c r="V54" t="str">
        <f t="shared" si="0"/>
        <v/>
      </c>
      <c r="W54" t="str">
        <f t="shared" si="1"/>
        <v/>
      </c>
      <c r="X54">
        <f t="shared" si="2"/>
        <v>-1.0661353799231277</v>
      </c>
      <c r="Y54">
        <f t="shared" si="3"/>
        <v>12596.670000000002</v>
      </c>
      <c r="Z54">
        <f t="shared" si="4"/>
        <v>1993.380000000001</v>
      </c>
      <c r="AA54">
        <f t="shared" si="5"/>
        <v>0.15824658421630483</v>
      </c>
      <c r="AB54">
        <f t="shared" si="6"/>
        <v>2</v>
      </c>
      <c r="AC54" t="str">
        <f t="shared" si="7"/>
        <v>October</v>
      </c>
      <c r="AD54">
        <f t="shared" si="8"/>
        <v>2024</v>
      </c>
      <c r="AE54" t="str">
        <f t="shared" si="9"/>
        <v>WARNING</v>
      </c>
    </row>
    <row r="55" spans="1:31">
      <c r="A55" t="s">
        <v>278</v>
      </c>
      <c r="B55" s="3">
        <v>45747</v>
      </c>
      <c r="C55" s="3">
        <v>45747</v>
      </c>
      <c r="D55" t="s">
        <v>279</v>
      </c>
      <c r="E55" t="s">
        <v>276</v>
      </c>
      <c r="F55" t="s">
        <v>105</v>
      </c>
      <c r="G55" t="s">
        <v>73</v>
      </c>
      <c r="H55" t="s">
        <v>190</v>
      </c>
      <c r="I55" t="s">
        <v>191</v>
      </c>
      <c r="J55" t="s">
        <v>38</v>
      </c>
      <c r="K55" t="s">
        <v>134</v>
      </c>
      <c r="L55" t="s">
        <v>280</v>
      </c>
      <c r="M55" t="s">
        <v>60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42</v>
      </c>
      <c r="U55" t="s">
        <v>43</v>
      </c>
      <c r="V55" t="str">
        <f t="shared" si="0"/>
        <v/>
      </c>
      <c r="W55" t="str">
        <f t="shared" si="1"/>
        <v/>
      </c>
      <c r="X55">
        <f t="shared" si="2"/>
        <v>0.3698572418644821</v>
      </c>
      <c r="Y55">
        <f t="shared" si="3"/>
        <v>5131.7475000000004</v>
      </c>
      <c r="Z55">
        <f t="shared" si="4"/>
        <v>2293.0675000000006</v>
      </c>
      <c r="AA55">
        <f t="shared" si="5"/>
        <v>0.44683950252813498</v>
      </c>
      <c r="AB55">
        <f t="shared" si="6"/>
        <v>0</v>
      </c>
      <c r="AC55" t="str">
        <f t="shared" si="7"/>
        <v>March</v>
      </c>
      <c r="AD55">
        <f t="shared" si="8"/>
        <v>2025</v>
      </c>
      <c r="AE55" t="str">
        <f t="shared" si="9"/>
        <v>CLEAN</v>
      </c>
    </row>
    <row r="56" spans="1:31">
      <c r="A56" t="s">
        <v>281</v>
      </c>
      <c r="B56" s="3">
        <v>45807</v>
      </c>
      <c r="C56" s="3">
        <v>45810</v>
      </c>
      <c r="D56" t="s">
        <v>282</v>
      </c>
      <c r="E56" t="s">
        <v>63</v>
      </c>
      <c r="F56" t="s">
        <v>100</v>
      </c>
      <c r="G56" t="s">
        <v>64</v>
      </c>
      <c r="H56" t="s">
        <v>259</v>
      </c>
      <c r="I56" t="s">
        <v>260</v>
      </c>
      <c r="J56" t="s">
        <v>38</v>
      </c>
      <c r="K56" t="s">
        <v>101</v>
      </c>
      <c r="L56" t="s">
        <v>283</v>
      </c>
      <c r="M56" t="s">
        <v>54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165</v>
      </c>
      <c r="U56" t="s">
        <v>78</v>
      </c>
      <c r="V56" t="str">
        <f t="shared" si="0"/>
        <v/>
      </c>
      <c r="W56" t="str">
        <f t="shared" si="1"/>
        <v/>
      </c>
      <c r="X56">
        <f t="shared" si="2"/>
        <v>-0.10880696539805437</v>
      </c>
      <c r="Y56">
        <f t="shared" si="3"/>
        <v>3415.4639999999999</v>
      </c>
      <c r="Z56">
        <f t="shared" si="4"/>
        <v>1422.2339999999999</v>
      </c>
      <c r="AA56">
        <f t="shared" si="5"/>
        <v>0.4164101861416194</v>
      </c>
      <c r="AB56">
        <f t="shared" si="6"/>
        <v>3</v>
      </c>
      <c r="AC56" t="str">
        <f t="shared" si="7"/>
        <v>May</v>
      </c>
      <c r="AD56">
        <f t="shared" si="8"/>
        <v>2025</v>
      </c>
      <c r="AE56" t="str">
        <f t="shared" si="9"/>
        <v>WARNING</v>
      </c>
    </row>
    <row r="57" spans="1:31">
      <c r="A57" t="s">
        <v>284</v>
      </c>
      <c r="B57" s="3">
        <v>45839</v>
      </c>
      <c r="C57" s="3">
        <v>45841</v>
      </c>
      <c r="D57" t="s">
        <v>285</v>
      </c>
      <c r="E57" t="s">
        <v>46</v>
      </c>
      <c r="F57" t="s">
        <v>47</v>
      </c>
      <c r="G57" t="s">
        <v>64</v>
      </c>
      <c r="H57" t="s">
        <v>94</v>
      </c>
      <c r="I57" t="s">
        <v>95</v>
      </c>
      <c r="J57" t="s">
        <v>84</v>
      </c>
      <c r="K57" t="s">
        <v>286</v>
      </c>
      <c r="L57" t="s">
        <v>287</v>
      </c>
      <c r="M57" t="s">
        <v>54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42</v>
      </c>
      <c r="U57" t="s">
        <v>43</v>
      </c>
      <c r="V57" t="str">
        <f t="shared" si="0"/>
        <v/>
      </c>
      <c r="W57" t="str">
        <f t="shared" si="1"/>
        <v/>
      </c>
      <c r="X57">
        <f t="shared" si="2"/>
        <v>1.3271856563895552</v>
      </c>
      <c r="Y57">
        <f t="shared" si="3"/>
        <v>3411.54</v>
      </c>
      <c r="Z57">
        <f t="shared" si="4"/>
        <v>608.40999999999985</v>
      </c>
      <c r="AA57">
        <f t="shared" si="5"/>
        <v>0.17833881472883209</v>
      </c>
      <c r="AB57">
        <f t="shared" si="6"/>
        <v>2</v>
      </c>
      <c r="AC57" t="str">
        <f t="shared" si="7"/>
        <v>July</v>
      </c>
      <c r="AD57">
        <f t="shared" si="8"/>
        <v>2025</v>
      </c>
      <c r="AE57" t="str">
        <f t="shared" si="9"/>
        <v>CLEAN</v>
      </c>
    </row>
    <row r="58" spans="1:31">
      <c r="A58" t="s">
        <v>288</v>
      </c>
      <c r="B58" s="3">
        <v>45662</v>
      </c>
      <c r="C58" s="3">
        <v>45663</v>
      </c>
      <c r="D58" t="s">
        <v>289</v>
      </c>
      <c r="E58" t="s">
        <v>33</v>
      </c>
      <c r="F58" t="s">
        <v>34</v>
      </c>
      <c r="G58" t="s">
        <v>64</v>
      </c>
      <c r="H58" t="s">
        <v>185</v>
      </c>
      <c r="I58" t="s">
        <v>186</v>
      </c>
      <c r="J58" t="s">
        <v>38</v>
      </c>
      <c r="K58" t="s">
        <v>163</v>
      </c>
      <c r="L58" t="s">
        <v>290</v>
      </c>
      <c r="M58" t="s">
        <v>41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112</v>
      </c>
      <c r="U58" t="s">
        <v>78</v>
      </c>
      <c r="V58" t="str">
        <f t="shared" si="0"/>
        <v/>
      </c>
      <c r="W58" t="str">
        <f t="shared" si="1"/>
        <v/>
      </c>
      <c r="X58">
        <f t="shared" si="2"/>
        <v>-1.0661353799231277</v>
      </c>
      <c r="Y58">
        <f t="shared" si="3"/>
        <v>9466.83</v>
      </c>
      <c r="Z58">
        <f t="shared" si="4"/>
        <v>2909</v>
      </c>
      <c r="AA58">
        <f t="shared" si="5"/>
        <v>0.30728343067320318</v>
      </c>
      <c r="AB58">
        <f t="shared" si="6"/>
        <v>1</v>
      </c>
      <c r="AC58" t="str">
        <f t="shared" si="7"/>
        <v>January</v>
      </c>
      <c r="AD58">
        <f t="shared" si="8"/>
        <v>2025</v>
      </c>
      <c r="AE58" t="str">
        <f t="shared" si="9"/>
        <v>WARNING</v>
      </c>
    </row>
    <row r="59" spans="1:31">
      <c r="A59" t="s">
        <v>291</v>
      </c>
      <c r="B59" s="3">
        <v>45329</v>
      </c>
      <c r="C59" s="3">
        <v>45337</v>
      </c>
      <c r="D59" t="s">
        <v>292</v>
      </c>
      <c r="E59" t="s">
        <v>124</v>
      </c>
      <c r="F59" t="s">
        <v>34</v>
      </c>
      <c r="G59" t="s">
        <v>73</v>
      </c>
      <c r="H59" t="s">
        <v>200</v>
      </c>
      <c r="I59" t="s">
        <v>201</v>
      </c>
      <c r="J59" t="s">
        <v>51</v>
      </c>
      <c r="K59" t="s">
        <v>76</v>
      </c>
      <c r="L59" t="s">
        <v>293</v>
      </c>
      <c r="M59" t="s">
        <v>54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42</v>
      </c>
      <c r="U59" t="s">
        <v>43</v>
      </c>
      <c r="V59" t="str">
        <f t="shared" si="0"/>
        <v/>
      </c>
      <c r="W59" t="str">
        <f t="shared" si="1"/>
        <v/>
      </c>
      <c r="X59">
        <f t="shared" si="2"/>
        <v>-1.0661353799231277</v>
      </c>
      <c r="Y59">
        <f t="shared" si="3"/>
        <v>1279.3499999999999</v>
      </c>
      <c r="Z59">
        <f t="shared" si="4"/>
        <v>187.80999999999995</v>
      </c>
      <c r="AA59">
        <f t="shared" si="5"/>
        <v>0.14680110993864068</v>
      </c>
      <c r="AB59">
        <f t="shared" si="6"/>
        <v>8</v>
      </c>
      <c r="AC59" t="str">
        <f t="shared" si="7"/>
        <v>February</v>
      </c>
      <c r="AD59">
        <f t="shared" si="8"/>
        <v>2024</v>
      </c>
      <c r="AE59" t="str">
        <f t="shared" si="9"/>
        <v>CLEAN</v>
      </c>
    </row>
    <row r="60" spans="1:31">
      <c r="A60" t="s">
        <v>294</v>
      </c>
      <c r="B60" s="3">
        <v>45536</v>
      </c>
      <c r="C60" s="3">
        <v>45542</v>
      </c>
      <c r="D60" t="s">
        <v>295</v>
      </c>
      <c r="E60" t="s">
        <v>57</v>
      </c>
      <c r="F60" t="s">
        <v>105</v>
      </c>
      <c r="G60" t="s">
        <v>35</v>
      </c>
      <c r="H60" t="s">
        <v>36</v>
      </c>
      <c r="I60" t="s">
        <v>37</v>
      </c>
      <c r="J60" t="s">
        <v>38</v>
      </c>
      <c r="K60" t="s">
        <v>134</v>
      </c>
      <c r="L60" t="s">
        <v>296</v>
      </c>
      <c r="M60" t="s">
        <v>215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121</v>
      </c>
      <c r="U60" t="s">
        <v>113</v>
      </c>
      <c r="V60" t="str">
        <f t="shared" si="0"/>
        <v/>
      </c>
      <c r="W60" t="str">
        <f t="shared" si="1"/>
        <v/>
      </c>
      <c r="X60">
        <f t="shared" si="2"/>
        <v>-0.10880696539805437</v>
      </c>
      <c r="Y60">
        <f t="shared" si="3"/>
        <v>11254.788</v>
      </c>
      <c r="Z60">
        <f t="shared" si="4"/>
        <v>4676.7280000000001</v>
      </c>
      <c r="AA60">
        <f t="shared" si="5"/>
        <v>0.41553230500654476</v>
      </c>
      <c r="AB60">
        <f t="shared" si="6"/>
        <v>6</v>
      </c>
      <c r="AC60" t="str">
        <f t="shared" si="7"/>
        <v>September</v>
      </c>
      <c r="AD60">
        <f t="shared" si="8"/>
        <v>2024</v>
      </c>
      <c r="AE60" t="str">
        <f t="shared" si="9"/>
        <v>CLEAN</v>
      </c>
    </row>
    <row r="61" spans="1:31">
      <c r="A61" t="s">
        <v>297</v>
      </c>
      <c r="B61" s="3">
        <v>45493</v>
      </c>
      <c r="C61" s="3">
        <v>45498</v>
      </c>
      <c r="D61" t="s">
        <v>298</v>
      </c>
      <c r="E61" t="s">
        <v>124</v>
      </c>
      <c r="F61" t="s">
        <v>100</v>
      </c>
      <c r="G61" t="s">
        <v>48</v>
      </c>
      <c r="H61" t="s">
        <v>176</v>
      </c>
      <c r="I61" t="s">
        <v>177</v>
      </c>
      <c r="J61" t="s">
        <v>38</v>
      </c>
      <c r="K61" t="s">
        <v>101</v>
      </c>
      <c r="L61" t="s">
        <v>299</v>
      </c>
      <c r="M61" t="s">
        <v>54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42</v>
      </c>
      <c r="U61" t="s">
        <v>78</v>
      </c>
      <c r="V61" t="str">
        <f t="shared" si="0"/>
        <v/>
      </c>
      <c r="W61" t="str">
        <f t="shared" si="1"/>
        <v/>
      </c>
      <c r="X61">
        <f t="shared" si="2"/>
        <v>0.84852144912701888</v>
      </c>
      <c r="Y61">
        <f t="shared" si="3"/>
        <v>16535.400000000001</v>
      </c>
      <c r="Z61">
        <f t="shared" si="4"/>
        <v>3545.1900000000023</v>
      </c>
      <c r="AA61">
        <f t="shared" si="5"/>
        <v>0.21440001451431487</v>
      </c>
      <c r="AB61">
        <f t="shared" si="6"/>
        <v>5</v>
      </c>
      <c r="AC61" t="str">
        <f t="shared" si="7"/>
        <v>July</v>
      </c>
      <c r="AD61">
        <f t="shared" si="8"/>
        <v>2024</v>
      </c>
      <c r="AE61" t="str">
        <f t="shared" si="9"/>
        <v>WARNING</v>
      </c>
    </row>
    <row r="62" spans="1:31">
      <c r="A62" t="s">
        <v>300</v>
      </c>
      <c r="B62" s="3">
        <v>45486</v>
      </c>
      <c r="C62" s="3">
        <v>45492</v>
      </c>
      <c r="D62" t="s">
        <v>301</v>
      </c>
      <c r="E62" t="s">
        <v>72</v>
      </c>
      <c r="F62" t="s">
        <v>100</v>
      </c>
      <c r="G62" t="s">
        <v>48</v>
      </c>
      <c r="H62" t="s">
        <v>176</v>
      </c>
      <c r="I62" t="s">
        <v>177</v>
      </c>
      <c r="J62" t="s">
        <v>38</v>
      </c>
      <c r="K62" t="s">
        <v>101</v>
      </c>
      <c r="L62" t="s">
        <v>302</v>
      </c>
      <c r="M62" t="s">
        <v>54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112</v>
      </c>
      <c r="U62" t="s">
        <v>78</v>
      </c>
      <c r="V62" t="str">
        <f t="shared" si="0"/>
        <v/>
      </c>
      <c r="W62" t="str">
        <f t="shared" si="1"/>
        <v/>
      </c>
      <c r="X62">
        <f t="shared" si="2"/>
        <v>0.84852144912701888</v>
      </c>
      <c r="Y62">
        <f t="shared" si="3"/>
        <v>661.82400000000007</v>
      </c>
      <c r="Z62">
        <f t="shared" si="4"/>
        <v>180.35400000000004</v>
      </c>
      <c r="AA62">
        <f t="shared" si="5"/>
        <v>0.27251051639106472</v>
      </c>
      <c r="AB62">
        <f t="shared" si="6"/>
        <v>6</v>
      </c>
      <c r="AC62" t="str">
        <f t="shared" si="7"/>
        <v>July</v>
      </c>
      <c r="AD62">
        <f t="shared" si="8"/>
        <v>2024</v>
      </c>
      <c r="AE62" t="str">
        <f t="shared" si="9"/>
        <v>WARNING</v>
      </c>
    </row>
    <row r="63" spans="1:31">
      <c r="A63" t="s">
        <v>303</v>
      </c>
      <c r="B63" s="3">
        <v>45398</v>
      </c>
      <c r="C63" s="3">
        <v>45398</v>
      </c>
      <c r="D63" t="s">
        <v>304</v>
      </c>
      <c r="E63" t="s">
        <v>81</v>
      </c>
      <c r="F63" t="s">
        <v>105</v>
      </c>
      <c r="G63" t="s">
        <v>48</v>
      </c>
      <c r="H63" t="s">
        <v>155</v>
      </c>
      <c r="I63" t="s">
        <v>156</v>
      </c>
      <c r="J63" t="s">
        <v>51</v>
      </c>
      <c r="K63" t="s">
        <v>168</v>
      </c>
      <c r="L63" t="s">
        <v>305</v>
      </c>
      <c r="M63" t="s">
        <v>69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42</v>
      </c>
      <c r="U63" t="s">
        <v>43</v>
      </c>
      <c r="V63" t="str">
        <f t="shared" si="0"/>
        <v/>
      </c>
      <c r="W63" t="str">
        <f t="shared" si="1"/>
        <v/>
      </c>
      <c r="X63">
        <f t="shared" si="2"/>
        <v>-1.0661353799231277</v>
      </c>
      <c r="Y63">
        <f t="shared" si="3"/>
        <v>949.59</v>
      </c>
      <c r="Z63">
        <f t="shared" si="4"/>
        <v>198.34000000000003</v>
      </c>
      <c r="AA63">
        <f t="shared" si="5"/>
        <v>0.20886909087079689</v>
      </c>
      <c r="AB63">
        <f t="shared" si="6"/>
        <v>0</v>
      </c>
      <c r="AC63" t="str">
        <f t="shared" si="7"/>
        <v>April</v>
      </c>
      <c r="AD63">
        <f t="shared" si="8"/>
        <v>2024</v>
      </c>
      <c r="AE63" t="str">
        <f t="shared" si="9"/>
        <v>CLEAN</v>
      </c>
    </row>
    <row r="64" spans="1:31">
      <c r="A64" t="s">
        <v>306</v>
      </c>
      <c r="B64" s="3">
        <v>45595</v>
      </c>
      <c r="C64" s="3">
        <v>45598</v>
      </c>
      <c r="D64" t="s">
        <v>307</v>
      </c>
      <c r="E64" t="s">
        <v>142</v>
      </c>
      <c r="F64" t="s">
        <v>105</v>
      </c>
      <c r="G64" t="s">
        <v>35</v>
      </c>
      <c r="H64" t="s">
        <v>36</v>
      </c>
      <c r="I64" t="s">
        <v>37</v>
      </c>
      <c r="J64" t="s">
        <v>84</v>
      </c>
      <c r="K64" t="s">
        <v>181</v>
      </c>
      <c r="L64" t="s">
        <v>308</v>
      </c>
      <c r="M64" t="s">
        <v>69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42</v>
      </c>
      <c r="U64" t="s">
        <v>43</v>
      </c>
      <c r="V64" t="str">
        <f t="shared" si="0"/>
        <v/>
      </c>
      <c r="W64" t="str">
        <f t="shared" si="1"/>
        <v/>
      </c>
      <c r="X64">
        <f t="shared" si="2"/>
        <v>0.84852144912701888</v>
      </c>
      <c r="Y64">
        <f t="shared" si="3"/>
        <v>21904.488000000001</v>
      </c>
      <c r="Z64">
        <f t="shared" si="4"/>
        <v>8333.9380000000019</v>
      </c>
      <c r="AA64">
        <f t="shared" si="5"/>
        <v>0.38046714445003244</v>
      </c>
      <c r="AB64">
        <f t="shared" si="6"/>
        <v>3</v>
      </c>
      <c r="AC64" t="str">
        <f t="shared" si="7"/>
        <v>October</v>
      </c>
      <c r="AD64">
        <f t="shared" si="8"/>
        <v>2024</v>
      </c>
      <c r="AE64" t="str">
        <f t="shared" si="9"/>
        <v>CLEAN</v>
      </c>
    </row>
    <row r="65" spans="1:31">
      <c r="A65" t="s">
        <v>309</v>
      </c>
      <c r="B65" s="3">
        <v>45316</v>
      </c>
      <c r="C65" s="3">
        <v>45323</v>
      </c>
      <c r="D65" t="s">
        <v>310</v>
      </c>
      <c r="E65" t="s">
        <v>142</v>
      </c>
      <c r="F65" t="s">
        <v>105</v>
      </c>
      <c r="G65" t="s">
        <v>35</v>
      </c>
      <c r="H65" t="s">
        <v>248</v>
      </c>
      <c r="I65" t="s">
        <v>249</v>
      </c>
      <c r="J65" t="s">
        <v>38</v>
      </c>
      <c r="K65" t="s">
        <v>163</v>
      </c>
      <c r="L65" t="s">
        <v>311</v>
      </c>
      <c r="M65" t="s">
        <v>54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42</v>
      </c>
      <c r="U65" t="s">
        <v>43</v>
      </c>
      <c r="V65" t="str">
        <f t="shared" si="0"/>
        <v/>
      </c>
      <c r="W65" t="str">
        <f t="shared" si="1"/>
        <v/>
      </c>
      <c r="X65">
        <f t="shared" si="2"/>
        <v>0.3698572418644821</v>
      </c>
      <c r="Y65">
        <f t="shared" si="3"/>
        <v>4815.7089999999998</v>
      </c>
      <c r="Z65">
        <f t="shared" si="4"/>
        <v>1787.9589999999998</v>
      </c>
      <c r="AA65">
        <f t="shared" si="5"/>
        <v>0.37127637903369992</v>
      </c>
      <c r="AB65">
        <f t="shared" si="6"/>
        <v>7</v>
      </c>
      <c r="AC65" t="str">
        <f t="shared" si="7"/>
        <v>January</v>
      </c>
      <c r="AD65">
        <f t="shared" si="8"/>
        <v>2024</v>
      </c>
      <c r="AE65" t="str">
        <f t="shared" si="9"/>
        <v>CLEAN</v>
      </c>
    </row>
    <row r="66" spans="1:31">
      <c r="A66" t="s">
        <v>312</v>
      </c>
      <c r="B66" s="3">
        <v>45649</v>
      </c>
      <c r="C66" s="3">
        <v>45655</v>
      </c>
      <c r="D66" t="s">
        <v>313</v>
      </c>
      <c r="E66" t="s">
        <v>138</v>
      </c>
      <c r="F66" t="s">
        <v>100</v>
      </c>
      <c r="G66" t="s">
        <v>48</v>
      </c>
      <c r="H66" t="s">
        <v>240</v>
      </c>
      <c r="I66" t="s">
        <v>241</v>
      </c>
      <c r="J66" t="s">
        <v>38</v>
      </c>
      <c r="K66" t="s">
        <v>39</v>
      </c>
      <c r="L66" t="s">
        <v>314</v>
      </c>
      <c r="M66" t="s">
        <v>60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112</v>
      </c>
      <c r="U66" t="s">
        <v>113</v>
      </c>
      <c r="V66" t="str">
        <f t="shared" si="0"/>
        <v/>
      </c>
      <c r="W66" t="str">
        <f t="shared" si="1"/>
        <v/>
      </c>
      <c r="X66">
        <f t="shared" si="2"/>
        <v>-1.0661353799231277</v>
      </c>
      <c r="Y66">
        <f t="shared" si="3"/>
        <v>3134.8799999999997</v>
      </c>
      <c r="Z66">
        <f t="shared" si="4"/>
        <v>767.24999999999955</v>
      </c>
      <c r="AA66">
        <f t="shared" si="5"/>
        <v>0.24474621038125849</v>
      </c>
      <c r="AB66">
        <f t="shared" si="6"/>
        <v>6</v>
      </c>
      <c r="AC66" t="str">
        <f t="shared" si="7"/>
        <v>December</v>
      </c>
      <c r="AD66">
        <f t="shared" si="8"/>
        <v>2024</v>
      </c>
      <c r="AE66" t="str">
        <f t="shared" si="9"/>
        <v>CLEAN</v>
      </c>
    </row>
    <row r="67" spans="1:31">
      <c r="A67" t="s">
        <v>315</v>
      </c>
      <c r="B67" s="3">
        <v>45404</v>
      </c>
      <c r="C67" s="3">
        <v>45409</v>
      </c>
      <c r="D67" t="s">
        <v>316</v>
      </c>
      <c r="E67" t="s">
        <v>46</v>
      </c>
      <c r="F67" t="s">
        <v>105</v>
      </c>
      <c r="G67" t="s">
        <v>73</v>
      </c>
      <c r="H67" t="s">
        <v>74</v>
      </c>
      <c r="I67" t="s">
        <v>75</v>
      </c>
      <c r="J67" t="s">
        <v>38</v>
      </c>
      <c r="K67" t="s">
        <v>39</v>
      </c>
      <c r="L67" t="s">
        <v>317</v>
      </c>
      <c r="M67" t="s">
        <v>41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42</v>
      </c>
      <c r="U67" t="s">
        <v>43</v>
      </c>
      <c r="V67" t="str">
        <f t="shared" ref="V67:V130" si="10">IF(AND(N67&gt;0,O67&gt;0,Q67&gt;0,R67&gt;=0,S67&lt;&gt;""),IF(OR(P67&lt;0,ABS(P67-AVERAGE($P:$P))&gt;2*_xlfn.STDEV.P($P:$P)),"Invalid Discount",""),"")</f>
        <v/>
      </c>
      <c r="W67" t="str">
        <f t="shared" ref="W67:W130" si="11">IF(AND(B67&lt;&gt;"",C67&lt;&gt;""),IF(C67&lt;B67,"Invalid Shipping Record",""),"")</f>
        <v/>
      </c>
      <c r="X67">
        <f t="shared" ref="X67:X130" si="12">(P67-AVERAGE($P:$P))/_xlfn.STDEV.P($P:$P)</f>
        <v>-0.58747117266059101</v>
      </c>
      <c r="Y67">
        <f t="shared" ref="Y67:Y130" si="13">N67*O67*(1-P67)</f>
        <v>4066.1804999999995</v>
      </c>
      <c r="Z67">
        <f t="shared" ref="Z67:Z130" si="14">Y67-R67</f>
        <v>1437.2604999999994</v>
      </c>
      <c r="AA67">
        <f t="shared" ref="AA67:AA130" si="15">IF(Y67=0,0,Z67/Y67)</f>
        <v>0.35346696980126674</v>
      </c>
      <c r="AB67">
        <f t="shared" ref="AB67:AB130" si="16">DATEDIF(B67,C67,"d")</f>
        <v>5</v>
      </c>
      <c r="AC67" t="str">
        <f t="shared" ref="AC67:AC130" si="17">TEXT(B67,"mmmm")</f>
        <v>April</v>
      </c>
      <c r="AD67">
        <f t="shared" ref="AD67:AD130" si="18">YEAR(B67)</f>
        <v>2024</v>
      </c>
      <c r="AE67" t="str">
        <f t="shared" ref="AE67:AE130" si="19">IF(OR(V67="Invalid Discount",W67="Invalid Shipping Record"),"INVALID",IF(U67="Cancelled","WARNING","CLEAN"))</f>
        <v>CLEAN</v>
      </c>
    </row>
    <row r="68" spans="1:31">
      <c r="A68" t="s">
        <v>318</v>
      </c>
      <c r="B68" s="3">
        <v>45897</v>
      </c>
      <c r="C68" s="3">
        <v>45901</v>
      </c>
      <c r="D68" t="s">
        <v>319</v>
      </c>
      <c r="E68" t="s">
        <v>33</v>
      </c>
      <c r="F68" t="s">
        <v>47</v>
      </c>
      <c r="G68" t="s">
        <v>64</v>
      </c>
      <c r="H68" t="s">
        <v>259</v>
      </c>
      <c r="I68" t="s">
        <v>260</v>
      </c>
      <c r="J68" t="s">
        <v>84</v>
      </c>
      <c r="K68" t="s">
        <v>85</v>
      </c>
      <c r="L68" t="s">
        <v>320</v>
      </c>
      <c r="M68" t="s">
        <v>54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42</v>
      </c>
      <c r="U68" t="s">
        <v>43</v>
      </c>
      <c r="V68" t="str">
        <f t="shared" si="10"/>
        <v/>
      </c>
      <c r="W68" t="str">
        <f t="shared" si="11"/>
        <v/>
      </c>
      <c r="X68">
        <f t="shared" si="12"/>
        <v>-0.58747117266059101</v>
      </c>
      <c r="Y68">
        <f t="shared" si="13"/>
        <v>7032.1089999999995</v>
      </c>
      <c r="Z68">
        <f t="shared" si="14"/>
        <v>2421.7689999999993</v>
      </c>
      <c r="AA68">
        <f t="shared" si="15"/>
        <v>0.34438729547565311</v>
      </c>
      <c r="AB68">
        <f t="shared" si="16"/>
        <v>4</v>
      </c>
      <c r="AC68" t="str">
        <f t="shared" si="17"/>
        <v>August</v>
      </c>
      <c r="AD68">
        <f t="shared" si="18"/>
        <v>2025</v>
      </c>
      <c r="AE68" t="str">
        <f t="shared" si="19"/>
        <v>CLEAN</v>
      </c>
    </row>
    <row r="69" spans="1:31">
      <c r="A69" t="s">
        <v>321</v>
      </c>
      <c r="B69" s="3">
        <v>45691</v>
      </c>
      <c r="C69" s="3">
        <v>45695</v>
      </c>
      <c r="D69" t="s">
        <v>322</v>
      </c>
      <c r="E69" t="s">
        <v>276</v>
      </c>
      <c r="F69" t="s">
        <v>34</v>
      </c>
      <c r="G69" t="s">
        <v>35</v>
      </c>
      <c r="H69" t="s">
        <v>248</v>
      </c>
      <c r="I69" t="s">
        <v>249</v>
      </c>
      <c r="J69" t="s">
        <v>38</v>
      </c>
      <c r="K69" t="s">
        <v>39</v>
      </c>
      <c r="L69" t="s">
        <v>323</v>
      </c>
      <c r="M69" t="s">
        <v>60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42</v>
      </c>
      <c r="U69" t="s">
        <v>43</v>
      </c>
      <c r="V69" t="str">
        <f t="shared" si="10"/>
        <v/>
      </c>
      <c r="W69" t="str">
        <f t="shared" si="11"/>
        <v/>
      </c>
      <c r="X69">
        <f t="shared" si="12"/>
        <v>-0.58747117266059101</v>
      </c>
      <c r="Y69">
        <f t="shared" si="13"/>
        <v>24002.111000000001</v>
      </c>
      <c r="Z69">
        <f t="shared" si="14"/>
        <v>5294.5410000000011</v>
      </c>
      <c r="AA69">
        <f t="shared" si="15"/>
        <v>0.2205864725815159</v>
      </c>
      <c r="AB69">
        <f t="shared" si="16"/>
        <v>4</v>
      </c>
      <c r="AC69" t="str">
        <f t="shared" si="17"/>
        <v>February</v>
      </c>
      <c r="AD69">
        <f t="shared" si="18"/>
        <v>2025</v>
      </c>
      <c r="AE69" t="str">
        <f t="shared" si="19"/>
        <v>CLEAN</v>
      </c>
    </row>
    <row r="70" spans="1:31">
      <c r="A70" t="s">
        <v>324</v>
      </c>
      <c r="B70" s="3">
        <v>45576</v>
      </c>
      <c r="C70" s="3">
        <v>45609</v>
      </c>
      <c r="D70" t="s">
        <v>325</v>
      </c>
      <c r="E70" t="s">
        <v>57</v>
      </c>
      <c r="F70" t="s">
        <v>100</v>
      </c>
      <c r="G70" t="s">
        <v>48</v>
      </c>
      <c r="H70" t="s">
        <v>240</v>
      </c>
      <c r="I70" t="s">
        <v>241</v>
      </c>
      <c r="J70" t="s">
        <v>38</v>
      </c>
      <c r="K70" t="s">
        <v>134</v>
      </c>
      <c r="L70" t="s">
        <v>326</v>
      </c>
      <c r="M70" t="s">
        <v>41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165</v>
      </c>
      <c r="U70" t="s">
        <v>113</v>
      </c>
      <c r="V70" t="str">
        <f t="shared" si="10"/>
        <v/>
      </c>
      <c r="W70" t="str">
        <f t="shared" si="11"/>
        <v/>
      </c>
      <c r="X70">
        <f t="shared" si="12"/>
        <v>-1.0661353799231277</v>
      </c>
      <c r="Y70">
        <f t="shared" si="13"/>
        <v>19900.079999999998</v>
      </c>
      <c r="Z70">
        <f t="shared" si="14"/>
        <v>8937.4199999999983</v>
      </c>
      <c r="AA70">
        <f t="shared" si="15"/>
        <v>0.44911477742803041</v>
      </c>
      <c r="AB70">
        <f t="shared" si="16"/>
        <v>33</v>
      </c>
      <c r="AC70" t="str">
        <f t="shared" si="17"/>
        <v>October</v>
      </c>
      <c r="AD70">
        <f t="shared" si="18"/>
        <v>2024</v>
      </c>
      <c r="AE70" t="str">
        <f t="shared" si="19"/>
        <v>CLEAN</v>
      </c>
    </row>
    <row r="71" spans="1:31">
      <c r="A71" t="s">
        <v>327</v>
      </c>
      <c r="B71" s="3">
        <v>45391</v>
      </c>
      <c r="C71" s="3">
        <v>45396</v>
      </c>
      <c r="D71" t="s">
        <v>328</v>
      </c>
      <c r="E71" t="s">
        <v>89</v>
      </c>
      <c r="F71" t="s">
        <v>47</v>
      </c>
      <c r="G71" t="s">
        <v>73</v>
      </c>
      <c r="H71" t="s">
        <v>190</v>
      </c>
      <c r="I71" t="s">
        <v>191</v>
      </c>
      <c r="J71" t="s">
        <v>84</v>
      </c>
      <c r="K71" t="s">
        <v>286</v>
      </c>
      <c r="L71" t="s">
        <v>329</v>
      </c>
      <c r="M71" t="s">
        <v>54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112</v>
      </c>
      <c r="U71" t="s">
        <v>113</v>
      </c>
      <c r="V71" t="str">
        <f t="shared" si="10"/>
        <v/>
      </c>
      <c r="W71" t="str">
        <f t="shared" si="11"/>
        <v/>
      </c>
      <c r="X71">
        <f t="shared" si="12"/>
        <v>-0.10880696539805437</v>
      </c>
      <c r="Y71">
        <f t="shared" si="13"/>
        <v>21527.667000000001</v>
      </c>
      <c r="Z71">
        <f t="shared" si="14"/>
        <v>3240.0869999999995</v>
      </c>
      <c r="AA71">
        <f t="shared" si="15"/>
        <v>0.15050804158202555</v>
      </c>
      <c r="AB71">
        <f t="shared" si="16"/>
        <v>5</v>
      </c>
      <c r="AC71" t="str">
        <f t="shared" si="17"/>
        <v>April</v>
      </c>
      <c r="AD71">
        <f t="shared" si="18"/>
        <v>2024</v>
      </c>
      <c r="AE71" t="str">
        <f t="shared" si="19"/>
        <v>CLEAN</v>
      </c>
    </row>
    <row r="72" spans="1:31">
      <c r="A72" t="s">
        <v>330</v>
      </c>
      <c r="B72" s="3">
        <v>45891</v>
      </c>
      <c r="C72" s="3">
        <v>45896</v>
      </c>
      <c r="D72" t="s">
        <v>331</v>
      </c>
      <c r="E72" t="s">
        <v>33</v>
      </c>
      <c r="F72" t="s">
        <v>100</v>
      </c>
      <c r="G72" t="s">
        <v>64</v>
      </c>
      <c r="H72" t="s">
        <v>94</v>
      </c>
      <c r="I72" t="s">
        <v>95</v>
      </c>
      <c r="J72" t="s">
        <v>84</v>
      </c>
      <c r="K72" t="s">
        <v>181</v>
      </c>
      <c r="L72" t="s">
        <v>332</v>
      </c>
      <c r="M72" t="s">
        <v>60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42</v>
      </c>
      <c r="U72" t="s">
        <v>43</v>
      </c>
      <c r="V72" t="str">
        <f t="shared" si="10"/>
        <v/>
      </c>
      <c r="W72" t="str">
        <f t="shared" si="11"/>
        <v/>
      </c>
      <c r="X72">
        <f t="shared" si="12"/>
        <v>0.3698572418644821</v>
      </c>
      <c r="Y72">
        <f t="shared" si="13"/>
        <v>1539.979</v>
      </c>
      <c r="Z72">
        <f t="shared" si="14"/>
        <v>469.779</v>
      </c>
      <c r="AA72">
        <f t="shared" si="15"/>
        <v>0.30505545854846072</v>
      </c>
      <c r="AB72">
        <f t="shared" si="16"/>
        <v>5</v>
      </c>
      <c r="AC72" t="str">
        <f t="shared" si="17"/>
        <v>August</v>
      </c>
      <c r="AD72">
        <f t="shared" si="18"/>
        <v>2025</v>
      </c>
      <c r="AE72" t="str">
        <f t="shared" si="19"/>
        <v>CLEAN</v>
      </c>
    </row>
    <row r="73" spans="1:31">
      <c r="A73" t="s">
        <v>333</v>
      </c>
      <c r="B73" s="3">
        <v>45763</v>
      </c>
      <c r="C73" s="3">
        <v>45770</v>
      </c>
      <c r="D73" t="s">
        <v>334</v>
      </c>
      <c r="E73" t="s">
        <v>46</v>
      </c>
      <c r="F73" t="s">
        <v>47</v>
      </c>
      <c r="G73" t="s">
        <v>73</v>
      </c>
      <c r="H73" t="s">
        <v>200</v>
      </c>
      <c r="I73" t="s">
        <v>201</v>
      </c>
      <c r="J73" t="s">
        <v>84</v>
      </c>
      <c r="K73" t="s">
        <v>286</v>
      </c>
      <c r="L73" t="s">
        <v>335</v>
      </c>
      <c r="M73" t="s">
        <v>69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42</v>
      </c>
      <c r="U73" t="s">
        <v>43</v>
      </c>
      <c r="V73" t="str">
        <f t="shared" si="10"/>
        <v/>
      </c>
      <c r="W73" t="str">
        <f t="shared" si="11"/>
        <v/>
      </c>
      <c r="X73">
        <f t="shared" si="12"/>
        <v>-0.10880696539805437</v>
      </c>
      <c r="Y73">
        <f t="shared" si="13"/>
        <v>10947.528</v>
      </c>
      <c r="Z73">
        <f t="shared" si="14"/>
        <v>4500.1680000000006</v>
      </c>
      <c r="AA73">
        <f t="shared" si="15"/>
        <v>0.41106704636882413</v>
      </c>
      <c r="AB73">
        <f t="shared" si="16"/>
        <v>7</v>
      </c>
      <c r="AC73" t="str">
        <f t="shared" si="17"/>
        <v>April</v>
      </c>
      <c r="AD73">
        <f t="shared" si="18"/>
        <v>2025</v>
      </c>
      <c r="AE73" t="str">
        <f t="shared" si="19"/>
        <v>CLEAN</v>
      </c>
    </row>
    <row r="74" spans="1:31">
      <c r="A74" t="s">
        <v>336</v>
      </c>
      <c r="B74" s="3">
        <v>45333</v>
      </c>
      <c r="C74" s="3">
        <v>45329</v>
      </c>
      <c r="D74" t="s">
        <v>337</v>
      </c>
      <c r="E74" t="s">
        <v>33</v>
      </c>
      <c r="F74" t="s">
        <v>105</v>
      </c>
      <c r="G74" t="s">
        <v>64</v>
      </c>
      <c r="H74" t="s">
        <v>259</v>
      </c>
      <c r="I74" t="s">
        <v>260</v>
      </c>
      <c r="J74" t="s">
        <v>51</v>
      </c>
      <c r="K74" t="s">
        <v>52</v>
      </c>
      <c r="L74" t="s">
        <v>338</v>
      </c>
      <c r="M74" t="s">
        <v>60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42</v>
      </c>
      <c r="U74" t="s">
        <v>43</v>
      </c>
      <c r="V74" t="str">
        <f t="shared" si="10"/>
        <v/>
      </c>
      <c r="W74" t="str">
        <f t="shared" si="11"/>
        <v>Invalid Shipping Record</v>
      </c>
      <c r="X74">
        <f t="shared" si="12"/>
        <v>0.3698572418644821</v>
      </c>
      <c r="Y74">
        <f t="shared" si="13"/>
        <v>13610.446499999998</v>
      </c>
      <c r="Z74">
        <f t="shared" si="14"/>
        <v>3571.3964999999989</v>
      </c>
      <c r="AA74">
        <f t="shared" si="15"/>
        <v>0.26240112695788487</v>
      </c>
      <c r="AB74" t="e">
        <f t="shared" si="16"/>
        <v>#NUM!</v>
      </c>
      <c r="AC74" t="str">
        <f t="shared" si="17"/>
        <v>February</v>
      </c>
      <c r="AD74">
        <f t="shared" si="18"/>
        <v>2024</v>
      </c>
      <c r="AE74" t="str">
        <f t="shared" si="19"/>
        <v>INVALID</v>
      </c>
    </row>
    <row r="75" spans="1:31">
      <c r="A75" t="s">
        <v>339</v>
      </c>
      <c r="B75" s="3">
        <v>45745</v>
      </c>
      <c r="C75" s="3">
        <v>45720</v>
      </c>
      <c r="D75" t="s">
        <v>340</v>
      </c>
      <c r="E75" t="s">
        <v>142</v>
      </c>
      <c r="F75" t="s">
        <v>100</v>
      </c>
      <c r="G75" t="s">
        <v>48</v>
      </c>
      <c r="H75" t="s">
        <v>109</v>
      </c>
      <c r="I75" t="s">
        <v>110</v>
      </c>
      <c r="J75" t="s">
        <v>51</v>
      </c>
      <c r="K75" t="s">
        <v>168</v>
      </c>
      <c r="L75" t="s">
        <v>341</v>
      </c>
      <c r="M75" t="s">
        <v>60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42</v>
      </c>
      <c r="U75" t="s">
        <v>43</v>
      </c>
      <c r="V75" t="str">
        <f t="shared" si="10"/>
        <v/>
      </c>
      <c r="W75" t="str">
        <f t="shared" si="11"/>
        <v>Invalid Shipping Record</v>
      </c>
      <c r="X75">
        <f t="shared" si="12"/>
        <v>-1.0661353799231277</v>
      </c>
      <c r="Y75">
        <f t="shared" si="13"/>
        <v>7128.7</v>
      </c>
      <c r="Z75">
        <f t="shared" si="14"/>
        <v>2746.55</v>
      </c>
      <c r="AA75">
        <f t="shared" si="15"/>
        <v>0.38528062620113068</v>
      </c>
      <c r="AB75" t="e">
        <f t="shared" si="16"/>
        <v>#NUM!</v>
      </c>
      <c r="AC75" t="str">
        <f t="shared" si="17"/>
        <v>March</v>
      </c>
      <c r="AD75">
        <f t="shared" si="18"/>
        <v>2025</v>
      </c>
      <c r="AE75" t="str">
        <f t="shared" si="19"/>
        <v>INVALID</v>
      </c>
    </row>
    <row r="76" spans="1:31">
      <c r="A76" t="s">
        <v>342</v>
      </c>
      <c r="B76" s="3">
        <v>45715</v>
      </c>
      <c r="C76" s="3">
        <v>45717</v>
      </c>
      <c r="D76" t="s">
        <v>343</v>
      </c>
      <c r="E76" t="s">
        <v>81</v>
      </c>
      <c r="F76" t="s">
        <v>47</v>
      </c>
      <c r="G76" t="s">
        <v>48</v>
      </c>
      <c r="H76" t="s">
        <v>109</v>
      </c>
      <c r="I76" t="s">
        <v>110</v>
      </c>
      <c r="J76" t="s">
        <v>51</v>
      </c>
      <c r="K76" t="s">
        <v>76</v>
      </c>
      <c r="L76" t="s">
        <v>344</v>
      </c>
      <c r="M76" t="s">
        <v>69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42</v>
      </c>
      <c r="U76" t="s">
        <v>43</v>
      </c>
      <c r="V76" t="str">
        <f t="shared" si="10"/>
        <v/>
      </c>
      <c r="W76" t="str">
        <f t="shared" si="11"/>
        <v/>
      </c>
      <c r="X76">
        <f t="shared" si="12"/>
        <v>-1.0661353799231277</v>
      </c>
      <c r="Y76">
        <f t="shared" si="13"/>
        <v>3309.84</v>
      </c>
      <c r="Z76">
        <f t="shared" si="14"/>
        <v>638.76000000000022</v>
      </c>
      <c r="AA76">
        <f t="shared" si="15"/>
        <v>0.19298818069755644</v>
      </c>
      <c r="AB76">
        <f t="shared" si="16"/>
        <v>2</v>
      </c>
      <c r="AC76" t="str">
        <f t="shared" si="17"/>
        <v>February</v>
      </c>
      <c r="AD76">
        <f t="shared" si="18"/>
        <v>2025</v>
      </c>
      <c r="AE76" t="str">
        <f t="shared" si="19"/>
        <v>CLEAN</v>
      </c>
    </row>
    <row r="77" spans="1:31">
      <c r="A77" t="s">
        <v>345</v>
      </c>
      <c r="B77" s="3">
        <v>45891</v>
      </c>
      <c r="C77" s="3">
        <v>45896</v>
      </c>
      <c r="D77" t="s">
        <v>346</v>
      </c>
      <c r="E77" t="s">
        <v>124</v>
      </c>
      <c r="F77" t="s">
        <v>47</v>
      </c>
      <c r="G77" t="s">
        <v>48</v>
      </c>
      <c r="H77" t="s">
        <v>49</v>
      </c>
      <c r="I77" t="s">
        <v>50</v>
      </c>
      <c r="J77" t="s">
        <v>38</v>
      </c>
      <c r="K77" t="s">
        <v>101</v>
      </c>
      <c r="L77" t="s">
        <v>347</v>
      </c>
      <c r="M77" t="s">
        <v>60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42</v>
      </c>
      <c r="U77" t="s">
        <v>43</v>
      </c>
      <c r="V77" t="str">
        <f t="shared" si="10"/>
        <v/>
      </c>
      <c r="W77" t="str">
        <f t="shared" si="11"/>
        <v/>
      </c>
      <c r="X77">
        <f t="shared" si="12"/>
        <v>0.84852144912701888</v>
      </c>
      <c r="Y77">
        <f t="shared" si="13"/>
        <v>7907.5680000000011</v>
      </c>
      <c r="Z77">
        <f t="shared" si="14"/>
        <v>2516.3880000000008</v>
      </c>
      <c r="AA77">
        <f t="shared" si="15"/>
        <v>0.31822527482533197</v>
      </c>
      <c r="AB77">
        <f t="shared" si="16"/>
        <v>5</v>
      </c>
      <c r="AC77" t="str">
        <f t="shared" si="17"/>
        <v>August</v>
      </c>
      <c r="AD77">
        <f t="shared" si="18"/>
        <v>2025</v>
      </c>
      <c r="AE77" t="str">
        <f t="shared" si="19"/>
        <v>CLEAN</v>
      </c>
    </row>
    <row r="78" spans="1:31">
      <c r="A78" t="s">
        <v>348</v>
      </c>
      <c r="B78" s="3">
        <v>45599</v>
      </c>
      <c r="C78" s="3">
        <v>45607</v>
      </c>
      <c r="D78" t="s">
        <v>349</v>
      </c>
      <c r="E78" t="s">
        <v>72</v>
      </c>
      <c r="F78" t="s">
        <v>100</v>
      </c>
      <c r="G78" t="s">
        <v>48</v>
      </c>
      <c r="H78" t="s">
        <v>240</v>
      </c>
      <c r="I78" t="s">
        <v>241</v>
      </c>
      <c r="J78" t="s">
        <v>38</v>
      </c>
      <c r="K78" t="s">
        <v>101</v>
      </c>
      <c r="L78" t="s">
        <v>350</v>
      </c>
      <c r="M78" t="s">
        <v>41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42</v>
      </c>
      <c r="U78" t="s">
        <v>43</v>
      </c>
      <c r="V78" t="str">
        <f t="shared" si="10"/>
        <v/>
      </c>
      <c r="W78" t="str">
        <f t="shared" si="11"/>
        <v/>
      </c>
      <c r="X78">
        <f t="shared" si="12"/>
        <v>-1.0661353799231277</v>
      </c>
      <c r="Y78">
        <f t="shared" si="13"/>
        <v>10218.81</v>
      </c>
      <c r="Z78">
        <f t="shared" si="14"/>
        <v>2601.8399999999992</v>
      </c>
      <c r="AA78">
        <f t="shared" si="15"/>
        <v>0.2546128169522674</v>
      </c>
      <c r="AB78">
        <f t="shared" si="16"/>
        <v>8</v>
      </c>
      <c r="AC78" t="str">
        <f t="shared" si="17"/>
        <v>November</v>
      </c>
      <c r="AD78">
        <f t="shared" si="18"/>
        <v>2024</v>
      </c>
      <c r="AE78" t="str">
        <f t="shared" si="19"/>
        <v>CLEAN</v>
      </c>
    </row>
    <row r="79" spans="1:31">
      <c r="A79" t="s">
        <v>351</v>
      </c>
      <c r="B79" s="3">
        <v>45876</v>
      </c>
      <c r="C79" s="3">
        <v>45850</v>
      </c>
      <c r="D79" t="s">
        <v>352</v>
      </c>
      <c r="E79" t="s">
        <v>151</v>
      </c>
      <c r="F79" t="s">
        <v>105</v>
      </c>
      <c r="G79" t="s">
        <v>35</v>
      </c>
      <c r="H79" t="s">
        <v>146</v>
      </c>
      <c r="I79" t="s">
        <v>147</v>
      </c>
      <c r="J79" t="s">
        <v>51</v>
      </c>
      <c r="K79" t="s">
        <v>67</v>
      </c>
      <c r="L79" t="s">
        <v>353</v>
      </c>
      <c r="M79" t="s">
        <v>69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112</v>
      </c>
      <c r="U79" t="s">
        <v>78</v>
      </c>
      <c r="V79" t="str">
        <f t="shared" si="10"/>
        <v/>
      </c>
      <c r="W79" t="str">
        <f t="shared" si="11"/>
        <v>Invalid Shipping Record</v>
      </c>
      <c r="X79">
        <f t="shared" si="12"/>
        <v>0.3698572418644821</v>
      </c>
      <c r="Y79">
        <f t="shared" si="13"/>
        <v>2194.87</v>
      </c>
      <c r="Z79">
        <f t="shared" si="14"/>
        <v>971.69999999999982</v>
      </c>
      <c r="AA79">
        <f t="shared" si="15"/>
        <v>0.44271414707932583</v>
      </c>
      <c r="AB79" t="e">
        <f t="shared" si="16"/>
        <v>#NUM!</v>
      </c>
      <c r="AC79" t="str">
        <f t="shared" si="17"/>
        <v>August</v>
      </c>
      <c r="AD79">
        <f t="shared" si="18"/>
        <v>2025</v>
      </c>
      <c r="AE79" t="str">
        <f t="shared" si="19"/>
        <v>INVALID</v>
      </c>
    </row>
    <row r="80" spans="1:31">
      <c r="A80" t="s">
        <v>354</v>
      </c>
      <c r="B80" s="3">
        <v>45854</v>
      </c>
      <c r="C80" s="3">
        <v>45859</v>
      </c>
      <c r="D80" t="s">
        <v>355</v>
      </c>
      <c r="E80" t="s">
        <v>142</v>
      </c>
      <c r="F80" t="s">
        <v>100</v>
      </c>
      <c r="G80" t="s">
        <v>48</v>
      </c>
      <c r="H80" t="s">
        <v>109</v>
      </c>
      <c r="I80" t="s">
        <v>110</v>
      </c>
      <c r="J80" t="s">
        <v>51</v>
      </c>
      <c r="K80" t="s">
        <v>52</v>
      </c>
      <c r="L80" t="s">
        <v>356</v>
      </c>
      <c r="M80" t="s">
        <v>60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42</v>
      </c>
      <c r="U80" t="s">
        <v>43</v>
      </c>
      <c r="V80" t="str">
        <f t="shared" si="10"/>
        <v/>
      </c>
      <c r="W80" t="str">
        <f t="shared" si="11"/>
        <v/>
      </c>
      <c r="X80">
        <f t="shared" si="12"/>
        <v>0.3698572418644821</v>
      </c>
      <c r="Y80">
        <f t="shared" si="13"/>
        <v>9050.4175000000014</v>
      </c>
      <c r="Z80">
        <f t="shared" si="14"/>
        <v>2271.567500000001</v>
      </c>
      <c r="AA80">
        <f t="shared" si="15"/>
        <v>0.25099035486484472</v>
      </c>
      <c r="AB80">
        <f t="shared" si="16"/>
        <v>5</v>
      </c>
      <c r="AC80" t="str">
        <f t="shared" si="17"/>
        <v>July</v>
      </c>
      <c r="AD80">
        <f t="shared" si="18"/>
        <v>2025</v>
      </c>
      <c r="AE80" t="str">
        <f t="shared" si="19"/>
        <v>CLEAN</v>
      </c>
    </row>
    <row r="81" spans="1:31">
      <c r="A81" t="s">
        <v>357</v>
      </c>
      <c r="B81" s="3">
        <v>45927</v>
      </c>
      <c r="C81" s="3">
        <v>45933</v>
      </c>
      <c r="D81" t="s">
        <v>358</v>
      </c>
      <c r="E81" t="s">
        <v>172</v>
      </c>
      <c r="F81" t="s">
        <v>105</v>
      </c>
      <c r="G81" t="s">
        <v>64</v>
      </c>
      <c r="H81" t="s">
        <v>259</v>
      </c>
      <c r="I81" t="s">
        <v>260</v>
      </c>
      <c r="J81" t="s">
        <v>51</v>
      </c>
      <c r="K81" t="s">
        <v>76</v>
      </c>
      <c r="L81" t="s">
        <v>359</v>
      </c>
      <c r="M81" t="s">
        <v>54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42</v>
      </c>
      <c r="U81" t="s">
        <v>43</v>
      </c>
      <c r="V81" t="str">
        <f t="shared" si="10"/>
        <v/>
      </c>
      <c r="W81" t="str">
        <f t="shared" si="11"/>
        <v/>
      </c>
      <c r="X81">
        <f t="shared" si="12"/>
        <v>-0.10880696539805437</v>
      </c>
      <c r="Y81">
        <f t="shared" si="13"/>
        <v>33465.312000000005</v>
      </c>
      <c r="Z81">
        <f t="shared" si="14"/>
        <v>8684.052000000007</v>
      </c>
      <c r="AA81">
        <f t="shared" si="15"/>
        <v>0.25949412932411942</v>
      </c>
      <c r="AB81">
        <f t="shared" si="16"/>
        <v>6</v>
      </c>
      <c r="AC81" t="str">
        <f t="shared" si="17"/>
        <v>September</v>
      </c>
      <c r="AD81">
        <f t="shared" si="18"/>
        <v>2025</v>
      </c>
      <c r="AE81" t="str">
        <f t="shared" si="19"/>
        <v>CLEAN</v>
      </c>
    </row>
    <row r="82" spans="1:31">
      <c r="A82" t="s">
        <v>360</v>
      </c>
      <c r="B82" s="3">
        <v>45514</v>
      </c>
      <c r="C82" s="3">
        <v>45518</v>
      </c>
      <c r="D82" t="s">
        <v>361</v>
      </c>
      <c r="E82" t="s">
        <v>138</v>
      </c>
      <c r="F82" t="s">
        <v>47</v>
      </c>
      <c r="G82" t="s">
        <v>35</v>
      </c>
      <c r="H82" t="s">
        <v>362</v>
      </c>
      <c r="I82" t="s">
        <v>363</v>
      </c>
      <c r="J82" t="s">
        <v>38</v>
      </c>
      <c r="K82" t="s">
        <v>134</v>
      </c>
      <c r="L82" t="s">
        <v>364</v>
      </c>
      <c r="M82" t="s">
        <v>41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121</v>
      </c>
      <c r="U82" t="s">
        <v>113</v>
      </c>
      <c r="V82" t="str">
        <f t="shared" si="10"/>
        <v/>
      </c>
      <c r="W82" t="str">
        <f t="shared" si="11"/>
        <v/>
      </c>
      <c r="X82">
        <f t="shared" si="12"/>
        <v>-0.10880696539805437</v>
      </c>
      <c r="Y82">
        <f t="shared" si="13"/>
        <v>4256.3519999999999</v>
      </c>
      <c r="Z82">
        <f t="shared" si="14"/>
        <v>1761.0219999999999</v>
      </c>
      <c r="AA82">
        <f t="shared" si="15"/>
        <v>0.41373974708858663</v>
      </c>
      <c r="AB82">
        <f t="shared" si="16"/>
        <v>4</v>
      </c>
      <c r="AC82" t="str">
        <f t="shared" si="17"/>
        <v>August</v>
      </c>
      <c r="AD82">
        <f t="shared" si="18"/>
        <v>2024</v>
      </c>
      <c r="AE82" t="str">
        <f t="shared" si="19"/>
        <v>CLEAN</v>
      </c>
    </row>
    <row r="83" spans="1:31">
      <c r="A83" t="s">
        <v>365</v>
      </c>
      <c r="B83" s="3">
        <v>45732</v>
      </c>
      <c r="C83" s="3">
        <v>45733</v>
      </c>
      <c r="D83" t="s">
        <v>366</v>
      </c>
      <c r="E83" t="s">
        <v>33</v>
      </c>
      <c r="F83" t="s">
        <v>105</v>
      </c>
      <c r="G83" t="s">
        <v>73</v>
      </c>
      <c r="H83" t="s">
        <v>200</v>
      </c>
      <c r="I83" t="s">
        <v>201</v>
      </c>
      <c r="J83" t="s">
        <v>38</v>
      </c>
      <c r="K83" t="s">
        <v>101</v>
      </c>
      <c r="L83" t="s">
        <v>367</v>
      </c>
      <c r="M83" t="s">
        <v>54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42</v>
      </c>
      <c r="U83" t="s">
        <v>43</v>
      </c>
      <c r="V83" t="str">
        <f t="shared" si="10"/>
        <v/>
      </c>
      <c r="W83" t="str">
        <f t="shared" si="11"/>
        <v/>
      </c>
      <c r="X83">
        <f t="shared" si="12"/>
        <v>-1.0661353799231277</v>
      </c>
      <c r="Y83">
        <f t="shared" si="13"/>
        <v>5525.7300000000005</v>
      </c>
      <c r="Z83">
        <f t="shared" si="14"/>
        <v>2432.3100000000004</v>
      </c>
      <c r="AA83">
        <f t="shared" si="15"/>
        <v>0.44017894468242208</v>
      </c>
      <c r="AB83">
        <f t="shared" si="16"/>
        <v>1</v>
      </c>
      <c r="AC83" t="str">
        <f t="shared" si="17"/>
        <v>March</v>
      </c>
      <c r="AD83">
        <f t="shared" si="18"/>
        <v>2025</v>
      </c>
      <c r="AE83" t="str">
        <f t="shared" si="19"/>
        <v>CLEAN</v>
      </c>
    </row>
    <row r="84" spans="1:31">
      <c r="A84" t="s">
        <v>368</v>
      </c>
      <c r="B84" s="3">
        <v>45507</v>
      </c>
      <c r="C84" s="3">
        <v>45508</v>
      </c>
      <c r="D84" t="s">
        <v>369</v>
      </c>
      <c r="E84" t="s">
        <v>63</v>
      </c>
      <c r="F84" t="s">
        <v>34</v>
      </c>
      <c r="G84" t="s">
        <v>35</v>
      </c>
      <c r="H84" t="s">
        <v>146</v>
      </c>
      <c r="I84" t="s">
        <v>147</v>
      </c>
      <c r="J84" t="s">
        <v>84</v>
      </c>
      <c r="K84" t="s">
        <v>90</v>
      </c>
      <c r="L84" t="s">
        <v>370</v>
      </c>
      <c r="M84" t="s">
        <v>41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165</v>
      </c>
      <c r="U84" t="s">
        <v>113</v>
      </c>
      <c r="V84" t="str">
        <f t="shared" si="10"/>
        <v/>
      </c>
      <c r="W84" t="str">
        <f t="shared" si="11"/>
        <v/>
      </c>
      <c r="X84">
        <f t="shared" si="12"/>
        <v>-1.0661353799231277</v>
      </c>
      <c r="Y84">
        <f t="shared" si="13"/>
        <v>6010.38</v>
      </c>
      <c r="Z84">
        <f t="shared" si="14"/>
        <v>2247.5300000000002</v>
      </c>
      <c r="AA84">
        <f t="shared" si="15"/>
        <v>0.37394141468592673</v>
      </c>
      <c r="AB84">
        <f t="shared" si="16"/>
        <v>1</v>
      </c>
      <c r="AC84" t="str">
        <f t="shared" si="17"/>
        <v>August</v>
      </c>
      <c r="AD84">
        <f t="shared" si="18"/>
        <v>2024</v>
      </c>
      <c r="AE84" t="str">
        <f t="shared" si="19"/>
        <v>CLEAN</v>
      </c>
    </row>
    <row r="85" spans="1:31">
      <c r="A85" t="s">
        <v>371</v>
      </c>
      <c r="B85" s="3">
        <v>45591</v>
      </c>
      <c r="C85" s="3">
        <v>45594</v>
      </c>
      <c r="D85" t="s">
        <v>372</v>
      </c>
      <c r="E85" t="s">
        <v>99</v>
      </c>
      <c r="F85" t="s">
        <v>105</v>
      </c>
      <c r="G85" t="s">
        <v>73</v>
      </c>
      <c r="H85" t="s">
        <v>74</v>
      </c>
      <c r="I85" t="s">
        <v>75</v>
      </c>
      <c r="J85" t="s">
        <v>51</v>
      </c>
      <c r="K85" t="s">
        <v>52</v>
      </c>
      <c r="L85" t="s">
        <v>373</v>
      </c>
      <c r="M85" t="s">
        <v>41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42</v>
      </c>
      <c r="U85" t="s">
        <v>43</v>
      </c>
      <c r="V85" t="str">
        <f t="shared" si="10"/>
        <v/>
      </c>
      <c r="W85" t="str">
        <f t="shared" si="11"/>
        <v/>
      </c>
      <c r="X85">
        <f t="shared" si="12"/>
        <v>0.84852144912701888</v>
      </c>
      <c r="Y85">
        <f t="shared" si="13"/>
        <v>948.52800000000013</v>
      </c>
      <c r="Z85">
        <f t="shared" si="14"/>
        <v>273.90800000000013</v>
      </c>
      <c r="AA85">
        <f t="shared" si="15"/>
        <v>0.28877165460587362</v>
      </c>
      <c r="AB85">
        <f t="shared" si="16"/>
        <v>3</v>
      </c>
      <c r="AC85" t="str">
        <f t="shared" si="17"/>
        <v>October</v>
      </c>
      <c r="AD85">
        <f t="shared" si="18"/>
        <v>2024</v>
      </c>
      <c r="AE85" t="str">
        <f t="shared" si="19"/>
        <v>CLEAN</v>
      </c>
    </row>
    <row r="86" spans="1:31">
      <c r="A86" t="s">
        <v>374</v>
      </c>
      <c r="B86" s="3">
        <v>45566</v>
      </c>
      <c r="C86" s="3">
        <v>45568</v>
      </c>
      <c r="D86" t="s">
        <v>375</v>
      </c>
      <c r="E86" t="s">
        <v>151</v>
      </c>
      <c r="F86" t="s">
        <v>100</v>
      </c>
      <c r="G86" t="s">
        <v>64</v>
      </c>
      <c r="H86" t="s">
        <v>259</v>
      </c>
      <c r="I86" t="s">
        <v>260</v>
      </c>
      <c r="J86" t="s">
        <v>84</v>
      </c>
      <c r="K86" t="s">
        <v>181</v>
      </c>
      <c r="L86" t="s">
        <v>376</v>
      </c>
      <c r="M86" t="s">
        <v>41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42</v>
      </c>
      <c r="U86" t="s">
        <v>43</v>
      </c>
      <c r="V86" t="str">
        <f t="shared" si="10"/>
        <v/>
      </c>
      <c r="W86" t="str">
        <f t="shared" si="11"/>
        <v/>
      </c>
      <c r="X86">
        <f t="shared" si="12"/>
        <v>0.84852144912701888</v>
      </c>
      <c r="Y86">
        <f t="shared" si="13"/>
        <v>2737.3440000000001</v>
      </c>
      <c r="Z86">
        <f t="shared" si="14"/>
        <v>651.904</v>
      </c>
      <c r="AA86">
        <f t="shared" si="15"/>
        <v>0.23815201889130486</v>
      </c>
      <c r="AB86">
        <f t="shared" si="16"/>
        <v>2</v>
      </c>
      <c r="AC86" t="str">
        <f t="shared" si="17"/>
        <v>October</v>
      </c>
      <c r="AD86">
        <f t="shared" si="18"/>
        <v>2024</v>
      </c>
      <c r="AE86" t="str">
        <f t="shared" si="19"/>
        <v>CLEAN</v>
      </c>
    </row>
    <row r="87" spans="1:31">
      <c r="A87" t="s">
        <v>377</v>
      </c>
      <c r="B87" s="3">
        <v>45503</v>
      </c>
      <c r="C87" s="3">
        <v>45420</v>
      </c>
      <c r="D87" t="s">
        <v>378</v>
      </c>
      <c r="E87" t="s">
        <v>276</v>
      </c>
      <c r="F87" t="s">
        <v>100</v>
      </c>
      <c r="G87" t="s">
        <v>35</v>
      </c>
      <c r="H87" t="s">
        <v>362</v>
      </c>
      <c r="I87" t="s">
        <v>363</v>
      </c>
      <c r="J87" t="s">
        <v>38</v>
      </c>
      <c r="K87" t="s">
        <v>163</v>
      </c>
      <c r="L87" t="s">
        <v>379</v>
      </c>
      <c r="M87" t="s">
        <v>69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42</v>
      </c>
      <c r="U87" t="s">
        <v>78</v>
      </c>
      <c r="V87" t="str">
        <f t="shared" si="10"/>
        <v/>
      </c>
      <c r="W87" t="str">
        <f t="shared" si="11"/>
        <v>Invalid Shipping Record</v>
      </c>
      <c r="X87">
        <f t="shared" si="12"/>
        <v>-1.0661353799231277</v>
      </c>
      <c r="Y87">
        <f t="shared" si="13"/>
        <v>608.64</v>
      </c>
      <c r="Z87">
        <f t="shared" si="14"/>
        <v>264.64999999999998</v>
      </c>
      <c r="AA87">
        <f t="shared" si="15"/>
        <v>0.43482189800210302</v>
      </c>
      <c r="AB87" t="e">
        <f t="shared" si="16"/>
        <v>#NUM!</v>
      </c>
      <c r="AC87" t="str">
        <f t="shared" si="17"/>
        <v>July</v>
      </c>
      <c r="AD87">
        <f t="shared" si="18"/>
        <v>2024</v>
      </c>
      <c r="AE87" t="str">
        <f t="shared" si="19"/>
        <v>INVALID</v>
      </c>
    </row>
    <row r="88" spans="1:31">
      <c r="A88" t="s">
        <v>380</v>
      </c>
      <c r="B88" s="3">
        <v>45474</v>
      </c>
      <c r="C88" s="3">
        <v>45474</v>
      </c>
      <c r="D88" t="s">
        <v>381</v>
      </c>
      <c r="E88" t="s">
        <v>72</v>
      </c>
      <c r="F88" t="s">
        <v>47</v>
      </c>
      <c r="G88" t="s">
        <v>35</v>
      </c>
      <c r="H88" t="s">
        <v>362</v>
      </c>
      <c r="I88" t="s">
        <v>363</v>
      </c>
      <c r="J88" t="s">
        <v>84</v>
      </c>
      <c r="K88" t="s">
        <v>90</v>
      </c>
      <c r="L88" t="s">
        <v>382</v>
      </c>
      <c r="M88" t="s">
        <v>41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112</v>
      </c>
      <c r="U88" t="s">
        <v>78</v>
      </c>
      <c r="V88" t="str">
        <f t="shared" si="10"/>
        <v/>
      </c>
      <c r="W88" t="str">
        <f t="shared" si="11"/>
        <v/>
      </c>
      <c r="X88">
        <f t="shared" si="12"/>
        <v>-0.10880696539805437</v>
      </c>
      <c r="Y88">
        <f t="shared" si="13"/>
        <v>2390.2560000000003</v>
      </c>
      <c r="Z88">
        <f t="shared" si="14"/>
        <v>894.31600000000026</v>
      </c>
      <c r="AA88">
        <f t="shared" si="15"/>
        <v>0.37415071858411825</v>
      </c>
      <c r="AB88">
        <f t="shared" si="16"/>
        <v>0</v>
      </c>
      <c r="AC88" t="str">
        <f t="shared" si="17"/>
        <v>July</v>
      </c>
      <c r="AD88">
        <f t="shared" si="18"/>
        <v>2024</v>
      </c>
      <c r="AE88" t="str">
        <f t="shared" si="19"/>
        <v>WARNING</v>
      </c>
    </row>
    <row r="89" spans="1:31">
      <c r="A89" t="s">
        <v>383</v>
      </c>
      <c r="B89" s="3">
        <v>45506</v>
      </c>
      <c r="C89" s="3">
        <v>45507</v>
      </c>
      <c r="D89" t="s">
        <v>384</v>
      </c>
      <c r="E89" t="s">
        <v>81</v>
      </c>
      <c r="F89" t="s">
        <v>34</v>
      </c>
      <c r="G89" t="s">
        <v>48</v>
      </c>
      <c r="H89" t="s">
        <v>176</v>
      </c>
      <c r="I89" t="s">
        <v>177</v>
      </c>
      <c r="J89" t="s">
        <v>38</v>
      </c>
      <c r="K89" t="s">
        <v>163</v>
      </c>
      <c r="L89" t="s">
        <v>385</v>
      </c>
      <c r="M89" t="s">
        <v>69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42</v>
      </c>
      <c r="U89" t="s">
        <v>43</v>
      </c>
      <c r="V89" t="str">
        <f t="shared" si="10"/>
        <v/>
      </c>
      <c r="W89" t="str">
        <f t="shared" si="11"/>
        <v/>
      </c>
      <c r="X89">
        <f t="shared" si="12"/>
        <v>-1.0661353799231277</v>
      </c>
      <c r="Y89">
        <f t="shared" si="13"/>
        <v>23416.539999999997</v>
      </c>
      <c r="Z89">
        <f t="shared" si="14"/>
        <v>7925.6499999999978</v>
      </c>
      <c r="AA89">
        <f t="shared" si="15"/>
        <v>0.33846375254414185</v>
      </c>
      <c r="AB89">
        <f t="shared" si="16"/>
        <v>1</v>
      </c>
      <c r="AC89" t="str">
        <f t="shared" si="17"/>
        <v>August</v>
      </c>
      <c r="AD89">
        <f t="shared" si="18"/>
        <v>2024</v>
      </c>
      <c r="AE89" t="str">
        <f t="shared" si="19"/>
        <v>CLEAN</v>
      </c>
    </row>
    <row r="90" spans="1:31">
      <c r="A90" t="s">
        <v>386</v>
      </c>
      <c r="B90" s="3">
        <v>45375</v>
      </c>
      <c r="C90" s="3">
        <v>45378</v>
      </c>
      <c r="D90" t="s">
        <v>387</v>
      </c>
      <c r="E90" t="s">
        <v>151</v>
      </c>
      <c r="F90" t="s">
        <v>47</v>
      </c>
      <c r="G90" t="s">
        <v>73</v>
      </c>
      <c r="H90" t="s">
        <v>74</v>
      </c>
      <c r="I90" t="s">
        <v>75</v>
      </c>
      <c r="J90" t="s">
        <v>51</v>
      </c>
      <c r="K90" t="s">
        <v>168</v>
      </c>
      <c r="L90" t="s">
        <v>388</v>
      </c>
      <c r="M90" t="s">
        <v>69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42</v>
      </c>
      <c r="U90" t="s">
        <v>43</v>
      </c>
      <c r="V90" t="str">
        <f t="shared" si="10"/>
        <v/>
      </c>
      <c r="W90" t="str">
        <f t="shared" si="11"/>
        <v/>
      </c>
      <c r="X90">
        <f t="shared" si="12"/>
        <v>-0.58747117266059101</v>
      </c>
      <c r="Y90">
        <f t="shared" si="13"/>
        <v>6241.0249999999996</v>
      </c>
      <c r="Z90">
        <f t="shared" si="14"/>
        <v>895.14499999999953</v>
      </c>
      <c r="AA90">
        <f t="shared" si="15"/>
        <v>0.14342916427990587</v>
      </c>
      <c r="AB90">
        <f t="shared" si="16"/>
        <v>3</v>
      </c>
      <c r="AC90" t="str">
        <f t="shared" si="17"/>
        <v>March</v>
      </c>
      <c r="AD90">
        <f t="shared" si="18"/>
        <v>2024</v>
      </c>
      <c r="AE90" t="str">
        <f t="shared" si="19"/>
        <v>CLEAN</v>
      </c>
    </row>
    <row r="91" spans="1:31">
      <c r="A91" t="s">
        <v>389</v>
      </c>
      <c r="B91" s="3">
        <v>45540</v>
      </c>
      <c r="C91" s="3">
        <v>45540</v>
      </c>
      <c r="D91" t="s">
        <v>390</v>
      </c>
      <c r="E91" t="s">
        <v>276</v>
      </c>
      <c r="F91" t="s">
        <v>34</v>
      </c>
      <c r="G91" t="s">
        <v>64</v>
      </c>
      <c r="H91" t="s">
        <v>94</v>
      </c>
      <c r="I91" t="s">
        <v>95</v>
      </c>
      <c r="J91" t="s">
        <v>51</v>
      </c>
      <c r="K91" t="s">
        <v>168</v>
      </c>
      <c r="L91" t="s">
        <v>391</v>
      </c>
      <c r="M91" t="s">
        <v>69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121</v>
      </c>
      <c r="U91" t="s">
        <v>78</v>
      </c>
      <c r="V91" t="str">
        <f t="shared" si="10"/>
        <v/>
      </c>
      <c r="W91" t="str">
        <f t="shared" si="11"/>
        <v/>
      </c>
      <c r="X91">
        <f t="shared" si="12"/>
        <v>0.84852144912701888</v>
      </c>
      <c r="Y91">
        <f t="shared" si="13"/>
        <v>21062.104000000003</v>
      </c>
      <c r="Z91">
        <f t="shared" si="14"/>
        <v>9004.9740000000038</v>
      </c>
      <c r="AA91">
        <f t="shared" si="15"/>
        <v>0.42754389589947911</v>
      </c>
      <c r="AB91">
        <f t="shared" si="16"/>
        <v>0</v>
      </c>
      <c r="AC91" t="str">
        <f t="shared" si="17"/>
        <v>September</v>
      </c>
      <c r="AD91">
        <f t="shared" si="18"/>
        <v>2024</v>
      </c>
      <c r="AE91" t="str">
        <f t="shared" si="19"/>
        <v>WARNING</v>
      </c>
    </row>
    <row r="92" spans="1:31">
      <c r="A92" t="s">
        <v>392</v>
      </c>
      <c r="B92" s="3">
        <v>45893</v>
      </c>
      <c r="C92" s="3">
        <v>45898</v>
      </c>
      <c r="D92" t="s">
        <v>393</v>
      </c>
      <c r="E92" t="s">
        <v>138</v>
      </c>
      <c r="F92" t="s">
        <v>47</v>
      </c>
      <c r="G92" t="s">
        <v>48</v>
      </c>
      <c r="H92" t="s">
        <v>155</v>
      </c>
      <c r="I92" t="s">
        <v>156</v>
      </c>
      <c r="J92" t="s">
        <v>84</v>
      </c>
      <c r="K92" t="s">
        <v>90</v>
      </c>
      <c r="L92" t="s">
        <v>394</v>
      </c>
      <c r="M92" t="s">
        <v>60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42</v>
      </c>
      <c r="U92" t="s">
        <v>43</v>
      </c>
      <c r="V92" t="str">
        <f t="shared" si="10"/>
        <v/>
      </c>
      <c r="W92" t="str">
        <f t="shared" si="11"/>
        <v/>
      </c>
      <c r="X92">
        <f t="shared" si="12"/>
        <v>0.3698572418644821</v>
      </c>
      <c r="Y92">
        <f t="shared" si="13"/>
        <v>9445.098</v>
      </c>
      <c r="Z92">
        <f t="shared" si="14"/>
        <v>3858.8180000000002</v>
      </c>
      <c r="AA92">
        <f t="shared" si="15"/>
        <v>0.40855245758170006</v>
      </c>
      <c r="AB92">
        <f t="shared" si="16"/>
        <v>5</v>
      </c>
      <c r="AC92" t="str">
        <f t="shared" si="17"/>
        <v>August</v>
      </c>
      <c r="AD92">
        <f t="shared" si="18"/>
        <v>2025</v>
      </c>
      <c r="AE92" t="str">
        <f t="shared" si="19"/>
        <v>CLEAN</v>
      </c>
    </row>
    <row r="93" spans="1:31">
      <c r="A93" t="s">
        <v>395</v>
      </c>
      <c r="B93" s="3">
        <v>45718</v>
      </c>
      <c r="C93" s="3">
        <v>45872</v>
      </c>
      <c r="D93" t="s">
        <v>396</v>
      </c>
      <c r="E93" t="s">
        <v>142</v>
      </c>
      <c r="F93" t="s">
        <v>100</v>
      </c>
      <c r="G93" t="s">
        <v>73</v>
      </c>
      <c r="H93" t="s">
        <v>82</v>
      </c>
      <c r="I93" t="s">
        <v>83</v>
      </c>
      <c r="J93" t="s">
        <v>84</v>
      </c>
      <c r="K93" t="s">
        <v>90</v>
      </c>
      <c r="L93" t="s">
        <v>397</v>
      </c>
      <c r="M93" t="s">
        <v>41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42</v>
      </c>
      <c r="U93" t="s">
        <v>43</v>
      </c>
      <c r="V93" t="str">
        <f t="shared" si="10"/>
        <v/>
      </c>
      <c r="W93" t="str">
        <f t="shared" si="11"/>
        <v/>
      </c>
      <c r="X93">
        <f t="shared" si="12"/>
        <v>-1.0661353799231277</v>
      </c>
      <c r="Y93">
        <f t="shared" si="13"/>
        <v>2427.12</v>
      </c>
      <c r="Z93">
        <f t="shared" si="14"/>
        <v>888.77</v>
      </c>
      <c r="AA93">
        <f t="shared" si="15"/>
        <v>0.36618296581957216</v>
      </c>
      <c r="AB93">
        <f t="shared" si="16"/>
        <v>154</v>
      </c>
      <c r="AC93" t="str">
        <f t="shared" si="17"/>
        <v>March</v>
      </c>
      <c r="AD93">
        <f t="shared" si="18"/>
        <v>2025</v>
      </c>
      <c r="AE93" t="str">
        <f t="shared" si="19"/>
        <v>CLEAN</v>
      </c>
    </row>
    <row r="94" spans="1:31">
      <c r="A94" t="s">
        <v>398</v>
      </c>
      <c r="B94" s="3">
        <v>45680</v>
      </c>
      <c r="C94" s="3">
        <v>45683</v>
      </c>
      <c r="D94" t="s">
        <v>399</v>
      </c>
      <c r="E94" t="s">
        <v>138</v>
      </c>
      <c r="F94" t="s">
        <v>34</v>
      </c>
      <c r="G94" t="s">
        <v>73</v>
      </c>
      <c r="H94" t="s">
        <v>82</v>
      </c>
      <c r="I94" t="s">
        <v>83</v>
      </c>
      <c r="J94" t="s">
        <v>38</v>
      </c>
      <c r="K94" t="s">
        <v>39</v>
      </c>
      <c r="L94" t="s">
        <v>400</v>
      </c>
      <c r="M94" t="s">
        <v>69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42</v>
      </c>
      <c r="U94" t="s">
        <v>43</v>
      </c>
      <c r="V94" t="str">
        <f t="shared" si="10"/>
        <v/>
      </c>
      <c r="W94" t="str">
        <f t="shared" si="11"/>
        <v/>
      </c>
      <c r="X94">
        <f t="shared" si="12"/>
        <v>-0.10880696539805437</v>
      </c>
      <c r="Y94">
        <f t="shared" si="13"/>
        <v>36111.906000000003</v>
      </c>
      <c r="Z94">
        <f t="shared" si="14"/>
        <v>6917.4060000000027</v>
      </c>
      <c r="AA94">
        <f t="shared" si="15"/>
        <v>0.19155471882320479</v>
      </c>
      <c r="AB94">
        <f t="shared" si="16"/>
        <v>3</v>
      </c>
      <c r="AC94" t="str">
        <f t="shared" si="17"/>
        <v>January</v>
      </c>
      <c r="AD94">
        <f t="shared" si="18"/>
        <v>2025</v>
      </c>
      <c r="AE94" t="str">
        <f t="shared" si="19"/>
        <v>CLEAN</v>
      </c>
    </row>
    <row r="95" spans="1:31">
      <c r="A95" t="s">
        <v>401</v>
      </c>
      <c r="B95" s="3">
        <v>45474</v>
      </c>
      <c r="C95" s="3">
        <v>45304</v>
      </c>
      <c r="D95" t="s">
        <v>402</v>
      </c>
      <c r="E95" t="s">
        <v>151</v>
      </c>
      <c r="F95" t="s">
        <v>100</v>
      </c>
      <c r="G95" t="s">
        <v>35</v>
      </c>
      <c r="H95" t="s">
        <v>146</v>
      </c>
      <c r="I95" t="s">
        <v>147</v>
      </c>
      <c r="J95" t="s">
        <v>38</v>
      </c>
      <c r="K95" t="s">
        <v>163</v>
      </c>
      <c r="L95" t="s">
        <v>403</v>
      </c>
      <c r="M95" t="s">
        <v>69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42</v>
      </c>
      <c r="U95" t="s">
        <v>43</v>
      </c>
      <c r="V95" t="str">
        <f t="shared" si="10"/>
        <v>Invalid Discount</v>
      </c>
      <c r="W95" t="str">
        <f t="shared" si="11"/>
        <v>Invalid Shipping Record</v>
      </c>
      <c r="X95">
        <f t="shared" si="12"/>
        <v>-1.9277309529956934</v>
      </c>
      <c r="Y95">
        <f t="shared" si="13"/>
        <v>21279.841099999998</v>
      </c>
      <c r="Z95">
        <f t="shared" si="14"/>
        <v>8824.0610999999972</v>
      </c>
      <c r="AA95">
        <f t="shared" si="15"/>
        <v>0.41466762174272054</v>
      </c>
      <c r="AB95" t="e">
        <f t="shared" si="16"/>
        <v>#NUM!</v>
      </c>
      <c r="AC95" t="str">
        <f t="shared" si="17"/>
        <v>July</v>
      </c>
      <c r="AD95">
        <f t="shared" si="18"/>
        <v>2024</v>
      </c>
      <c r="AE95" t="str">
        <f t="shared" si="19"/>
        <v>INVALID</v>
      </c>
    </row>
    <row r="96" spans="1:31">
      <c r="A96" t="s">
        <v>404</v>
      </c>
      <c r="B96" s="3">
        <v>45452</v>
      </c>
      <c r="C96" s="3">
        <v>45544</v>
      </c>
      <c r="D96" t="s">
        <v>405</v>
      </c>
      <c r="E96" t="s">
        <v>172</v>
      </c>
      <c r="F96" t="s">
        <v>34</v>
      </c>
      <c r="G96" t="s">
        <v>35</v>
      </c>
      <c r="H96" t="s">
        <v>248</v>
      </c>
      <c r="I96" t="s">
        <v>249</v>
      </c>
      <c r="J96" t="s">
        <v>84</v>
      </c>
      <c r="K96" t="s">
        <v>181</v>
      </c>
      <c r="L96" t="s">
        <v>406</v>
      </c>
      <c r="M96" t="s">
        <v>41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121</v>
      </c>
      <c r="U96" t="s">
        <v>78</v>
      </c>
      <c r="V96" t="str">
        <f t="shared" si="10"/>
        <v/>
      </c>
      <c r="W96" t="str">
        <f t="shared" si="11"/>
        <v/>
      </c>
      <c r="X96">
        <f t="shared" si="12"/>
        <v>-1.0661353799231277</v>
      </c>
      <c r="Y96">
        <f t="shared" si="13"/>
        <v>26470.710000000003</v>
      </c>
      <c r="Z96">
        <f t="shared" si="14"/>
        <v>5103.1100000000042</v>
      </c>
      <c r="AA96">
        <f t="shared" si="15"/>
        <v>0.19278326875251944</v>
      </c>
      <c r="AB96">
        <f t="shared" si="16"/>
        <v>92</v>
      </c>
      <c r="AC96" t="str">
        <f t="shared" si="17"/>
        <v>June</v>
      </c>
      <c r="AD96">
        <f t="shared" si="18"/>
        <v>2024</v>
      </c>
      <c r="AE96" t="str">
        <f t="shared" si="19"/>
        <v>WARNING</v>
      </c>
    </row>
    <row r="97" spans="1:31">
      <c r="A97" t="s">
        <v>407</v>
      </c>
      <c r="B97" s="3">
        <v>45905</v>
      </c>
      <c r="C97" s="3">
        <v>45939</v>
      </c>
      <c r="D97" t="s">
        <v>408</v>
      </c>
      <c r="E97" t="s">
        <v>142</v>
      </c>
      <c r="F97" t="s">
        <v>100</v>
      </c>
      <c r="G97" t="s">
        <v>73</v>
      </c>
      <c r="H97" t="s">
        <v>200</v>
      </c>
      <c r="I97" t="s">
        <v>201</v>
      </c>
      <c r="J97" t="s">
        <v>51</v>
      </c>
      <c r="K97" t="s">
        <v>168</v>
      </c>
      <c r="L97" t="s">
        <v>409</v>
      </c>
      <c r="M97" t="s">
        <v>54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42</v>
      </c>
      <c r="U97" t="s">
        <v>43</v>
      </c>
      <c r="V97" t="str">
        <f t="shared" si="10"/>
        <v/>
      </c>
      <c r="W97" t="str">
        <f t="shared" si="11"/>
        <v/>
      </c>
      <c r="X97">
        <f t="shared" si="12"/>
        <v>-1.0661353799231277</v>
      </c>
      <c r="Y97">
        <f t="shared" si="13"/>
        <v>10524.78</v>
      </c>
      <c r="Z97">
        <f t="shared" si="14"/>
        <v>1683.7300000000014</v>
      </c>
      <c r="AA97">
        <f t="shared" si="15"/>
        <v>0.15997769074507984</v>
      </c>
      <c r="AB97">
        <f t="shared" si="16"/>
        <v>34</v>
      </c>
      <c r="AC97" t="str">
        <f t="shared" si="17"/>
        <v>September</v>
      </c>
      <c r="AD97">
        <f t="shared" si="18"/>
        <v>2025</v>
      </c>
      <c r="AE97" t="str">
        <f t="shared" si="19"/>
        <v>CLEAN</v>
      </c>
    </row>
    <row r="98" spans="1:31">
      <c r="A98" t="s">
        <v>410</v>
      </c>
      <c r="B98" s="3">
        <v>45448</v>
      </c>
      <c r="C98" s="3">
        <v>45450</v>
      </c>
      <c r="D98" t="s">
        <v>411</v>
      </c>
      <c r="E98" t="s">
        <v>128</v>
      </c>
      <c r="F98" t="s">
        <v>105</v>
      </c>
      <c r="G98" t="s">
        <v>48</v>
      </c>
      <c r="H98" t="s">
        <v>49</v>
      </c>
      <c r="I98" t="s">
        <v>50</v>
      </c>
      <c r="J98" t="s">
        <v>84</v>
      </c>
      <c r="K98" t="s">
        <v>90</v>
      </c>
      <c r="L98" t="s">
        <v>412</v>
      </c>
      <c r="M98" t="s">
        <v>41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42</v>
      </c>
      <c r="U98" t="s">
        <v>43</v>
      </c>
      <c r="V98" t="str">
        <f t="shared" si="10"/>
        <v/>
      </c>
      <c r="W98" t="str">
        <f t="shared" si="11"/>
        <v/>
      </c>
      <c r="X98">
        <f t="shared" si="12"/>
        <v>0.3698572418644821</v>
      </c>
      <c r="Y98">
        <f t="shared" si="13"/>
        <v>3840.7079999999996</v>
      </c>
      <c r="Z98">
        <f t="shared" si="14"/>
        <v>1324.4179999999997</v>
      </c>
      <c r="AA98">
        <f t="shared" si="15"/>
        <v>0.34483694152224009</v>
      </c>
      <c r="AB98">
        <f t="shared" si="16"/>
        <v>2</v>
      </c>
      <c r="AC98" t="str">
        <f t="shared" si="17"/>
        <v>June</v>
      </c>
      <c r="AD98">
        <f t="shared" si="18"/>
        <v>2024</v>
      </c>
      <c r="AE98" t="str">
        <f t="shared" si="19"/>
        <v>CLEAN</v>
      </c>
    </row>
    <row r="99" spans="1:31">
      <c r="A99" t="s">
        <v>413</v>
      </c>
      <c r="B99" s="3">
        <v>45877</v>
      </c>
      <c r="C99" s="3">
        <v>45880</v>
      </c>
      <c r="D99" t="s">
        <v>414</v>
      </c>
      <c r="E99" t="s">
        <v>172</v>
      </c>
      <c r="F99" t="s">
        <v>47</v>
      </c>
      <c r="G99" t="s">
        <v>73</v>
      </c>
      <c r="H99" t="s">
        <v>190</v>
      </c>
      <c r="I99" t="s">
        <v>191</v>
      </c>
      <c r="J99" t="s">
        <v>38</v>
      </c>
      <c r="K99" t="s">
        <v>134</v>
      </c>
      <c r="L99" t="s">
        <v>415</v>
      </c>
      <c r="M99" t="s">
        <v>54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121</v>
      </c>
      <c r="U99" t="s">
        <v>113</v>
      </c>
      <c r="V99" t="str">
        <f t="shared" si="10"/>
        <v/>
      </c>
      <c r="W99" t="str">
        <f t="shared" si="11"/>
        <v/>
      </c>
      <c r="X99">
        <f t="shared" si="12"/>
        <v>0.84852144912701888</v>
      </c>
      <c r="Y99">
        <f t="shared" si="13"/>
        <v>14409.44</v>
      </c>
      <c r="Z99">
        <f t="shared" si="14"/>
        <v>5599.4700000000012</v>
      </c>
      <c r="AA99">
        <f t="shared" si="15"/>
        <v>0.38859733619071951</v>
      </c>
      <c r="AB99">
        <f t="shared" si="16"/>
        <v>3</v>
      </c>
      <c r="AC99" t="str">
        <f t="shared" si="17"/>
        <v>August</v>
      </c>
      <c r="AD99">
        <f t="shared" si="18"/>
        <v>2025</v>
      </c>
      <c r="AE99" t="str">
        <f t="shared" si="19"/>
        <v>CLEAN</v>
      </c>
    </row>
    <row r="100" spans="1:31">
      <c r="A100" t="s">
        <v>416</v>
      </c>
      <c r="B100" s="3">
        <v>45317</v>
      </c>
      <c r="C100" s="3">
        <v>45293</v>
      </c>
      <c r="D100" t="s">
        <v>417</v>
      </c>
      <c r="E100" t="s">
        <v>151</v>
      </c>
      <c r="F100" t="s">
        <v>105</v>
      </c>
      <c r="G100" t="s">
        <v>64</v>
      </c>
      <c r="H100" t="s">
        <v>195</v>
      </c>
      <c r="I100" t="s">
        <v>196</v>
      </c>
      <c r="J100" t="s">
        <v>84</v>
      </c>
      <c r="K100" t="s">
        <v>90</v>
      </c>
      <c r="L100" t="s">
        <v>418</v>
      </c>
      <c r="M100" t="s">
        <v>215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42</v>
      </c>
      <c r="U100" t="s">
        <v>43</v>
      </c>
      <c r="V100" t="str">
        <f t="shared" si="10"/>
        <v/>
      </c>
      <c r="W100" t="str">
        <f t="shared" si="11"/>
        <v>Invalid Shipping Record</v>
      </c>
      <c r="X100">
        <f t="shared" si="12"/>
        <v>-0.10880696539805437</v>
      </c>
      <c r="Y100">
        <f t="shared" si="13"/>
        <v>15184.295999999998</v>
      </c>
      <c r="Z100">
        <f t="shared" si="14"/>
        <v>3913.5559999999987</v>
      </c>
      <c r="AA100">
        <f t="shared" si="15"/>
        <v>0.25773707256497103</v>
      </c>
      <c r="AB100" t="e">
        <f t="shared" si="16"/>
        <v>#NUM!</v>
      </c>
      <c r="AC100" t="str">
        <f t="shared" si="17"/>
        <v>January</v>
      </c>
      <c r="AD100">
        <f t="shared" si="18"/>
        <v>2024</v>
      </c>
      <c r="AE100" t="str">
        <f t="shared" si="19"/>
        <v>INVALID</v>
      </c>
    </row>
    <row r="101" spans="1:31">
      <c r="A101" t="s">
        <v>419</v>
      </c>
      <c r="B101" s="3">
        <v>45668</v>
      </c>
      <c r="C101" s="3">
        <v>45668</v>
      </c>
      <c r="D101" t="s">
        <v>420</v>
      </c>
      <c r="E101" t="s">
        <v>99</v>
      </c>
      <c r="F101" t="s">
        <v>47</v>
      </c>
      <c r="G101" t="s">
        <v>73</v>
      </c>
      <c r="H101" t="s">
        <v>36</v>
      </c>
      <c r="I101" t="s">
        <v>119</v>
      </c>
      <c r="J101" t="s">
        <v>84</v>
      </c>
      <c r="K101" t="s">
        <v>85</v>
      </c>
      <c r="L101" t="s">
        <v>421</v>
      </c>
      <c r="M101" t="s">
        <v>54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42</v>
      </c>
      <c r="U101" t="s">
        <v>43</v>
      </c>
      <c r="V101" t="str">
        <f t="shared" si="10"/>
        <v/>
      </c>
      <c r="W101" t="str">
        <f t="shared" si="11"/>
        <v/>
      </c>
      <c r="X101">
        <f t="shared" si="12"/>
        <v>-1.0661353799231277</v>
      </c>
      <c r="Y101">
        <f t="shared" si="13"/>
        <v>6495.87</v>
      </c>
      <c r="Z101">
        <f t="shared" si="14"/>
        <v>1794.9799999999996</v>
      </c>
      <c r="AA101">
        <f t="shared" si="15"/>
        <v>0.27632634273777024</v>
      </c>
      <c r="AB101">
        <f t="shared" si="16"/>
        <v>0</v>
      </c>
      <c r="AC101" t="str">
        <f t="shared" si="17"/>
        <v>January</v>
      </c>
      <c r="AD101">
        <f t="shared" si="18"/>
        <v>2025</v>
      </c>
      <c r="AE101" t="str">
        <f t="shared" si="19"/>
        <v>CLEAN</v>
      </c>
    </row>
    <row r="102" spans="1:31">
      <c r="A102" t="s">
        <v>422</v>
      </c>
      <c r="B102" s="3">
        <v>45912</v>
      </c>
      <c r="C102" s="3">
        <v>45918</v>
      </c>
      <c r="D102" t="s">
        <v>423</v>
      </c>
      <c r="E102" t="s">
        <v>138</v>
      </c>
      <c r="F102" t="s">
        <v>105</v>
      </c>
      <c r="G102" t="s">
        <v>64</v>
      </c>
      <c r="H102" t="s">
        <v>195</v>
      </c>
      <c r="I102" t="s">
        <v>196</v>
      </c>
      <c r="J102" t="s">
        <v>38</v>
      </c>
      <c r="K102" t="s">
        <v>134</v>
      </c>
      <c r="L102" t="s">
        <v>424</v>
      </c>
      <c r="M102" t="s">
        <v>69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42</v>
      </c>
      <c r="U102" t="s">
        <v>43</v>
      </c>
      <c r="V102" t="str">
        <f t="shared" si="10"/>
        <v/>
      </c>
      <c r="W102" t="str">
        <f t="shared" si="11"/>
        <v/>
      </c>
      <c r="X102">
        <f t="shared" si="12"/>
        <v>-0.58747117266059101</v>
      </c>
      <c r="Y102">
        <f t="shared" si="13"/>
        <v>9540.659999999998</v>
      </c>
      <c r="Z102">
        <f t="shared" si="14"/>
        <v>3979.1699999999983</v>
      </c>
      <c r="AA102">
        <f t="shared" si="15"/>
        <v>0.41707491934520241</v>
      </c>
      <c r="AB102">
        <f t="shared" si="16"/>
        <v>6</v>
      </c>
      <c r="AC102" t="str">
        <f t="shared" si="17"/>
        <v>September</v>
      </c>
      <c r="AD102">
        <f t="shared" si="18"/>
        <v>2025</v>
      </c>
      <c r="AE102" t="str">
        <f t="shared" si="19"/>
        <v>CLEAN</v>
      </c>
    </row>
    <row r="103" spans="1:31">
      <c r="A103" t="s">
        <v>425</v>
      </c>
      <c r="B103" s="3">
        <v>45465</v>
      </c>
      <c r="C103" s="3">
        <v>45469</v>
      </c>
      <c r="D103" t="s">
        <v>426</v>
      </c>
      <c r="E103" t="s">
        <v>151</v>
      </c>
      <c r="F103" t="s">
        <v>105</v>
      </c>
      <c r="G103" t="s">
        <v>48</v>
      </c>
      <c r="H103" t="s">
        <v>155</v>
      </c>
      <c r="I103" t="s">
        <v>156</v>
      </c>
      <c r="J103" t="s">
        <v>51</v>
      </c>
      <c r="K103" t="s">
        <v>67</v>
      </c>
      <c r="L103" t="s">
        <v>427</v>
      </c>
      <c r="M103" t="s">
        <v>60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42</v>
      </c>
      <c r="U103" t="s">
        <v>43</v>
      </c>
      <c r="V103" t="str">
        <f t="shared" si="10"/>
        <v/>
      </c>
      <c r="W103" t="str">
        <f t="shared" si="11"/>
        <v/>
      </c>
      <c r="X103">
        <f t="shared" si="12"/>
        <v>1.3271856563895552</v>
      </c>
      <c r="Y103">
        <f t="shared" si="13"/>
        <v>16486.95</v>
      </c>
      <c r="Z103">
        <f t="shared" si="14"/>
        <v>4432.8100000000013</v>
      </c>
      <c r="AA103">
        <f t="shared" si="15"/>
        <v>0.26886780150361356</v>
      </c>
      <c r="AB103">
        <f t="shared" si="16"/>
        <v>4</v>
      </c>
      <c r="AC103" t="str">
        <f t="shared" si="17"/>
        <v>June</v>
      </c>
      <c r="AD103">
        <f t="shared" si="18"/>
        <v>2024</v>
      </c>
      <c r="AE103" t="str">
        <f t="shared" si="19"/>
        <v>CLEAN</v>
      </c>
    </row>
    <row r="104" spans="1:31">
      <c r="A104" t="s">
        <v>428</v>
      </c>
      <c r="B104" s="3">
        <v>45850</v>
      </c>
      <c r="C104" s="3">
        <v>45854</v>
      </c>
      <c r="D104" t="s">
        <v>429</v>
      </c>
      <c r="E104" t="s">
        <v>81</v>
      </c>
      <c r="F104" t="s">
        <v>34</v>
      </c>
      <c r="G104" t="s">
        <v>64</v>
      </c>
      <c r="H104" t="s">
        <v>185</v>
      </c>
      <c r="I104" t="s">
        <v>186</v>
      </c>
      <c r="J104" t="s">
        <v>51</v>
      </c>
      <c r="K104" t="s">
        <v>76</v>
      </c>
      <c r="L104" t="s">
        <v>430</v>
      </c>
      <c r="M104" t="s">
        <v>60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112</v>
      </c>
      <c r="U104" t="s">
        <v>78</v>
      </c>
      <c r="V104" t="str">
        <f t="shared" si="10"/>
        <v/>
      </c>
      <c r="W104" t="str">
        <f t="shared" si="11"/>
        <v/>
      </c>
      <c r="X104">
        <f t="shared" si="12"/>
        <v>-1.0661353799231277</v>
      </c>
      <c r="Y104">
        <f t="shared" si="13"/>
        <v>11462.84</v>
      </c>
      <c r="Z104">
        <f t="shared" si="14"/>
        <v>2483.0599999999995</v>
      </c>
      <c r="AA104">
        <f t="shared" si="15"/>
        <v>0.21661822026653077</v>
      </c>
      <c r="AB104">
        <f t="shared" si="16"/>
        <v>4</v>
      </c>
      <c r="AC104" t="str">
        <f t="shared" si="17"/>
        <v>July</v>
      </c>
      <c r="AD104">
        <f t="shared" si="18"/>
        <v>2025</v>
      </c>
      <c r="AE104" t="str">
        <f t="shared" si="19"/>
        <v>WARNING</v>
      </c>
    </row>
    <row r="105" spans="1:31">
      <c r="A105" t="s">
        <v>431</v>
      </c>
      <c r="B105" s="3">
        <v>45693</v>
      </c>
      <c r="C105" s="3">
        <v>45935</v>
      </c>
      <c r="D105" t="s">
        <v>432</v>
      </c>
      <c r="E105" t="s">
        <v>276</v>
      </c>
      <c r="F105" t="s">
        <v>100</v>
      </c>
      <c r="G105" t="s">
        <v>73</v>
      </c>
      <c r="H105" t="s">
        <v>74</v>
      </c>
      <c r="I105" t="s">
        <v>75</v>
      </c>
      <c r="J105" t="s">
        <v>51</v>
      </c>
      <c r="K105" t="s">
        <v>52</v>
      </c>
      <c r="L105" t="s">
        <v>433</v>
      </c>
      <c r="M105" t="s">
        <v>60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42</v>
      </c>
      <c r="U105" t="s">
        <v>43</v>
      </c>
      <c r="V105" t="str">
        <f t="shared" si="10"/>
        <v/>
      </c>
      <c r="W105" t="str">
        <f t="shared" si="11"/>
        <v/>
      </c>
      <c r="X105">
        <f t="shared" si="12"/>
        <v>0.84852144912701888</v>
      </c>
      <c r="Y105">
        <f t="shared" si="13"/>
        <v>7809.0880000000006</v>
      </c>
      <c r="Z105">
        <f t="shared" si="14"/>
        <v>1151.3380000000006</v>
      </c>
      <c r="AA105">
        <f t="shared" si="15"/>
        <v>0.14743565445798543</v>
      </c>
      <c r="AB105">
        <f t="shared" si="16"/>
        <v>242</v>
      </c>
      <c r="AC105" t="str">
        <f t="shared" si="17"/>
        <v>February</v>
      </c>
      <c r="AD105">
        <f t="shared" si="18"/>
        <v>2025</v>
      </c>
      <c r="AE105" t="str">
        <f t="shared" si="19"/>
        <v>CLEAN</v>
      </c>
    </row>
    <row r="106" spans="1:31">
      <c r="A106" t="s">
        <v>434</v>
      </c>
      <c r="B106" s="3">
        <v>45689</v>
      </c>
      <c r="C106" s="3">
        <v>45871</v>
      </c>
      <c r="D106" t="s">
        <v>435</v>
      </c>
      <c r="E106" t="s">
        <v>72</v>
      </c>
      <c r="F106" t="s">
        <v>34</v>
      </c>
      <c r="G106" t="s">
        <v>64</v>
      </c>
      <c r="H106" t="s">
        <v>185</v>
      </c>
      <c r="I106" t="s">
        <v>186</v>
      </c>
      <c r="J106" t="s">
        <v>38</v>
      </c>
      <c r="K106" t="s">
        <v>101</v>
      </c>
      <c r="L106" t="s">
        <v>436</v>
      </c>
      <c r="M106" t="s">
        <v>54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42</v>
      </c>
      <c r="U106" t="s">
        <v>78</v>
      </c>
      <c r="V106" t="str">
        <f t="shared" si="10"/>
        <v/>
      </c>
      <c r="W106" t="str">
        <f t="shared" si="11"/>
        <v/>
      </c>
      <c r="X106">
        <f t="shared" si="12"/>
        <v>1.3271856563895552</v>
      </c>
      <c r="Y106">
        <f t="shared" si="13"/>
        <v>7922.0250000000005</v>
      </c>
      <c r="Z106">
        <f t="shared" si="14"/>
        <v>2302.0750000000007</v>
      </c>
      <c r="AA106">
        <f t="shared" si="15"/>
        <v>0.29059173633004193</v>
      </c>
      <c r="AB106">
        <f t="shared" si="16"/>
        <v>182</v>
      </c>
      <c r="AC106" t="str">
        <f t="shared" si="17"/>
        <v>February</v>
      </c>
      <c r="AD106">
        <f t="shared" si="18"/>
        <v>2025</v>
      </c>
      <c r="AE106" t="str">
        <f t="shared" si="19"/>
        <v>WARNING</v>
      </c>
    </row>
    <row r="107" spans="1:31">
      <c r="A107" t="s">
        <v>437</v>
      </c>
      <c r="B107" s="3">
        <v>45467</v>
      </c>
      <c r="C107" s="3">
        <v>45472</v>
      </c>
      <c r="D107" t="s">
        <v>438</v>
      </c>
      <c r="E107" t="s">
        <v>46</v>
      </c>
      <c r="F107" t="s">
        <v>105</v>
      </c>
      <c r="G107" t="s">
        <v>48</v>
      </c>
      <c r="H107" t="s">
        <v>109</v>
      </c>
      <c r="I107" t="s">
        <v>110</v>
      </c>
      <c r="J107" t="s">
        <v>51</v>
      </c>
      <c r="K107" t="s">
        <v>52</v>
      </c>
      <c r="L107" t="s">
        <v>439</v>
      </c>
      <c r="M107" t="s">
        <v>41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42</v>
      </c>
      <c r="U107" t="s">
        <v>43</v>
      </c>
      <c r="V107" t="str">
        <f t="shared" si="10"/>
        <v/>
      </c>
      <c r="W107" t="str">
        <f t="shared" si="11"/>
        <v/>
      </c>
      <c r="X107">
        <f t="shared" si="12"/>
        <v>-0.10880696539805437</v>
      </c>
      <c r="Y107">
        <f t="shared" si="13"/>
        <v>1233</v>
      </c>
      <c r="Z107">
        <f t="shared" si="14"/>
        <v>226.10000000000002</v>
      </c>
      <c r="AA107">
        <f t="shared" si="15"/>
        <v>0.18337388483373887</v>
      </c>
      <c r="AB107">
        <f t="shared" si="16"/>
        <v>5</v>
      </c>
      <c r="AC107" t="str">
        <f t="shared" si="17"/>
        <v>June</v>
      </c>
      <c r="AD107">
        <f t="shared" si="18"/>
        <v>2024</v>
      </c>
      <c r="AE107" t="str">
        <f t="shared" si="19"/>
        <v>CLEAN</v>
      </c>
    </row>
    <row r="108" spans="1:31">
      <c r="A108" t="s">
        <v>440</v>
      </c>
      <c r="B108" s="3">
        <v>45342</v>
      </c>
      <c r="C108" s="3">
        <v>45350</v>
      </c>
      <c r="D108" t="s">
        <v>441</v>
      </c>
      <c r="E108" t="s">
        <v>63</v>
      </c>
      <c r="F108" t="s">
        <v>105</v>
      </c>
      <c r="G108" t="s">
        <v>48</v>
      </c>
      <c r="H108" t="s">
        <v>109</v>
      </c>
      <c r="I108" t="s">
        <v>110</v>
      </c>
      <c r="J108" t="s">
        <v>38</v>
      </c>
      <c r="K108" t="s">
        <v>39</v>
      </c>
      <c r="L108" t="s">
        <v>442</v>
      </c>
      <c r="M108" t="s">
        <v>69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42</v>
      </c>
      <c r="U108" t="s">
        <v>78</v>
      </c>
      <c r="V108" t="str">
        <f t="shared" si="10"/>
        <v/>
      </c>
      <c r="W108" t="str">
        <f t="shared" si="11"/>
        <v/>
      </c>
      <c r="X108">
        <f t="shared" si="12"/>
        <v>-1.0661353799231277</v>
      </c>
      <c r="Y108">
        <f t="shared" si="13"/>
        <v>8008.08</v>
      </c>
      <c r="Z108">
        <f t="shared" si="14"/>
        <v>2298.6899999999996</v>
      </c>
      <c r="AA108">
        <f t="shared" si="15"/>
        <v>0.28704633320346445</v>
      </c>
      <c r="AB108">
        <f t="shared" si="16"/>
        <v>8</v>
      </c>
      <c r="AC108" t="str">
        <f t="shared" si="17"/>
        <v>February</v>
      </c>
      <c r="AD108">
        <f t="shared" si="18"/>
        <v>2024</v>
      </c>
      <c r="AE108" t="str">
        <f t="shared" si="19"/>
        <v>WARNING</v>
      </c>
    </row>
    <row r="109" spans="1:31">
      <c r="A109" t="s">
        <v>443</v>
      </c>
      <c r="B109" s="3">
        <v>45594</v>
      </c>
      <c r="C109" s="3">
        <v>45600</v>
      </c>
      <c r="D109" t="s">
        <v>444</v>
      </c>
      <c r="E109" t="s">
        <v>151</v>
      </c>
      <c r="F109" t="s">
        <v>105</v>
      </c>
      <c r="G109" t="s">
        <v>48</v>
      </c>
      <c r="H109" t="s">
        <v>109</v>
      </c>
      <c r="I109" t="s">
        <v>110</v>
      </c>
      <c r="J109" t="s">
        <v>51</v>
      </c>
      <c r="K109" t="s">
        <v>67</v>
      </c>
      <c r="L109" t="s">
        <v>445</v>
      </c>
      <c r="M109" t="s">
        <v>60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42</v>
      </c>
      <c r="U109" t="s">
        <v>43</v>
      </c>
      <c r="V109" t="str">
        <f t="shared" si="10"/>
        <v/>
      </c>
      <c r="W109" t="str">
        <f t="shared" si="11"/>
        <v/>
      </c>
      <c r="X109">
        <f t="shared" si="12"/>
        <v>-0.58747117266059101</v>
      </c>
      <c r="Y109">
        <f t="shared" si="13"/>
        <v>12263.236500000001</v>
      </c>
      <c r="Z109">
        <f t="shared" si="14"/>
        <v>3337.6665000000012</v>
      </c>
      <c r="AA109">
        <f t="shared" si="15"/>
        <v>0.27216848504878799</v>
      </c>
      <c r="AB109">
        <f t="shared" si="16"/>
        <v>6</v>
      </c>
      <c r="AC109" t="str">
        <f t="shared" si="17"/>
        <v>October</v>
      </c>
      <c r="AD109">
        <f t="shared" si="18"/>
        <v>2024</v>
      </c>
      <c r="AE109" t="str">
        <f t="shared" si="19"/>
        <v>CLEAN</v>
      </c>
    </row>
    <row r="110" spans="1:31">
      <c r="A110" t="s">
        <v>446</v>
      </c>
      <c r="B110" s="3">
        <v>45519</v>
      </c>
      <c r="C110" s="3">
        <v>45527</v>
      </c>
      <c r="D110" t="s">
        <v>447</v>
      </c>
      <c r="E110" t="s">
        <v>99</v>
      </c>
      <c r="F110" t="s">
        <v>47</v>
      </c>
      <c r="G110" t="s">
        <v>48</v>
      </c>
      <c r="H110" t="s">
        <v>49</v>
      </c>
      <c r="I110" t="s">
        <v>50</v>
      </c>
      <c r="J110" t="s">
        <v>51</v>
      </c>
      <c r="K110" t="s">
        <v>168</v>
      </c>
      <c r="L110" t="s">
        <v>448</v>
      </c>
      <c r="M110" t="s">
        <v>54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42</v>
      </c>
      <c r="U110" t="s">
        <v>43</v>
      </c>
      <c r="V110" t="str">
        <f t="shared" si="10"/>
        <v/>
      </c>
      <c r="W110" t="str">
        <f t="shared" si="11"/>
        <v/>
      </c>
      <c r="X110">
        <f t="shared" si="12"/>
        <v>1.3271856563895552</v>
      </c>
      <c r="Y110">
        <f t="shared" si="13"/>
        <v>806.31</v>
      </c>
      <c r="Z110">
        <f t="shared" si="14"/>
        <v>307.80999999999995</v>
      </c>
      <c r="AA110">
        <f t="shared" si="15"/>
        <v>0.38175143555208291</v>
      </c>
      <c r="AB110">
        <f t="shared" si="16"/>
        <v>8</v>
      </c>
      <c r="AC110" t="str">
        <f t="shared" si="17"/>
        <v>August</v>
      </c>
      <c r="AD110">
        <f t="shared" si="18"/>
        <v>2024</v>
      </c>
      <c r="AE110" t="str">
        <f t="shared" si="19"/>
        <v>CLEAN</v>
      </c>
    </row>
    <row r="111" spans="1:31">
      <c r="A111" t="s">
        <v>449</v>
      </c>
      <c r="B111" s="3">
        <v>45892</v>
      </c>
      <c r="C111" s="3">
        <v>45896</v>
      </c>
      <c r="D111" t="s">
        <v>450</v>
      </c>
      <c r="E111" t="s">
        <v>142</v>
      </c>
      <c r="F111" t="s">
        <v>34</v>
      </c>
      <c r="G111" t="s">
        <v>35</v>
      </c>
      <c r="H111" t="s">
        <v>362</v>
      </c>
      <c r="I111" t="s">
        <v>363</v>
      </c>
      <c r="J111" t="s">
        <v>38</v>
      </c>
      <c r="K111" t="s">
        <v>163</v>
      </c>
      <c r="L111" t="s">
        <v>451</v>
      </c>
      <c r="M111" t="s">
        <v>41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42</v>
      </c>
      <c r="U111" t="s">
        <v>43</v>
      </c>
      <c r="V111" t="str">
        <f t="shared" si="10"/>
        <v/>
      </c>
      <c r="W111" t="str">
        <f t="shared" si="11"/>
        <v/>
      </c>
      <c r="X111">
        <f t="shared" si="12"/>
        <v>1.3271856563895552</v>
      </c>
      <c r="Y111">
        <f t="shared" si="13"/>
        <v>2091.4650000000001</v>
      </c>
      <c r="Z111">
        <f t="shared" si="14"/>
        <v>774.24500000000012</v>
      </c>
      <c r="AA111">
        <f t="shared" si="15"/>
        <v>0.37019266399389905</v>
      </c>
      <c r="AB111">
        <f t="shared" si="16"/>
        <v>4</v>
      </c>
      <c r="AC111" t="str">
        <f t="shared" si="17"/>
        <v>August</v>
      </c>
      <c r="AD111">
        <f t="shared" si="18"/>
        <v>2025</v>
      </c>
      <c r="AE111" t="str">
        <f t="shared" si="19"/>
        <v>CLEAN</v>
      </c>
    </row>
    <row r="112" spans="1:31">
      <c r="A112" t="s">
        <v>452</v>
      </c>
      <c r="B112" s="3">
        <v>45583</v>
      </c>
      <c r="C112" s="3">
        <v>45589</v>
      </c>
      <c r="D112" t="s">
        <v>453</v>
      </c>
      <c r="E112" t="s">
        <v>81</v>
      </c>
      <c r="F112" t="s">
        <v>100</v>
      </c>
      <c r="G112" t="s">
        <v>64</v>
      </c>
      <c r="H112" t="s">
        <v>195</v>
      </c>
      <c r="I112" t="s">
        <v>196</v>
      </c>
      <c r="J112" t="s">
        <v>38</v>
      </c>
      <c r="K112" t="s">
        <v>101</v>
      </c>
      <c r="L112" t="s">
        <v>454</v>
      </c>
      <c r="M112" t="s">
        <v>60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112</v>
      </c>
      <c r="U112" t="s">
        <v>78</v>
      </c>
      <c r="V112" t="str">
        <f t="shared" si="10"/>
        <v/>
      </c>
      <c r="W112" t="str">
        <f t="shared" si="11"/>
        <v/>
      </c>
      <c r="X112">
        <f t="shared" si="12"/>
        <v>-1.0661353799231277</v>
      </c>
      <c r="Y112">
        <f t="shared" si="13"/>
        <v>4500.9399999999996</v>
      </c>
      <c r="Z112">
        <f t="shared" si="14"/>
        <v>1893.2099999999996</v>
      </c>
      <c r="AA112">
        <f t="shared" si="15"/>
        <v>0.42062546934640316</v>
      </c>
      <c r="AB112">
        <f t="shared" si="16"/>
        <v>6</v>
      </c>
      <c r="AC112" t="str">
        <f t="shared" si="17"/>
        <v>October</v>
      </c>
      <c r="AD112">
        <f t="shared" si="18"/>
        <v>2024</v>
      </c>
      <c r="AE112" t="str">
        <f t="shared" si="19"/>
        <v>WARNING</v>
      </c>
    </row>
    <row r="113" spans="1:31">
      <c r="A113" t="s">
        <v>455</v>
      </c>
      <c r="B113" s="3">
        <v>45835</v>
      </c>
      <c r="C113" s="3">
        <v>45838</v>
      </c>
      <c r="D113" t="s">
        <v>456</v>
      </c>
      <c r="E113" t="s">
        <v>89</v>
      </c>
      <c r="F113" t="s">
        <v>100</v>
      </c>
      <c r="G113" t="s">
        <v>48</v>
      </c>
      <c r="H113" t="s">
        <v>155</v>
      </c>
      <c r="I113" t="s">
        <v>156</v>
      </c>
      <c r="J113" t="s">
        <v>84</v>
      </c>
      <c r="K113" t="s">
        <v>85</v>
      </c>
      <c r="L113" t="s">
        <v>457</v>
      </c>
      <c r="M113" t="s">
        <v>60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121</v>
      </c>
      <c r="U113" t="s">
        <v>78</v>
      </c>
      <c r="V113" t="str">
        <f t="shared" si="10"/>
        <v/>
      </c>
      <c r="W113" t="str">
        <f t="shared" si="11"/>
        <v/>
      </c>
      <c r="X113">
        <f t="shared" si="12"/>
        <v>-0.58747117266059101</v>
      </c>
      <c r="Y113">
        <f t="shared" si="13"/>
        <v>1623.018</v>
      </c>
      <c r="Z113">
        <f t="shared" si="14"/>
        <v>545.55799999999999</v>
      </c>
      <c r="AA113">
        <f t="shared" si="15"/>
        <v>0.3361379849145234</v>
      </c>
      <c r="AB113">
        <f t="shared" si="16"/>
        <v>3</v>
      </c>
      <c r="AC113" t="str">
        <f t="shared" si="17"/>
        <v>June</v>
      </c>
      <c r="AD113">
        <f t="shared" si="18"/>
        <v>2025</v>
      </c>
      <c r="AE113" t="str">
        <f t="shared" si="19"/>
        <v>WARNING</v>
      </c>
    </row>
    <row r="114" spans="1:31">
      <c r="A114" t="s">
        <v>458</v>
      </c>
      <c r="B114" s="3">
        <v>45301</v>
      </c>
      <c r="C114" s="3">
        <v>45305</v>
      </c>
      <c r="D114" t="s">
        <v>459</v>
      </c>
      <c r="E114" t="s">
        <v>142</v>
      </c>
      <c r="F114" t="s">
        <v>34</v>
      </c>
      <c r="G114" t="s">
        <v>215</v>
      </c>
      <c r="H114" t="s">
        <v>190</v>
      </c>
      <c r="I114" t="s">
        <v>191</v>
      </c>
      <c r="J114" t="s">
        <v>84</v>
      </c>
      <c r="K114" t="s">
        <v>85</v>
      </c>
      <c r="L114" t="s">
        <v>460</v>
      </c>
      <c r="M114" t="s">
        <v>69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42</v>
      </c>
      <c r="U114" t="s">
        <v>43</v>
      </c>
      <c r="V114" t="str">
        <f t="shared" si="10"/>
        <v/>
      </c>
      <c r="W114" t="str">
        <f t="shared" si="11"/>
        <v/>
      </c>
      <c r="X114">
        <f t="shared" si="12"/>
        <v>-0.58747117266059101</v>
      </c>
      <c r="Y114">
        <f t="shared" si="13"/>
        <v>10914.018</v>
      </c>
      <c r="Z114">
        <f t="shared" si="14"/>
        <v>4365.2780000000002</v>
      </c>
      <c r="AA114">
        <f t="shared" si="15"/>
        <v>0.39996983695647198</v>
      </c>
      <c r="AB114">
        <f t="shared" si="16"/>
        <v>4</v>
      </c>
      <c r="AC114" t="str">
        <f t="shared" si="17"/>
        <v>January</v>
      </c>
      <c r="AD114">
        <f t="shared" si="18"/>
        <v>2024</v>
      </c>
      <c r="AE114" t="str">
        <f t="shared" si="19"/>
        <v>CLEAN</v>
      </c>
    </row>
    <row r="115" spans="1:31">
      <c r="A115" t="s">
        <v>461</v>
      </c>
      <c r="B115" s="3">
        <v>45334</v>
      </c>
      <c r="C115" s="3">
        <v>45334</v>
      </c>
      <c r="D115" t="s">
        <v>372</v>
      </c>
      <c r="E115" t="s">
        <v>57</v>
      </c>
      <c r="F115" t="s">
        <v>105</v>
      </c>
      <c r="G115" t="s">
        <v>64</v>
      </c>
      <c r="H115" t="s">
        <v>259</v>
      </c>
      <c r="I115" t="s">
        <v>260</v>
      </c>
      <c r="J115" t="s">
        <v>51</v>
      </c>
      <c r="K115" t="s">
        <v>52</v>
      </c>
      <c r="L115" t="s">
        <v>462</v>
      </c>
      <c r="M115" t="s">
        <v>69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42</v>
      </c>
      <c r="U115" t="s">
        <v>43</v>
      </c>
      <c r="V115" t="str">
        <f t="shared" si="10"/>
        <v/>
      </c>
      <c r="W115" t="str">
        <f t="shared" si="11"/>
        <v/>
      </c>
      <c r="X115">
        <f t="shared" si="12"/>
        <v>1.3271856563895552</v>
      </c>
      <c r="Y115">
        <f t="shared" si="13"/>
        <v>2450.5875000000001</v>
      </c>
      <c r="Z115">
        <f t="shared" si="14"/>
        <v>810.69749999999999</v>
      </c>
      <c r="AA115">
        <f t="shared" si="15"/>
        <v>0.33081761006289306</v>
      </c>
      <c r="AB115">
        <f t="shared" si="16"/>
        <v>0</v>
      </c>
      <c r="AC115" t="str">
        <f t="shared" si="17"/>
        <v>February</v>
      </c>
      <c r="AD115">
        <f t="shared" si="18"/>
        <v>2024</v>
      </c>
      <c r="AE115" t="str">
        <f t="shared" si="19"/>
        <v>CLEAN</v>
      </c>
    </row>
    <row r="116" spans="1:31">
      <c r="A116" t="s">
        <v>463</v>
      </c>
      <c r="B116" s="3">
        <v>45560</v>
      </c>
      <c r="C116" s="3">
        <v>45565</v>
      </c>
      <c r="D116" t="s">
        <v>464</v>
      </c>
      <c r="E116" t="s">
        <v>89</v>
      </c>
      <c r="F116" t="s">
        <v>47</v>
      </c>
      <c r="G116" t="s">
        <v>35</v>
      </c>
      <c r="H116" t="s">
        <v>36</v>
      </c>
      <c r="I116" t="s">
        <v>37</v>
      </c>
      <c r="J116" t="s">
        <v>84</v>
      </c>
      <c r="K116" t="s">
        <v>85</v>
      </c>
      <c r="L116" t="s">
        <v>465</v>
      </c>
      <c r="M116" t="s">
        <v>41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121</v>
      </c>
      <c r="U116" t="s">
        <v>78</v>
      </c>
      <c r="V116" t="str">
        <f t="shared" si="10"/>
        <v/>
      </c>
      <c r="W116" t="str">
        <f t="shared" si="11"/>
        <v/>
      </c>
      <c r="X116">
        <f t="shared" si="12"/>
        <v>-0.10880696539805437</v>
      </c>
      <c r="Y116">
        <f t="shared" si="13"/>
        <v>3949.56</v>
      </c>
      <c r="Z116">
        <f t="shared" si="14"/>
        <v>762.82999999999993</v>
      </c>
      <c r="AA116">
        <f t="shared" si="15"/>
        <v>0.19314303365438173</v>
      </c>
      <c r="AB116">
        <f t="shared" si="16"/>
        <v>5</v>
      </c>
      <c r="AC116" t="str">
        <f t="shared" si="17"/>
        <v>September</v>
      </c>
      <c r="AD116">
        <f t="shared" si="18"/>
        <v>2024</v>
      </c>
      <c r="AE116" t="str">
        <f t="shared" si="19"/>
        <v>WARNING</v>
      </c>
    </row>
    <row r="117" spans="1:31">
      <c r="A117" t="s">
        <v>466</v>
      </c>
      <c r="B117" s="3">
        <v>45653</v>
      </c>
      <c r="C117" s="3">
        <v>45658</v>
      </c>
      <c r="D117" t="s">
        <v>467</v>
      </c>
      <c r="E117" t="s">
        <v>276</v>
      </c>
      <c r="F117" t="s">
        <v>100</v>
      </c>
      <c r="G117" t="s">
        <v>64</v>
      </c>
      <c r="H117" t="s">
        <v>259</v>
      </c>
      <c r="I117" t="s">
        <v>260</v>
      </c>
      <c r="J117" t="s">
        <v>38</v>
      </c>
      <c r="K117" t="s">
        <v>163</v>
      </c>
      <c r="L117" t="s">
        <v>468</v>
      </c>
      <c r="M117" t="s">
        <v>54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42</v>
      </c>
      <c r="U117" t="s">
        <v>78</v>
      </c>
      <c r="V117" t="str">
        <f t="shared" si="10"/>
        <v/>
      </c>
      <c r="W117" t="str">
        <f t="shared" si="11"/>
        <v/>
      </c>
      <c r="X117">
        <f t="shared" si="12"/>
        <v>0.3698572418644821</v>
      </c>
      <c r="Y117">
        <f t="shared" si="13"/>
        <v>758.77799999999991</v>
      </c>
      <c r="Z117">
        <f t="shared" si="14"/>
        <v>268.0379999999999</v>
      </c>
      <c r="AA117">
        <f t="shared" si="15"/>
        <v>0.35324956706704719</v>
      </c>
      <c r="AB117">
        <f t="shared" si="16"/>
        <v>5</v>
      </c>
      <c r="AC117" t="str">
        <f t="shared" si="17"/>
        <v>December</v>
      </c>
      <c r="AD117">
        <f t="shared" si="18"/>
        <v>2024</v>
      </c>
      <c r="AE117" t="str">
        <f t="shared" si="19"/>
        <v>WARNING</v>
      </c>
    </row>
    <row r="118" spans="1:31">
      <c r="A118" t="s">
        <v>469</v>
      </c>
      <c r="B118" s="3">
        <v>45703</v>
      </c>
      <c r="C118" s="3">
        <v>45707</v>
      </c>
      <c r="D118" t="s">
        <v>470</v>
      </c>
      <c r="E118" t="s">
        <v>72</v>
      </c>
      <c r="F118" t="s">
        <v>47</v>
      </c>
      <c r="G118" t="s">
        <v>215</v>
      </c>
      <c r="H118" t="s">
        <v>82</v>
      </c>
      <c r="I118" t="s">
        <v>83</v>
      </c>
      <c r="J118" t="s">
        <v>38</v>
      </c>
      <c r="K118" t="s">
        <v>163</v>
      </c>
      <c r="L118" t="s">
        <v>471</v>
      </c>
      <c r="M118" t="s">
        <v>60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165</v>
      </c>
      <c r="U118" t="s">
        <v>78</v>
      </c>
      <c r="V118" t="str">
        <f t="shared" si="10"/>
        <v/>
      </c>
      <c r="W118" t="str">
        <f t="shared" si="11"/>
        <v/>
      </c>
      <c r="X118">
        <f t="shared" si="12"/>
        <v>1.3271856563895552</v>
      </c>
      <c r="Y118">
        <f t="shared" si="13"/>
        <v>3590.9324999999999</v>
      </c>
      <c r="Z118">
        <f t="shared" si="14"/>
        <v>529.54250000000002</v>
      </c>
      <c r="AA118">
        <f t="shared" si="15"/>
        <v>0.14746657031286442</v>
      </c>
      <c r="AB118">
        <f t="shared" si="16"/>
        <v>4</v>
      </c>
      <c r="AC118" t="str">
        <f t="shared" si="17"/>
        <v>February</v>
      </c>
      <c r="AD118">
        <f t="shared" si="18"/>
        <v>2025</v>
      </c>
      <c r="AE118" t="str">
        <f t="shared" si="19"/>
        <v>WARNING</v>
      </c>
    </row>
    <row r="119" spans="1:31">
      <c r="A119" t="s">
        <v>472</v>
      </c>
      <c r="B119" s="3">
        <v>45337</v>
      </c>
      <c r="C119" s="3">
        <v>45339</v>
      </c>
      <c r="D119" t="s">
        <v>473</v>
      </c>
      <c r="E119" t="s">
        <v>46</v>
      </c>
      <c r="F119" t="s">
        <v>105</v>
      </c>
      <c r="G119" t="s">
        <v>64</v>
      </c>
      <c r="H119" t="s">
        <v>259</v>
      </c>
      <c r="I119" t="s">
        <v>260</v>
      </c>
      <c r="J119" t="s">
        <v>84</v>
      </c>
      <c r="K119" t="s">
        <v>286</v>
      </c>
      <c r="L119" t="s">
        <v>474</v>
      </c>
      <c r="M119" t="s">
        <v>69</v>
      </c>
      <c r="N119">
        <v>9</v>
      </c>
      <c r="O119">
        <v>3324.55</v>
      </c>
      <c r="P119" t="s">
        <v>475</v>
      </c>
      <c r="Q119">
        <v>25432.81</v>
      </c>
      <c r="R119">
        <v>20370.16</v>
      </c>
      <c r="S119">
        <v>5062.6499999999996</v>
      </c>
      <c r="T119" t="s">
        <v>42</v>
      </c>
      <c r="U119" t="s">
        <v>43</v>
      </c>
      <c r="V119" t="str">
        <f t="shared" si="10"/>
        <v>Invalid Discount</v>
      </c>
      <c r="W119" t="str">
        <f t="shared" si="11"/>
        <v/>
      </c>
      <c r="X119">
        <f t="shared" si="12"/>
        <v>5.6351635217523848</v>
      </c>
      <c r="Y119">
        <f t="shared" si="13"/>
        <v>8976.2850000000017</v>
      </c>
      <c r="Z119">
        <f t="shared" si="14"/>
        <v>-11393.874999999998</v>
      </c>
      <c r="AA119">
        <f t="shared" si="15"/>
        <v>-1.2693307977632167</v>
      </c>
      <c r="AB119">
        <f t="shared" si="16"/>
        <v>2</v>
      </c>
      <c r="AC119" t="str">
        <f t="shared" si="17"/>
        <v>February</v>
      </c>
      <c r="AD119">
        <f t="shared" si="18"/>
        <v>2024</v>
      </c>
      <c r="AE119" t="str">
        <f t="shared" si="19"/>
        <v>INVALID</v>
      </c>
    </row>
    <row r="120" spans="1:31">
      <c r="A120" t="s">
        <v>476</v>
      </c>
      <c r="B120" s="3">
        <v>45571</v>
      </c>
      <c r="C120" s="3">
        <v>45461</v>
      </c>
      <c r="D120" t="s">
        <v>477</v>
      </c>
      <c r="E120" t="s">
        <v>81</v>
      </c>
      <c r="F120" t="s">
        <v>105</v>
      </c>
      <c r="G120" t="s">
        <v>64</v>
      </c>
      <c r="H120" t="s">
        <v>94</v>
      </c>
      <c r="I120" t="s">
        <v>95</v>
      </c>
      <c r="J120" t="s">
        <v>84</v>
      </c>
      <c r="K120" t="s">
        <v>90</v>
      </c>
      <c r="L120" t="s">
        <v>478</v>
      </c>
      <c r="M120" t="s">
        <v>54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42</v>
      </c>
      <c r="U120" t="s">
        <v>43</v>
      </c>
      <c r="V120" t="str">
        <f t="shared" si="10"/>
        <v/>
      </c>
      <c r="W120" t="str">
        <f t="shared" si="11"/>
        <v>Invalid Shipping Record</v>
      </c>
      <c r="X120">
        <f t="shared" si="12"/>
        <v>0.84852144912701888</v>
      </c>
      <c r="Y120">
        <f t="shared" si="13"/>
        <v>6321.0800000000008</v>
      </c>
      <c r="Z120">
        <f t="shared" si="14"/>
        <v>1913.8600000000006</v>
      </c>
      <c r="AA120">
        <f t="shared" si="15"/>
        <v>0.30277420947053357</v>
      </c>
      <c r="AB120" t="e">
        <f t="shared" si="16"/>
        <v>#NUM!</v>
      </c>
      <c r="AC120" t="str">
        <f t="shared" si="17"/>
        <v>October</v>
      </c>
      <c r="AD120">
        <f t="shared" si="18"/>
        <v>2024</v>
      </c>
      <c r="AE120" t="str">
        <f t="shared" si="19"/>
        <v>INVALID</v>
      </c>
    </row>
    <row r="121" spans="1:31">
      <c r="A121" t="s">
        <v>479</v>
      </c>
      <c r="B121" s="3">
        <v>45455</v>
      </c>
      <c r="C121" s="3">
        <v>45462</v>
      </c>
      <c r="D121" t="s">
        <v>480</v>
      </c>
      <c r="E121" t="s">
        <v>99</v>
      </c>
      <c r="F121" t="s">
        <v>47</v>
      </c>
      <c r="G121" t="s">
        <v>64</v>
      </c>
      <c r="H121" t="s">
        <v>195</v>
      </c>
      <c r="I121" t="s">
        <v>196</v>
      </c>
      <c r="J121" t="s">
        <v>51</v>
      </c>
      <c r="K121" t="s">
        <v>76</v>
      </c>
      <c r="L121" t="s">
        <v>481</v>
      </c>
      <c r="M121" t="s">
        <v>69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112</v>
      </c>
      <c r="U121" t="s">
        <v>113</v>
      </c>
      <c r="V121" t="str">
        <f t="shared" si="10"/>
        <v/>
      </c>
      <c r="W121" t="str">
        <f t="shared" si="11"/>
        <v/>
      </c>
      <c r="X121">
        <f t="shared" si="12"/>
        <v>1.3271856563895552</v>
      </c>
      <c r="Y121">
        <f t="shared" si="13"/>
        <v>1884.3000000000002</v>
      </c>
      <c r="Z121">
        <f t="shared" si="14"/>
        <v>366.61000000000013</v>
      </c>
      <c r="AA121">
        <f t="shared" si="15"/>
        <v>0.19456031417502526</v>
      </c>
      <c r="AB121">
        <f t="shared" si="16"/>
        <v>7</v>
      </c>
      <c r="AC121" t="str">
        <f t="shared" si="17"/>
        <v>June</v>
      </c>
      <c r="AD121">
        <f t="shared" si="18"/>
        <v>2024</v>
      </c>
      <c r="AE121" t="str">
        <f t="shared" si="19"/>
        <v>CLEAN</v>
      </c>
    </row>
    <row r="122" spans="1:31">
      <c r="A122" t="s">
        <v>482</v>
      </c>
      <c r="B122" s="3">
        <v>45514</v>
      </c>
      <c r="C122" s="3">
        <v>45522</v>
      </c>
      <c r="D122" t="s">
        <v>483</v>
      </c>
      <c r="E122" t="s">
        <v>142</v>
      </c>
      <c r="F122" t="s">
        <v>47</v>
      </c>
      <c r="G122" t="s">
        <v>48</v>
      </c>
      <c r="H122" t="s">
        <v>155</v>
      </c>
      <c r="I122" t="s">
        <v>156</v>
      </c>
      <c r="J122" t="s">
        <v>84</v>
      </c>
      <c r="K122" t="s">
        <v>181</v>
      </c>
      <c r="L122" t="s">
        <v>484</v>
      </c>
      <c r="M122" t="s">
        <v>69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42</v>
      </c>
      <c r="U122" t="s">
        <v>113</v>
      </c>
      <c r="V122" t="str">
        <f t="shared" si="10"/>
        <v/>
      </c>
      <c r="W122" t="str">
        <f t="shared" si="11"/>
        <v/>
      </c>
      <c r="X122">
        <f t="shared" si="12"/>
        <v>0.84852144912701888</v>
      </c>
      <c r="Y122">
        <f t="shared" si="13"/>
        <v>1458.9360000000001</v>
      </c>
      <c r="Z122">
        <f t="shared" si="14"/>
        <v>565.7360000000001</v>
      </c>
      <c r="AA122">
        <f t="shared" si="15"/>
        <v>0.38777300717783375</v>
      </c>
      <c r="AB122">
        <f t="shared" si="16"/>
        <v>8</v>
      </c>
      <c r="AC122" t="str">
        <f t="shared" si="17"/>
        <v>August</v>
      </c>
      <c r="AD122">
        <f t="shared" si="18"/>
        <v>2024</v>
      </c>
      <c r="AE122" t="str">
        <f t="shared" si="19"/>
        <v>CLEAN</v>
      </c>
    </row>
    <row r="123" spans="1:31">
      <c r="A123" t="s">
        <v>485</v>
      </c>
      <c r="B123" s="3">
        <v>45891</v>
      </c>
      <c r="C123" s="3">
        <v>45895</v>
      </c>
      <c r="D123" t="s">
        <v>486</v>
      </c>
      <c r="E123" t="s">
        <v>276</v>
      </c>
      <c r="F123" t="s">
        <v>47</v>
      </c>
      <c r="G123" t="s">
        <v>64</v>
      </c>
      <c r="H123" t="s">
        <v>94</v>
      </c>
      <c r="I123" t="s">
        <v>95</v>
      </c>
      <c r="J123" t="s">
        <v>84</v>
      </c>
      <c r="K123" t="s">
        <v>286</v>
      </c>
      <c r="L123" t="s">
        <v>487</v>
      </c>
      <c r="M123" t="s">
        <v>41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112</v>
      </c>
      <c r="U123" t="s">
        <v>78</v>
      </c>
      <c r="V123" t="str">
        <f t="shared" si="10"/>
        <v/>
      </c>
      <c r="W123" t="str">
        <f t="shared" si="11"/>
        <v/>
      </c>
      <c r="X123">
        <f t="shared" si="12"/>
        <v>-1.0661353799231277</v>
      </c>
      <c r="Y123">
        <f t="shared" si="13"/>
        <v>17414.599999999999</v>
      </c>
      <c r="Z123">
        <f t="shared" si="14"/>
        <v>5653.6899999999987</v>
      </c>
      <c r="AA123">
        <f t="shared" si="15"/>
        <v>0.3246523032398102</v>
      </c>
      <c r="AB123">
        <f t="shared" si="16"/>
        <v>4</v>
      </c>
      <c r="AC123" t="str">
        <f t="shared" si="17"/>
        <v>August</v>
      </c>
      <c r="AD123">
        <f t="shared" si="18"/>
        <v>2025</v>
      </c>
      <c r="AE123" t="str">
        <f t="shared" si="19"/>
        <v>WARNING</v>
      </c>
    </row>
    <row r="124" spans="1:31">
      <c r="A124" t="s">
        <v>488</v>
      </c>
      <c r="B124" s="3">
        <v>45626</v>
      </c>
      <c r="C124" s="3">
        <v>45630</v>
      </c>
      <c r="D124" t="s">
        <v>489</v>
      </c>
      <c r="E124" t="s">
        <v>72</v>
      </c>
      <c r="F124" t="s">
        <v>47</v>
      </c>
      <c r="G124" t="s">
        <v>48</v>
      </c>
      <c r="H124" t="s">
        <v>176</v>
      </c>
      <c r="I124" t="s">
        <v>177</v>
      </c>
      <c r="J124" t="s">
        <v>51</v>
      </c>
      <c r="K124" t="s">
        <v>76</v>
      </c>
      <c r="L124" t="s">
        <v>490</v>
      </c>
      <c r="M124" t="s">
        <v>41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42</v>
      </c>
      <c r="U124" t="s">
        <v>43</v>
      </c>
      <c r="V124" t="str">
        <f t="shared" si="10"/>
        <v/>
      </c>
      <c r="W124" t="str">
        <f t="shared" si="11"/>
        <v/>
      </c>
      <c r="X124">
        <f t="shared" si="12"/>
        <v>-1.0661353799231277</v>
      </c>
      <c r="Y124">
        <f t="shared" si="13"/>
        <v>511.04999999999995</v>
      </c>
      <c r="Z124">
        <f t="shared" si="14"/>
        <v>143.86999999999995</v>
      </c>
      <c r="AA124">
        <f t="shared" si="15"/>
        <v>0.28151844242246349</v>
      </c>
      <c r="AB124">
        <f t="shared" si="16"/>
        <v>4</v>
      </c>
      <c r="AC124" t="str">
        <f t="shared" si="17"/>
        <v>November</v>
      </c>
      <c r="AD124">
        <f t="shared" si="18"/>
        <v>2024</v>
      </c>
      <c r="AE124" t="str">
        <f t="shared" si="19"/>
        <v>CLEAN</v>
      </c>
    </row>
    <row r="125" spans="1:31">
      <c r="A125" t="s">
        <v>491</v>
      </c>
      <c r="B125" s="3">
        <v>45436</v>
      </c>
      <c r="C125" s="3">
        <v>45437</v>
      </c>
      <c r="D125" t="s">
        <v>492</v>
      </c>
      <c r="E125" t="s">
        <v>142</v>
      </c>
      <c r="F125" t="s">
        <v>47</v>
      </c>
      <c r="G125" t="s">
        <v>493</v>
      </c>
      <c r="H125" t="s">
        <v>132</v>
      </c>
      <c r="I125" t="s">
        <v>133</v>
      </c>
      <c r="J125" t="s">
        <v>84</v>
      </c>
      <c r="K125" t="s">
        <v>90</v>
      </c>
      <c r="L125" t="s">
        <v>494</v>
      </c>
      <c r="M125" t="s">
        <v>54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112</v>
      </c>
      <c r="U125" t="s">
        <v>78</v>
      </c>
      <c r="V125" t="str">
        <f t="shared" si="10"/>
        <v/>
      </c>
      <c r="W125" t="str">
        <f t="shared" si="11"/>
        <v/>
      </c>
      <c r="X125">
        <f t="shared" si="12"/>
        <v>-1.0661353799231277</v>
      </c>
      <c r="Y125">
        <f t="shared" si="13"/>
        <v>634.13</v>
      </c>
      <c r="Z125">
        <f t="shared" si="14"/>
        <v>180.77999999999997</v>
      </c>
      <c r="AA125">
        <f t="shared" si="15"/>
        <v>0.28508350022865969</v>
      </c>
      <c r="AB125">
        <f t="shared" si="16"/>
        <v>1</v>
      </c>
      <c r="AC125" t="str">
        <f t="shared" si="17"/>
        <v>May</v>
      </c>
      <c r="AD125">
        <f t="shared" si="18"/>
        <v>2024</v>
      </c>
      <c r="AE125" t="str">
        <f t="shared" si="19"/>
        <v>WARNING</v>
      </c>
    </row>
    <row r="126" spans="1:31">
      <c r="A126" t="s">
        <v>495</v>
      </c>
      <c r="B126" s="3">
        <v>45494</v>
      </c>
      <c r="C126" s="3">
        <v>45497</v>
      </c>
      <c r="D126" t="s">
        <v>496</v>
      </c>
      <c r="E126" t="s">
        <v>57</v>
      </c>
      <c r="F126" t="s">
        <v>100</v>
      </c>
      <c r="G126" t="s">
        <v>64</v>
      </c>
      <c r="H126" t="s">
        <v>185</v>
      </c>
      <c r="I126" t="s">
        <v>186</v>
      </c>
      <c r="J126" t="s">
        <v>84</v>
      </c>
      <c r="K126" t="s">
        <v>90</v>
      </c>
      <c r="L126" t="s">
        <v>497</v>
      </c>
      <c r="M126" t="s">
        <v>69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42</v>
      </c>
      <c r="U126" t="s">
        <v>43</v>
      </c>
      <c r="V126" t="str">
        <f t="shared" si="10"/>
        <v>Invalid Discount</v>
      </c>
      <c r="W126" t="str">
        <f t="shared" si="11"/>
        <v/>
      </c>
      <c r="X126">
        <f t="shared" si="12"/>
        <v>-2.5021280017107372</v>
      </c>
      <c r="Y126">
        <f t="shared" si="13"/>
        <v>4813.3709999999992</v>
      </c>
      <c r="Z126">
        <f t="shared" si="14"/>
        <v>1369.6309999999994</v>
      </c>
      <c r="AA126">
        <f t="shared" si="15"/>
        <v>0.28454715001191466</v>
      </c>
      <c r="AB126">
        <f t="shared" si="16"/>
        <v>3</v>
      </c>
      <c r="AC126" t="str">
        <f t="shared" si="17"/>
        <v>July</v>
      </c>
      <c r="AD126">
        <f t="shared" si="18"/>
        <v>2024</v>
      </c>
      <c r="AE126" t="str">
        <f t="shared" si="19"/>
        <v>INVALID</v>
      </c>
    </row>
    <row r="127" spans="1:31">
      <c r="A127" t="s">
        <v>498</v>
      </c>
      <c r="B127" s="3">
        <v>45855</v>
      </c>
      <c r="C127" s="3">
        <v>45856</v>
      </c>
      <c r="D127" t="s">
        <v>499</v>
      </c>
      <c r="E127" t="s">
        <v>89</v>
      </c>
      <c r="F127" t="s">
        <v>47</v>
      </c>
      <c r="G127" t="s">
        <v>73</v>
      </c>
      <c r="H127" t="s">
        <v>36</v>
      </c>
      <c r="I127" t="s">
        <v>119</v>
      </c>
      <c r="J127" t="s">
        <v>51</v>
      </c>
      <c r="K127" t="s">
        <v>52</v>
      </c>
      <c r="L127" t="s">
        <v>500</v>
      </c>
      <c r="M127" t="s">
        <v>54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112</v>
      </c>
      <c r="U127" t="s">
        <v>113</v>
      </c>
      <c r="V127" t="str">
        <f t="shared" si="10"/>
        <v/>
      </c>
      <c r="W127" t="str">
        <f t="shared" si="11"/>
        <v/>
      </c>
      <c r="X127">
        <f t="shared" si="12"/>
        <v>1.3271856563895552</v>
      </c>
      <c r="Y127">
        <f t="shared" si="13"/>
        <v>14558.715</v>
      </c>
      <c r="Z127">
        <f t="shared" si="14"/>
        <v>4967.2350000000006</v>
      </c>
      <c r="AA127">
        <f t="shared" si="15"/>
        <v>0.34118636157105903</v>
      </c>
      <c r="AB127">
        <f t="shared" si="16"/>
        <v>1</v>
      </c>
      <c r="AC127" t="str">
        <f t="shared" si="17"/>
        <v>July</v>
      </c>
      <c r="AD127">
        <f t="shared" si="18"/>
        <v>2025</v>
      </c>
      <c r="AE127" t="str">
        <f t="shared" si="19"/>
        <v>CLEAN</v>
      </c>
    </row>
    <row r="128" spans="1:31">
      <c r="A128" t="s">
        <v>501</v>
      </c>
      <c r="B128" s="3">
        <v>45924</v>
      </c>
      <c r="C128" s="3">
        <v>45926</v>
      </c>
      <c r="D128" t="s">
        <v>502</v>
      </c>
      <c r="E128" t="s">
        <v>124</v>
      </c>
      <c r="F128" t="s">
        <v>100</v>
      </c>
      <c r="G128" t="s">
        <v>35</v>
      </c>
      <c r="H128" t="s">
        <v>362</v>
      </c>
      <c r="I128" t="s">
        <v>363</v>
      </c>
      <c r="J128" t="s">
        <v>84</v>
      </c>
      <c r="K128" t="s">
        <v>90</v>
      </c>
      <c r="L128" t="s">
        <v>503</v>
      </c>
      <c r="M128" t="s">
        <v>69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42</v>
      </c>
      <c r="U128" t="s">
        <v>43</v>
      </c>
      <c r="V128" t="str">
        <f t="shared" si="10"/>
        <v/>
      </c>
      <c r="W128" t="str">
        <f t="shared" si="11"/>
        <v/>
      </c>
      <c r="X128">
        <f t="shared" si="12"/>
        <v>-0.10880696539805437</v>
      </c>
      <c r="Y128">
        <f t="shared" si="13"/>
        <v>4303.4220000000005</v>
      </c>
      <c r="Z128">
        <f t="shared" si="14"/>
        <v>1734.8520000000003</v>
      </c>
      <c r="AA128">
        <f t="shared" si="15"/>
        <v>0.40313313451481175</v>
      </c>
      <c r="AB128">
        <f t="shared" si="16"/>
        <v>2</v>
      </c>
      <c r="AC128" t="str">
        <f t="shared" si="17"/>
        <v>September</v>
      </c>
      <c r="AD128">
        <f t="shared" si="18"/>
        <v>2025</v>
      </c>
      <c r="AE128" t="str">
        <f t="shared" si="19"/>
        <v>CLEAN</v>
      </c>
    </row>
    <row r="129" spans="1:31">
      <c r="A129" t="s">
        <v>504</v>
      </c>
      <c r="B129" s="3">
        <v>45687</v>
      </c>
      <c r="C129" s="3">
        <v>45683</v>
      </c>
      <c r="D129" t="s">
        <v>505</v>
      </c>
      <c r="E129" t="s">
        <v>124</v>
      </c>
      <c r="F129" t="s">
        <v>100</v>
      </c>
      <c r="G129" t="s">
        <v>73</v>
      </c>
      <c r="H129" t="s">
        <v>82</v>
      </c>
      <c r="I129" t="s">
        <v>83</v>
      </c>
      <c r="J129" t="s">
        <v>38</v>
      </c>
      <c r="K129" t="s">
        <v>134</v>
      </c>
      <c r="L129" t="s">
        <v>506</v>
      </c>
      <c r="M129" t="s">
        <v>41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42</v>
      </c>
      <c r="U129" t="s">
        <v>43</v>
      </c>
      <c r="V129" t="str">
        <f t="shared" si="10"/>
        <v/>
      </c>
      <c r="W129" t="str">
        <f t="shared" si="11"/>
        <v>Invalid Shipping Record</v>
      </c>
      <c r="X129">
        <f t="shared" si="12"/>
        <v>-0.58747117266059101</v>
      </c>
      <c r="Y129">
        <f t="shared" si="13"/>
        <v>5774.67</v>
      </c>
      <c r="Z129">
        <f t="shared" si="14"/>
        <v>2256.31</v>
      </c>
      <c r="AA129">
        <f t="shared" si="15"/>
        <v>0.39072535746631409</v>
      </c>
      <c r="AB129" t="e">
        <f t="shared" si="16"/>
        <v>#NUM!</v>
      </c>
      <c r="AC129" t="str">
        <f t="shared" si="17"/>
        <v>January</v>
      </c>
      <c r="AD129">
        <f t="shared" si="18"/>
        <v>2025</v>
      </c>
      <c r="AE129" t="str">
        <f t="shared" si="19"/>
        <v>INVALID</v>
      </c>
    </row>
    <row r="130" spans="1:31">
      <c r="A130" t="s">
        <v>507</v>
      </c>
      <c r="B130" s="3">
        <v>45639</v>
      </c>
      <c r="C130" s="3">
        <v>45642</v>
      </c>
      <c r="D130" t="s">
        <v>508</v>
      </c>
      <c r="E130" t="s">
        <v>89</v>
      </c>
      <c r="F130" t="s">
        <v>47</v>
      </c>
      <c r="G130" t="s">
        <v>48</v>
      </c>
      <c r="H130" t="s">
        <v>49</v>
      </c>
      <c r="I130" t="s">
        <v>50</v>
      </c>
      <c r="J130" t="s">
        <v>51</v>
      </c>
      <c r="K130" t="s">
        <v>67</v>
      </c>
      <c r="L130" t="s">
        <v>509</v>
      </c>
      <c r="M130" t="s">
        <v>69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42</v>
      </c>
      <c r="U130" t="s">
        <v>113</v>
      </c>
      <c r="V130" t="str">
        <f t="shared" si="10"/>
        <v/>
      </c>
      <c r="W130" t="str">
        <f t="shared" si="11"/>
        <v/>
      </c>
      <c r="X130">
        <f t="shared" si="12"/>
        <v>-0.58747117266059101</v>
      </c>
      <c r="Y130">
        <f t="shared" si="13"/>
        <v>4386.3874999999998</v>
      </c>
      <c r="Z130">
        <f t="shared" si="14"/>
        <v>1019.5074999999997</v>
      </c>
      <c r="AA130">
        <f t="shared" si="15"/>
        <v>0.2324253158208206</v>
      </c>
      <c r="AB130">
        <f t="shared" si="16"/>
        <v>3</v>
      </c>
      <c r="AC130" t="str">
        <f t="shared" si="17"/>
        <v>December</v>
      </c>
      <c r="AD130">
        <f t="shared" si="18"/>
        <v>2024</v>
      </c>
      <c r="AE130" t="str">
        <f t="shared" si="19"/>
        <v>CLEAN</v>
      </c>
    </row>
    <row r="131" spans="1:31">
      <c r="A131" t="s">
        <v>510</v>
      </c>
      <c r="B131" s="3">
        <v>45492</v>
      </c>
      <c r="C131" s="3">
        <v>45498</v>
      </c>
      <c r="D131" t="s">
        <v>511</v>
      </c>
      <c r="E131" t="s">
        <v>57</v>
      </c>
      <c r="F131" t="s">
        <v>47</v>
      </c>
      <c r="G131" t="s">
        <v>73</v>
      </c>
      <c r="H131" t="s">
        <v>200</v>
      </c>
      <c r="I131" t="s">
        <v>201</v>
      </c>
      <c r="J131" t="s">
        <v>38</v>
      </c>
      <c r="K131" t="s">
        <v>163</v>
      </c>
      <c r="L131" t="s">
        <v>512</v>
      </c>
      <c r="M131" t="s">
        <v>69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42</v>
      </c>
      <c r="U131" t="s">
        <v>43</v>
      </c>
      <c r="V131" t="str">
        <f t="shared" ref="V131:V194" si="20">IF(AND(N131&gt;0,O131&gt;0,Q131&gt;0,R131&gt;=0,S131&lt;&gt;""),IF(OR(P131&lt;0,ABS(P131-AVERAGE($P:$P))&gt;2*_xlfn.STDEV.P($P:$P)),"Invalid Discount",""),"")</f>
        <v/>
      </c>
      <c r="W131" t="str">
        <f t="shared" ref="W131:W194" si="21">IF(AND(B131&lt;&gt;"",C131&lt;&gt;""),IF(C131&lt;B131,"Invalid Shipping Record",""),"")</f>
        <v/>
      </c>
      <c r="X131">
        <f t="shared" ref="X131:X194" si="22">(P131-AVERAGE($P:$P))/_xlfn.STDEV.P($P:$P)</f>
        <v>-0.58747117266059101</v>
      </c>
      <c r="Y131">
        <f t="shared" ref="Y131:Y194" si="23">N131*O131*(1-P131)</f>
        <v>18229.5785</v>
      </c>
      <c r="Z131">
        <f t="shared" ref="Z131:Z194" si="24">Y131-R131</f>
        <v>3090.4285</v>
      </c>
      <c r="AA131">
        <f t="shared" ref="AA131:AA194" si="25">IF(Y131=0,0,Z131/Y131)</f>
        <v>0.16952824773211295</v>
      </c>
      <c r="AB131">
        <f t="shared" ref="AB131:AB194" si="26">DATEDIF(B131,C131,"d")</f>
        <v>6</v>
      </c>
      <c r="AC131" t="str">
        <f t="shared" ref="AC131:AC194" si="27">TEXT(B131,"mmmm")</f>
        <v>July</v>
      </c>
      <c r="AD131">
        <f t="shared" ref="AD131:AD194" si="28">YEAR(B131)</f>
        <v>2024</v>
      </c>
      <c r="AE131" t="str">
        <f t="shared" ref="AE131:AE194" si="29">IF(OR(V131="Invalid Discount",W131="Invalid Shipping Record"),"INVALID",IF(U131="Cancelled","WARNING","CLEAN"))</f>
        <v>CLEAN</v>
      </c>
    </row>
    <row r="132" spans="1:31">
      <c r="A132" t="s">
        <v>513</v>
      </c>
      <c r="B132" s="3">
        <v>45318</v>
      </c>
      <c r="C132" s="3">
        <v>45324</v>
      </c>
      <c r="D132" t="s">
        <v>514</v>
      </c>
      <c r="E132" t="s">
        <v>63</v>
      </c>
      <c r="F132" t="s">
        <v>34</v>
      </c>
      <c r="G132" t="s">
        <v>73</v>
      </c>
      <c r="H132" t="s">
        <v>190</v>
      </c>
      <c r="I132" t="s">
        <v>191</v>
      </c>
      <c r="J132" t="s">
        <v>38</v>
      </c>
      <c r="K132" t="s">
        <v>101</v>
      </c>
      <c r="L132" t="s">
        <v>515</v>
      </c>
      <c r="M132" t="s">
        <v>54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121</v>
      </c>
      <c r="U132" t="s">
        <v>78</v>
      </c>
      <c r="V132" t="str">
        <f t="shared" si="20"/>
        <v/>
      </c>
      <c r="W132" t="str">
        <f t="shared" si="21"/>
        <v/>
      </c>
      <c r="X132">
        <f t="shared" si="22"/>
        <v>0.84852144912701888</v>
      </c>
      <c r="Y132">
        <f t="shared" si="23"/>
        <v>873.68</v>
      </c>
      <c r="Z132">
        <f t="shared" si="24"/>
        <v>211.95999999999992</v>
      </c>
      <c r="AA132">
        <f t="shared" si="25"/>
        <v>0.24260598846259493</v>
      </c>
      <c r="AB132">
        <f t="shared" si="26"/>
        <v>6</v>
      </c>
      <c r="AC132" t="str">
        <f t="shared" si="27"/>
        <v>January</v>
      </c>
      <c r="AD132">
        <f t="shared" si="28"/>
        <v>2024</v>
      </c>
      <c r="AE132" t="str">
        <f t="shared" si="29"/>
        <v>WARNING</v>
      </c>
    </row>
    <row r="133" spans="1:31">
      <c r="A133" t="s">
        <v>516</v>
      </c>
      <c r="B133" s="3">
        <v>45929</v>
      </c>
      <c r="C133" s="3">
        <v>45934</v>
      </c>
      <c r="D133" t="s">
        <v>517</v>
      </c>
      <c r="E133" t="s">
        <v>72</v>
      </c>
      <c r="F133" t="s">
        <v>105</v>
      </c>
      <c r="G133" t="s">
        <v>48</v>
      </c>
      <c r="H133" t="s">
        <v>240</v>
      </c>
      <c r="I133" t="s">
        <v>241</v>
      </c>
      <c r="J133" t="s">
        <v>38</v>
      </c>
      <c r="K133" t="s">
        <v>39</v>
      </c>
      <c r="L133" t="s">
        <v>518</v>
      </c>
      <c r="M133" t="s">
        <v>54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42</v>
      </c>
      <c r="U133" t="s">
        <v>43</v>
      </c>
      <c r="V133" t="str">
        <f t="shared" si="20"/>
        <v/>
      </c>
      <c r="W133" t="str">
        <f t="shared" si="21"/>
        <v/>
      </c>
      <c r="X133">
        <f t="shared" si="22"/>
        <v>0.84852144912701888</v>
      </c>
      <c r="Y133">
        <f t="shared" si="23"/>
        <v>2692.152</v>
      </c>
      <c r="Z133">
        <f t="shared" si="24"/>
        <v>647.66200000000003</v>
      </c>
      <c r="AA133">
        <f t="shared" si="25"/>
        <v>0.24057408348414205</v>
      </c>
      <c r="AB133">
        <f t="shared" si="26"/>
        <v>5</v>
      </c>
      <c r="AC133" t="str">
        <f t="shared" si="27"/>
        <v>September</v>
      </c>
      <c r="AD133">
        <f t="shared" si="28"/>
        <v>2025</v>
      </c>
      <c r="AE133" t="str">
        <f t="shared" si="29"/>
        <v>CLEAN</v>
      </c>
    </row>
    <row r="134" spans="1:31">
      <c r="A134" t="s">
        <v>519</v>
      </c>
      <c r="B134" s="3">
        <v>45600</v>
      </c>
      <c r="C134" s="3">
        <v>45600</v>
      </c>
      <c r="D134" t="s">
        <v>520</v>
      </c>
      <c r="E134" t="s">
        <v>276</v>
      </c>
      <c r="F134" t="s">
        <v>100</v>
      </c>
      <c r="G134" t="s">
        <v>48</v>
      </c>
      <c r="H134" t="s">
        <v>176</v>
      </c>
      <c r="I134" t="s">
        <v>177</v>
      </c>
      <c r="J134" t="s">
        <v>84</v>
      </c>
      <c r="K134" t="s">
        <v>286</v>
      </c>
      <c r="L134" t="s">
        <v>521</v>
      </c>
      <c r="M134" t="s">
        <v>60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165</v>
      </c>
      <c r="U134" t="s">
        <v>78</v>
      </c>
      <c r="V134" t="str">
        <f t="shared" si="20"/>
        <v/>
      </c>
      <c r="W134" t="str">
        <f t="shared" si="21"/>
        <v/>
      </c>
      <c r="X134">
        <f t="shared" si="22"/>
        <v>-1.0661353799231277</v>
      </c>
      <c r="Y134">
        <f t="shared" si="23"/>
        <v>1066.1600000000001</v>
      </c>
      <c r="Z134">
        <f t="shared" si="24"/>
        <v>409.86000000000013</v>
      </c>
      <c r="AA134">
        <f t="shared" si="25"/>
        <v>0.38442635251744589</v>
      </c>
      <c r="AB134">
        <f t="shared" si="26"/>
        <v>0</v>
      </c>
      <c r="AC134" t="str">
        <f t="shared" si="27"/>
        <v>November</v>
      </c>
      <c r="AD134">
        <f t="shared" si="28"/>
        <v>2024</v>
      </c>
      <c r="AE134" t="str">
        <f t="shared" si="29"/>
        <v>WARNING</v>
      </c>
    </row>
    <row r="135" spans="1:31">
      <c r="A135" t="s">
        <v>522</v>
      </c>
      <c r="B135" s="3">
        <v>45639</v>
      </c>
      <c r="C135" s="3">
        <v>45644</v>
      </c>
      <c r="D135" t="s">
        <v>523</v>
      </c>
      <c r="E135" t="s">
        <v>33</v>
      </c>
      <c r="F135" t="s">
        <v>34</v>
      </c>
      <c r="G135" t="s">
        <v>73</v>
      </c>
      <c r="H135" t="s">
        <v>200</v>
      </c>
      <c r="I135" t="s">
        <v>201</v>
      </c>
      <c r="J135" t="s">
        <v>84</v>
      </c>
      <c r="K135" t="s">
        <v>181</v>
      </c>
      <c r="L135" t="s">
        <v>524</v>
      </c>
      <c r="M135" t="s">
        <v>41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42</v>
      </c>
      <c r="U135" t="s">
        <v>43</v>
      </c>
      <c r="V135" t="str">
        <f t="shared" si="20"/>
        <v/>
      </c>
      <c r="W135" t="str">
        <f t="shared" si="21"/>
        <v/>
      </c>
      <c r="X135">
        <f t="shared" si="22"/>
        <v>0.3698572418644821</v>
      </c>
      <c r="Y135">
        <f t="shared" si="23"/>
        <v>22930.62</v>
      </c>
      <c r="Z135">
        <f t="shared" si="24"/>
        <v>6055.07</v>
      </c>
      <c r="AA135">
        <f t="shared" si="25"/>
        <v>0.26406045715292475</v>
      </c>
      <c r="AB135">
        <f t="shared" si="26"/>
        <v>5</v>
      </c>
      <c r="AC135" t="str">
        <f t="shared" si="27"/>
        <v>December</v>
      </c>
      <c r="AD135">
        <f t="shared" si="28"/>
        <v>2024</v>
      </c>
      <c r="AE135" t="str">
        <f t="shared" si="29"/>
        <v>CLEAN</v>
      </c>
    </row>
    <row r="136" spans="1:31">
      <c r="A136" t="s">
        <v>525</v>
      </c>
      <c r="B136" s="3">
        <v>45852</v>
      </c>
      <c r="C136" s="3">
        <v>45852</v>
      </c>
      <c r="D136" t="s">
        <v>526</v>
      </c>
      <c r="E136" t="s">
        <v>81</v>
      </c>
      <c r="F136" t="s">
        <v>105</v>
      </c>
      <c r="G136" t="s">
        <v>48</v>
      </c>
      <c r="H136" t="s">
        <v>109</v>
      </c>
      <c r="I136" t="s">
        <v>110</v>
      </c>
      <c r="J136" t="s">
        <v>51</v>
      </c>
      <c r="K136" t="s">
        <v>168</v>
      </c>
      <c r="L136" t="s">
        <v>527</v>
      </c>
      <c r="M136" t="s">
        <v>215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121</v>
      </c>
      <c r="U136" t="s">
        <v>78</v>
      </c>
      <c r="V136" t="str">
        <f t="shared" si="20"/>
        <v/>
      </c>
      <c r="W136" t="str">
        <f t="shared" si="21"/>
        <v/>
      </c>
      <c r="X136">
        <f t="shared" si="22"/>
        <v>1.3271856563895552</v>
      </c>
      <c r="Y136">
        <f t="shared" si="23"/>
        <v>1436.625</v>
      </c>
      <c r="Z136">
        <f t="shared" si="24"/>
        <v>524.10500000000002</v>
      </c>
      <c r="AA136">
        <f t="shared" si="25"/>
        <v>0.36481684503610895</v>
      </c>
      <c r="AB136">
        <f t="shared" si="26"/>
        <v>0</v>
      </c>
      <c r="AC136" t="str">
        <f t="shared" si="27"/>
        <v>July</v>
      </c>
      <c r="AD136">
        <f t="shared" si="28"/>
        <v>2025</v>
      </c>
      <c r="AE136" t="str">
        <f t="shared" si="29"/>
        <v>WARNING</v>
      </c>
    </row>
    <row r="137" spans="1:31">
      <c r="A137" t="s">
        <v>528</v>
      </c>
      <c r="B137" s="3">
        <v>45893</v>
      </c>
      <c r="C137" s="3">
        <v>45893</v>
      </c>
      <c r="D137" t="s">
        <v>529</v>
      </c>
      <c r="E137" t="s">
        <v>172</v>
      </c>
      <c r="F137" t="s">
        <v>47</v>
      </c>
      <c r="G137" t="s">
        <v>64</v>
      </c>
      <c r="H137" t="s">
        <v>195</v>
      </c>
      <c r="I137" t="s">
        <v>196</v>
      </c>
      <c r="J137" t="s">
        <v>51</v>
      </c>
      <c r="K137" t="s">
        <v>168</v>
      </c>
      <c r="L137" t="s">
        <v>530</v>
      </c>
      <c r="M137" t="s">
        <v>69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42</v>
      </c>
      <c r="U137" t="s">
        <v>43</v>
      </c>
      <c r="V137" t="str">
        <f t="shared" si="20"/>
        <v/>
      </c>
      <c r="W137" t="str">
        <f t="shared" si="21"/>
        <v/>
      </c>
      <c r="X137">
        <f t="shared" si="22"/>
        <v>-1.0661353799231277</v>
      </c>
      <c r="Y137">
        <f t="shared" si="23"/>
        <v>3424.78</v>
      </c>
      <c r="Z137">
        <f t="shared" si="24"/>
        <v>1473.3300000000002</v>
      </c>
      <c r="AA137">
        <f t="shared" si="25"/>
        <v>0.43019697615613267</v>
      </c>
      <c r="AB137">
        <f t="shared" si="26"/>
        <v>0</v>
      </c>
      <c r="AC137" t="str">
        <f t="shared" si="27"/>
        <v>August</v>
      </c>
      <c r="AD137">
        <f t="shared" si="28"/>
        <v>2025</v>
      </c>
      <c r="AE137" t="str">
        <f t="shared" si="29"/>
        <v>CLEAN</v>
      </c>
    </row>
    <row r="138" spans="1:31">
      <c r="A138" t="s">
        <v>531</v>
      </c>
      <c r="B138" s="3">
        <v>45697</v>
      </c>
      <c r="C138" s="3">
        <v>45703</v>
      </c>
      <c r="D138" t="s">
        <v>532</v>
      </c>
      <c r="E138" t="s">
        <v>46</v>
      </c>
      <c r="F138" t="s">
        <v>105</v>
      </c>
      <c r="G138" t="s">
        <v>48</v>
      </c>
      <c r="H138" t="s">
        <v>240</v>
      </c>
      <c r="I138" t="s">
        <v>241</v>
      </c>
      <c r="J138" t="s">
        <v>38</v>
      </c>
      <c r="K138" t="s">
        <v>163</v>
      </c>
      <c r="L138" t="s">
        <v>533</v>
      </c>
      <c r="M138" t="s">
        <v>69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42</v>
      </c>
      <c r="U138" t="s">
        <v>43</v>
      </c>
      <c r="V138" t="str">
        <f t="shared" si="20"/>
        <v/>
      </c>
      <c r="W138" t="str">
        <f t="shared" si="21"/>
        <v/>
      </c>
      <c r="X138">
        <f t="shared" si="22"/>
        <v>0.84852144912701888</v>
      </c>
      <c r="Y138">
        <f t="shared" si="23"/>
        <v>31178.376000000004</v>
      </c>
      <c r="Z138">
        <f t="shared" si="24"/>
        <v>9757.2860000000037</v>
      </c>
      <c r="AA138">
        <f t="shared" si="25"/>
        <v>0.31295042435821552</v>
      </c>
      <c r="AB138">
        <f t="shared" si="26"/>
        <v>6</v>
      </c>
      <c r="AC138" t="str">
        <f t="shared" si="27"/>
        <v>February</v>
      </c>
      <c r="AD138">
        <f t="shared" si="28"/>
        <v>2025</v>
      </c>
      <c r="AE138" t="str">
        <f t="shared" si="29"/>
        <v>CLEAN</v>
      </c>
    </row>
    <row r="139" spans="1:31">
      <c r="A139" t="s">
        <v>534</v>
      </c>
      <c r="B139" s="3">
        <v>45901</v>
      </c>
      <c r="C139" s="3">
        <v>45666</v>
      </c>
      <c r="D139" t="s">
        <v>535</v>
      </c>
      <c r="E139" t="s">
        <v>142</v>
      </c>
      <c r="F139" t="s">
        <v>47</v>
      </c>
      <c r="G139" t="s">
        <v>35</v>
      </c>
      <c r="H139" t="s">
        <v>36</v>
      </c>
      <c r="I139" t="s">
        <v>37</v>
      </c>
      <c r="J139" t="s">
        <v>51</v>
      </c>
      <c r="K139" t="s">
        <v>76</v>
      </c>
      <c r="L139" t="s">
        <v>536</v>
      </c>
      <c r="M139" t="s">
        <v>54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42</v>
      </c>
      <c r="U139" t="s">
        <v>43</v>
      </c>
      <c r="V139" t="str">
        <f t="shared" si="20"/>
        <v/>
      </c>
      <c r="W139" t="str">
        <f t="shared" si="21"/>
        <v>Invalid Shipping Record</v>
      </c>
      <c r="X139">
        <f t="shared" si="22"/>
        <v>-0.10880696539805437</v>
      </c>
      <c r="Y139">
        <f t="shared" si="23"/>
        <v>19202.904000000002</v>
      </c>
      <c r="Z139">
        <f t="shared" si="24"/>
        <v>3676.2840000000015</v>
      </c>
      <c r="AA139">
        <f t="shared" si="25"/>
        <v>0.19144416906942829</v>
      </c>
      <c r="AB139" t="e">
        <f t="shared" si="26"/>
        <v>#NUM!</v>
      </c>
      <c r="AC139" t="str">
        <f t="shared" si="27"/>
        <v>September</v>
      </c>
      <c r="AD139">
        <f t="shared" si="28"/>
        <v>2025</v>
      </c>
      <c r="AE139" t="str">
        <f t="shared" si="29"/>
        <v>INVALID</v>
      </c>
    </row>
    <row r="140" spans="1:31">
      <c r="A140" t="s">
        <v>537</v>
      </c>
      <c r="B140" s="3">
        <v>45311</v>
      </c>
      <c r="C140" s="3">
        <v>45317</v>
      </c>
      <c r="D140" t="s">
        <v>538</v>
      </c>
      <c r="E140" t="s">
        <v>172</v>
      </c>
      <c r="F140" t="s">
        <v>105</v>
      </c>
      <c r="G140" t="s">
        <v>48</v>
      </c>
      <c r="H140" t="s">
        <v>240</v>
      </c>
      <c r="I140" t="s">
        <v>241</v>
      </c>
      <c r="J140" t="s">
        <v>84</v>
      </c>
      <c r="K140" t="s">
        <v>286</v>
      </c>
      <c r="L140" t="s">
        <v>539</v>
      </c>
      <c r="M140" t="s">
        <v>69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42</v>
      </c>
      <c r="U140" t="s">
        <v>43</v>
      </c>
      <c r="V140" t="str">
        <f t="shared" si="20"/>
        <v/>
      </c>
      <c r="W140" t="str">
        <f t="shared" si="21"/>
        <v/>
      </c>
      <c r="X140">
        <f t="shared" si="22"/>
        <v>1.3271856563895552</v>
      </c>
      <c r="Y140">
        <f t="shared" si="23"/>
        <v>24018.300000000003</v>
      </c>
      <c r="Z140">
        <f t="shared" si="24"/>
        <v>9947.5200000000023</v>
      </c>
      <c r="AA140">
        <f t="shared" si="25"/>
        <v>0.41416419979765434</v>
      </c>
      <c r="AB140">
        <f t="shared" si="26"/>
        <v>6</v>
      </c>
      <c r="AC140" t="str">
        <f t="shared" si="27"/>
        <v>January</v>
      </c>
      <c r="AD140">
        <f t="shared" si="28"/>
        <v>2024</v>
      </c>
      <c r="AE140" t="str">
        <f t="shared" si="29"/>
        <v>CLEAN</v>
      </c>
    </row>
    <row r="141" spans="1:31">
      <c r="A141" t="s">
        <v>540</v>
      </c>
      <c r="B141" s="3">
        <v>45691</v>
      </c>
      <c r="C141" s="3">
        <v>45723</v>
      </c>
      <c r="D141" t="s">
        <v>541</v>
      </c>
      <c r="E141" t="s">
        <v>89</v>
      </c>
      <c r="F141" t="s">
        <v>105</v>
      </c>
      <c r="G141" t="s">
        <v>64</v>
      </c>
      <c r="H141" t="s">
        <v>185</v>
      </c>
      <c r="I141" t="s">
        <v>186</v>
      </c>
      <c r="J141" t="s">
        <v>38</v>
      </c>
      <c r="K141" t="s">
        <v>101</v>
      </c>
      <c r="L141" t="s">
        <v>542</v>
      </c>
      <c r="M141" t="s">
        <v>69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42</v>
      </c>
      <c r="U141" t="s">
        <v>43</v>
      </c>
      <c r="V141" t="str">
        <f t="shared" si="20"/>
        <v/>
      </c>
      <c r="W141" t="str">
        <f t="shared" si="21"/>
        <v/>
      </c>
      <c r="X141">
        <f t="shared" si="22"/>
        <v>-1.0661353799231277</v>
      </c>
      <c r="Y141">
        <f t="shared" si="23"/>
        <v>10301.040000000001</v>
      </c>
      <c r="Z141">
        <f t="shared" si="24"/>
        <v>3736.9800000000005</v>
      </c>
      <c r="AA141">
        <f t="shared" si="25"/>
        <v>0.3627769623261341</v>
      </c>
      <c r="AB141">
        <f t="shared" si="26"/>
        <v>32</v>
      </c>
      <c r="AC141" t="str">
        <f t="shared" si="27"/>
        <v>February</v>
      </c>
      <c r="AD141">
        <f t="shared" si="28"/>
        <v>2025</v>
      </c>
      <c r="AE141" t="str">
        <f t="shared" si="29"/>
        <v>CLEAN</v>
      </c>
    </row>
    <row r="142" spans="1:31">
      <c r="A142" t="s">
        <v>543</v>
      </c>
      <c r="B142" s="3">
        <v>45443</v>
      </c>
      <c r="C142" s="3">
        <v>45444</v>
      </c>
      <c r="D142" t="s">
        <v>544</v>
      </c>
      <c r="E142" t="s">
        <v>46</v>
      </c>
      <c r="F142" t="s">
        <v>100</v>
      </c>
      <c r="G142" t="s">
        <v>64</v>
      </c>
      <c r="H142" t="s">
        <v>185</v>
      </c>
      <c r="I142" t="s">
        <v>186</v>
      </c>
      <c r="J142" t="s">
        <v>51</v>
      </c>
      <c r="K142" t="s">
        <v>168</v>
      </c>
      <c r="L142" t="s">
        <v>545</v>
      </c>
      <c r="M142" t="s">
        <v>54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42</v>
      </c>
      <c r="U142" t="s">
        <v>43</v>
      </c>
      <c r="V142" t="str">
        <f t="shared" si="20"/>
        <v/>
      </c>
      <c r="W142" t="str">
        <f t="shared" si="21"/>
        <v/>
      </c>
      <c r="X142">
        <f t="shared" si="22"/>
        <v>-1.0661353799231277</v>
      </c>
      <c r="Y142">
        <f t="shared" si="23"/>
        <v>8743.6500000000015</v>
      </c>
      <c r="Z142">
        <f t="shared" si="24"/>
        <v>2139.8900000000012</v>
      </c>
      <c r="AA142">
        <f t="shared" si="25"/>
        <v>0.24473646589239059</v>
      </c>
      <c r="AB142">
        <f t="shared" si="26"/>
        <v>1</v>
      </c>
      <c r="AC142" t="str">
        <f t="shared" si="27"/>
        <v>May</v>
      </c>
      <c r="AD142">
        <f t="shared" si="28"/>
        <v>2024</v>
      </c>
      <c r="AE142" t="str">
        <f t="shared" si="29"/>
        <v>CLEAN</v>
      </c>
    </row>
    <row r="143" spans="1:31">
      <c r="A143" t="s">
        <v>546</v>
      </c>
      <c r="B143" s="3">
        <v>45374</v>
      </c>
      <c r="C143" s="3">
        <v>45380</v>
      </c>
      <c r="D143" t="s">
        <v>547</v>
      </c>
      <c r="E143" t="s">
        <v>124</v>
      </c>
      <c r="F143" t="s">
        <v>100</v>
      </c>
      <c r="G143" t="s">
        <v>35</v>
      </c>
      <c r="H143" t="s">
        <v>362</v>
      </c>
      <c r="I143" t="s">
        <v>363</v>
      </c>
      <c r="J143" t="s">
        <v>51</v>
      </c>
      <c r="K143" t="s">
        <v>168</v>
      </c>
      <c r="L143" t="s">
        <v>548</v>
      </c>
      <c r="M143" t="s">
        <v>54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42</v>
      </c>
      <c r="U143" t="s">
        <v>113</v>
      </c>
      <c r="V143" t="str">
        <f t="shared" si="20"/>
        <v/>
      </c>
      <c r="W143" t="str">
        <f t="shared" si="21"/>
        <v/>
      </c>
      <c r="X143">
        <f t="shared" si="22"/>
        <v>-0.10880696539805437</v>
      </c>
      <c r="Y143">
        <f t="shared" si="23"/>
        <v>3996.027</v>
      </c>
      <c r="Z143">
        <f t="shared" si="24"/>
        <v>1136.5169999999998</v>
      </c>
      <c r="AA143">
        <f t="shared" si="25"/>
        <v>0.28441174196270441</v>
      </c>
      <c r="AB143">
        <f t="shared" si="26"/>
        <v>6</v>
      </c>
      <c r="AC143" t="str">
        <f t="shared" si="27"/>
        <v>March</v>
      </c>
      <c r="AD143">
        <f t="shared" si="28"/>
        <v>2024</v>
      </c>
      <c r="AE143" t="str">
        <f t="shared" si="29"/>
        <v>CLEAN</v>
      </c>
    </row>
    <row r="144" spans="1:31">
      <c r="A144" t="s">
        <v>549</v>
      </c>
      <c r="B144" s="3">
        <v>45381</v>
      </c>
      <c r="C144" s="3">
        <v>45377</v>
      </c>
      <c r="D144" t="s">
        <v>550</v>
      </c>
      <c r="E144" t="s">
        <v>99</v>
      </c>
      <c r="F144" t="s">
        <v>105</v>
      </c>
      <c r="G144" t="s">
        <v>35</v>
      </c>
      <c r="H144" t="s">
        <v>36</v>
      </c>
      <c r="I144" t="s">
        <v>37</v>
      </c>
      <c r="J144" t="s">
        <v>84</v>
      </c>
      <c r="K144" t="s">
        <v>181</v>
      </c>
      <c r="L144" t="s">
        <v>551</v>
      </c>
      <c r="M144" t="s">
        <v>41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42</v>
      </c>
      <c r="U144" t="s">
        <v>43</v>
      </c>
      <c r="V144" t="str">
        <f t="shared" si="20"/>
        <v/>
      </c>
      <c r="W144" t="str">
        <f t="shared" si="21"/>
        <v>Invalid Shipping Record</v>
      </c>
      <c r="X144">
        <f t="shared" si="22"/>
        <v>0.3698572418644821</v>
      </c>
      <c r="Y144">
        <f t="shared" si="23"/>
        <v>3857.0449999999996</v>
      </c>
      <c r="Z144">
        <f t="shared" si="24"/>
        <v>1087.7849999999994</v>
      </c>
      <c r="AA144">
        <f t="shared" si="25"/>
        <v>0.28202548842442843</v>
      </c>
      <c r="AB144" t="e">
        <f t="shared" si="26"/>
        <v>#NUM!</v>
      </c>
      <c r="AC144" t="str">
        <f t="shared" si="27"/>
        <v>March</v>
      </c>
      <c r="AD144">
        <f t="shared" si="28"/>
        <v>2024</v>
      </c>
      <c r="AE144" t="str">
        <f t="shared" si="29"/>
        <v>INVALID</v>
      </c>
    </row>
    <row r="145" spans="1:31">
      <c r="A145" t="s">
        <v>552</v>
      </c>
      <c r="B145" s="3">
        <v>45375</v>
      </c>
      <c r="C145" s="3">
        <v>45377</v>
      </c>
      <c r="D145" t="s">
        <v>553</v>
      </c>
      <c r="E145" t="s">
        <v>124</v>
      </c>
      <c r="F145" t="s">
        <v>34</v>
      </c>
      <c r="G145" t="s">
        <v>73</v>
      </c>
      <c r="H145" t="s">
        <v>190</v>
      </c>
      <c r="I145" t="s">
        <v>191</v>
      </c>
      <c r="J145" t="s">
        <v>38</v>
      </c>
      <c r="K145" t="s">
        <v>39</v>
      </c>
      <c r="L145" t="s">
        <v>554</v>
      </c>
      <c r="M145" t="s">
        <v>41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42</v>
      </c>
      <c r="U145" t="s">
        <v>113</v>
      </c>
      <c r="V145" t="str">
        <f t="shared" si="20"/>
        <v/>
      </c>
      <c r="W145" t="str">
        <f t="shared" si="21"/>
        <v/>
      </c>
      <c r="X145">
        <f t="shared" si="22"/>
        <v>-0.10880696539805437</v>
      </c>
      <c r="Y145">
        <f t="shared" si="23"/>
        <v>3068.55</v>
      </c>
      <c r="Z145">
        <f t="shared" si="24"/>
        <v>1152.3900000000001</v>
      </c>
      <c r="AA145">
        <f t="shared" si="25"/>
        <v>0.3755487119323459</v>
      </c>
      <c r="AB145">
        <f t="shared" si="26"/>
        <v>2</v>
      </c>
      <c r="AC145" t="str">
        <f t="shared" si="27"/>
        <v>March</v>
      </c>
      <c r="AD145">
        <f t="shared" si="28"/>
        <v>2024</v>
      </c>
      <c r="AE145" t="str">
        <f t="shared" si="29"/>
        <v>CLEAN</v>
      </c>
    </row>
    <row r="146" spans="1:31">
      <c r="A146" t="s">
        <v>555</v>
      </c>
      <c r="B146" s="3">
        <v>45450</v>
      </c>
      <c r="C146" s="3">
        <v>45458</v>
      </c>
      <c r="D146" t="s">
        <v>556</v>
      </c>
      <c r="E146" t="s">
        <v>276</v>
      </c>
      <c r="F146" t="s">
        <v>47</v>
      </c>
      <c r="G146" t="s">
        <v>64</v>
      </c>
      <c r="H146" t="s">
        <v>65</v>
      </c>
      <c r="I146" t="s">
        <v>66</v>
      </c>
      <c r="J146" t="s">
        <v>84</v>
      </c>
      <c r="K146" t="s">
        <v>85</v>
      </c>
      <c r="L146" t="s">
        <v>557</v>
      </c>
      <c r="M146" t="s">
        <v>60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112</v>
      </c>
      <c r="U146" t="s">
        <v>113</v>
      </c>
      <c r="V146" t="str">
        <f t="shared" si="20"/>
        <v/>
      </c>
      <c r="W146" t="str">
        <f t="shared" si="21"/>
        <v/>
      </c>
      <c r="X146">
        <f t="shared" si="22"/>
        <v>1.3271856563895552</v>
      </c>
      <c r="Y146">
        <f t="shared" si="23"/>
        <v>11276.947499999998</v>
      </c>
      <c r="Z146">
        <f t="shared" si="24"/>
        <v>4368.1874999999982</v>
      </c>
      <c r="AA146">
        <f t="shared" si="25"/>
        <v>0.38735548782150481</v>
      </c>
      <c r="AB146">
        <f t="shared" si="26"/>
        <v>8</v>
      </c>
      <c r="AC146" t="str">
        <f t="shared" si="27"/>
        <v>June</v>
      </c>
      <c r="AD146">
        <f t="shared" si="28"/>
        <v>2024</v>
      </c>
      <c r="AE146" t="str">
        <f t="shared" si="29"/>
        <v>CLEAN</v>
      </c>
    </row>
    <row r="147" spans="1:31">
      <c r="A147" t="s">
        <v>558</v>
      </c>
      <c r="B147" s="3">
        <v>45758</v>
      </c>
      <c r="C147" s="3">
        <v>45760</v>
      </c>
      <c r="D147" t="s">
        <v>559</v>
      </c>
      <c r="E147" t="s">
        <v>46</v>
      </c>
      <c r="F147" t="s">
        <v>47</v>
      </c>
      <c r="G147" t="s">
        <v>73</v>
      </c>
      <c r="H147" t="s">
        <v>200</v>
      </c>
      <c r="I147" t="s">
        <v>201</v>
      </c>
      <c r="J147" t="s">
        <v>38</v>
      </c>
      <c r="K147" t="s">
        <v>39</v>
      </c>
      <c r="L147" t="s">
        <v>560</v>
      </c>
      <c r="M147" t="s">
        <v>69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42</v>
      </c>
      <c r="U147" t="s">
        <v>43</v>
      </c>
      <c r="V147" t="str">
        <f t="shared" si="20"/>
        <v/>
      </c>
      <c r="W147" t="str">
        <f t="shared" si="21"/>
        <v/>
      </c>
      <c r="X147">
        <f t="shared" si="22"/>
        <v>-0.10880696539805437</v>
      </c>
      <c r="Y147">
        <f t="shared" si="23"/>
        <v>15055.74</v>
      </c>
      <c r="Z147">
        <f t="shared" si="24"/>
        <v>5246.91</v>
      </c>
      <c r="AA147">
        <f t="shared" si="25"/>
        <v>0.34849897779850075</v>
      </c>
      <c r="AB147">
        <f t="shared" si="26"/>
        <v>2</v>
      </c>
      <c r="AC147" t="str">
        <f t="shared" si="27"/>
        <v>April</v>
      </c>
      <c r="AD147">
        <f t="shared" si="28"/>
        <v>2025</v>
      </c>
      <c r="AE147" t="str">
        <f t="shared" si="29"/>
        <v>CLEAN</v>
      </c>
    </row>
    <row r="148" spans="1:31">
      <c r="A148" t="s">
        <v>561</v>
      </c>
      <c r="B148" s="3">
        <v>45868</v>
      </c>
      <c r="C148" s="3">
        <v>45665</v>
      </c>
      <c r="D148" t="s">
        <v>562</v>
      </c>
      <c r="E148" t="s">
        <v>142</v>
      </c>
      <c r="F148" t="s">
        <v>47</v>
      </c>
      <c r="G148" t="s">
        <v>64</v>
      </c>
      <c r="H148" t="s">
        <v>259</v>
      </c>
      <c r="I148" t="s">
        <v>260</v>
      </c>
      <c r="J148" t="s">
        <v>38</v>
      </c>
      <c r="K148" t="s">
        <v>134</v>
      </c>
      <c r="L148" t="s">
        <v>563</v>
      </c>
      <c r="M148" t="s">
        <v>54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42</v>
      </c>
      <c r="U148" t="s">
        <v>43</v>
      </c>
      <c r="V148" t="str">
        <f t="shared" si="20"/>
        <v/>
      </c>
      <c r="W148" t="str">
        <f t="shared" si="21"/>
        <v>Invalid Shipping Record</v>
      </c>
      <c r="X148">
        <f t="shared" si="22"/>
        <v>-0.10880696539805437</v>
      </c>
      <c r="Y148">
        <f t="shared" si="23"/>
        <v>25639.983</v>
      </c>
      <c r="Z148">
        <f t="shared" si="24"/>
        <v>4004.9029999999984</v>
      </c>
      <c r="AA148">
        <f t="shared" si="25"/>
        <v>0.1561975684617263</v>
      </c>
      <c r="AB148" t="e">
        <f t="shared" si="26"/>
        <v>#NUM!</v>
      </c>
      <c r="AC148" t="str">
        <f t="shared" si="27"/>
        <v>July</v>
      </c>
      <c r="AD148">
        <f t="shared" si="28"/>
        <v>2025</v>
      </c>
      <c r="AE148" t="str">
        <f t="shared" si="29"/>
        <v>INVALID</v>
      </c>
    </row>
    <row r="149" spans="1:31">
      <c r="A149" t="s">
        <v>564</v>
      </c>
      <c r="B149" s="3">
        <v>45649</v>
      </c>
      <c r="C149" s="3">
        <v>45656</v>
      </c>
      <c r="D149" t="s">
        <v>565</v>
      </c>
      <c r="E149" t="s">
        <v>124</v>
      </c>
      <c r="F149" t="s">
        <v>105</v>
      </c>
      <c r="G149" t="s">
        <v>73</v>
      </c>
      <c r="H149" t="s">
        <v>200</v>
      </c>
      <c r="I149" t="s">
        <v>201</v>
      </c>
      <c r="J149" t="s">
        <v>51</v>
      </c>
      <c r="K149" t="s">
        <v>67</v>
      </c>
      <c r="L149" t="s">
        <v>566</v>
      </c>
      <c r="M149" t="s">
        <v>60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42</v>
      </c>
      <c r="U149" t="s">
        <v>43</v>
      </c>
      <c r="V149" t="str">
        <f t="shared" si="20"/>
        <v/>
      </c>
      <c r="W149" t="str">
        <f t="shared" si="21"/>
        <v/>
      </c>
      <c r="X149">
        <f t="shared" si="22"/>
        <v>-0.10880696539805437</v>
      </c>
      <c r="Y149">
        <f t="shared" si="23"/>
        <v>2779.92</v>
      </c>
      <c r="Z149">
        <f t="shared" si="24"/>
        <v>1035.8700000000001</v>
      </c>
      <c r="AA149">
        <f t="shared" si="25"/>
        <v>0.37262583095916435</v>
      </c>
      <c r="AB149">
        <f t="shared" si="26"/>
        <v>7</v>
      </c>
      <c r="AC149" t="str">
        <f t="shared" si="27"/>
        <v>December</v>
      </c>
      <c r="AD149">
        <f t="shared" si="28"/>
        <v>2024</v>
      </c>
      <c r="AE149" t="str">
        <f t="shared" si="29"/>
        <v>CLEAN</v>
      </c>
    </row>
    <row r="150" spans="1:31">
      <c r="A150" t="s">
        <v>567</v>
      </c>
      <c r="B150" s="3">
        <v>45697</v>
      </c>
      <c r="C150" s="3">
        <v>45701</v>
      </c>
      <c r="D150" t="s">
        <v>568</v>
      </c>
      <c r="E150" t="s">
        <v>46</v>
      </c>
      <c r="F150" t="s">
        <v>105</v>
      </c>
      <c r="G150" t="s">
        <v>73</v>
      </c>
      <c r="H150" t="s">
        <v>82</v>
      </c>
      <c r="I150" t="s">
        <v>83</v>
      </c>
      <c r="J150" t="s">
        <v>84</v>
      </c>
      <c r="K150" t="s">
        <v>181</v>
      </c>
      <c r="L150" t="s">
        <v>569</v>
      </c>
      <c r="M150" t="s">
        <v>215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42</v>
      </c>
      <c r="U150" t="s">
        <v>43</v>
      </c>
      <c r="V150" t="str">
        <f t="shared" si="20"/>
        <v/>
      </c>
      <c r="W150" t="str">
        <f t="shared" si="21"/>
        <v/>
      </c>
      <c r="X150">
        <f t="shared" si="22"/>
        <v>1.3271856563895552</v>
      </c>
      <c r="Y150">
        <f t="shared" si="23"/>
        <v>10176.42</v>
      </c>
      <c r="Z150">
        <f t="shared" si="24"/>
        <v>2571.9499999999998</v>
      </c>
      <c r="AA150">
        <f t="shared" si="25"/>
        <v>0.252736227474888</v>
      </c>
      <c r="AB150">
        <f t="shared" si="26"/>
        <v>4</v>
      </c>
      <c r="AC150" t="str">
        <f t="shared" si="27"/>
        <v>February</v>
      </c>
      <c r="AD150">
        <f t="shared" si="28"/>
        <v>2025</v>
      </c>
      <c r="AE150" t="str">
        <f t="shared" si="29"/>
        <v>CLEAN</v>
      </c>
    </row>
    <row r="151" spans="1:31">
      <c r="A151" t="s">
        <v>570</v>
      </c>
      <c r="B151" s="3">
        <v>45321</v>
      </c>
      <c r="C151" s="3">
        <v>45321</v>
      </c>
      <c r="D151" t="s">
        <v>571</v>
      </c>
      <c r="E151" t="s">
        <v>138</v>
      </c>
      <c r="F151" t="s">
        <v>47</v>
      </c>
      <c r="G151" t="s">
        <v>572</v>
      </c>
      <c r="H151" t="s">
        <v>36</v>
      </c>
      <c r="I151" t="s">
        <v>119</v>
      </c>
      <c r="J151" t="s">
        <v>84</v>
      </c>
      <c r="K151" t="s">
        <v>90</v>
      </c>
      <c r="L151" t="s">
        <v>573</v>
      </c>
      <c r="M151" t="s">
        <v>54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42</v>
      </c>
      <c r="U151" t="s">
        <v>43</v>
      </c>
      <c r="V151" t="str">
        <f t="shared" si="20"/>
        <v/>
      </c>
      <c r="W151" t="str">
        <f t="shared" si="21"/>
        <v/>
      </c>
      <c r="X151">
        <f t="shared" si="22"/>
        <v>1.3271856563895552</v>
      </c>
      <c r="Y151">
        <f t="shared" si="23"/>
        <v>13269.952499999999</v>
      </c>
      <c r="Z151">
        <f t="shared" si="24"/>
        <v>4292.8524999999991</v>
      </c>
      <c r="AA151">
        <f t="shared" si="25"/>
        <v>0.32350172315989822</v>
      </c>
      <c r="AB151">
        <f t="shared" si="26"/>
        <v>0</v>
      </c>
      <c r="AC151" t="str">
        <f t="shared" si="27"/>
        <v>January</v>
      </c>
      <c r="AD151">
        <f t="shared" si="28"/>
        <v>2024</v>
      </c>
      <c r="AE151" t="str">
        <f t="shared" si="29"/>
        <v>CLEAN</v>
      </c>
    </row>
    <row r="152" spans="1:31">
      <c r="A152" t="s">
        <v>574</v>
      </c>
      <c r="B152" s="3">
        <v>45355</v>
      </c>
      <c r="C152" s="3">
        <v>45363</v>
      </c>
      <c r="D152" t="s">
        <v>575</v>
      </c>
      <c r="E152" t="s">
        <v>63</v>
      </c>
      <c r="F152" t="s">
        <v>34</v>
      </c>
      <c r="G152" t="s">
        <v>215</v>
      </c>
      <c r="H152" t="s">
        <v>190</v>
      </c>
      <c r="I152" t="s">
        <v>191</v>
      </c>
      <c r="J152" t="s">
        <v>51</v>
      </c>
      <c r="K152" t="s">
        <v>168</v>
      </c>
      <c r="L152" t="s">
        <v>576</v>
      </c>
      <c r="M152" t="s">
        <v>60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42</v>
      </c>
      <c r="U152" t="s">
        <v>43</v>
      </c>
      <c r="V152" t="str">
        <f t="shared" si="20"/>
        <v/>
      </c>
      <c r="W152" t="str">
        <f t="shared" si="21"/>
        <v/>
      </c>
      <c r="X152">
        <f t="shared" si="22"/>
        <v>-0.10880696539805437</v>
      </c>
      <c r="Y152">
        <f t="shared" si="23"/>
        <v>1398.7079999999999</v>
      </c>
      <c r="Z152">
        <f t="shared" si="24"/>
        <v>341.78799999999978</v>
      </c>
      <c r="AA152">
        <f t="shared" si="25"/>
        <v>0.24435979489643286</v>
      </c>
      <c r="AB152">
        <f t="shared" si="26"/>
        <v>8</v>
      </c>
      <c r="AC152" t="str">
        <f t="shared" si="27"/>
        <v>March</v>
      </c>
      <c r="AD152">
        <f t="shared" si="28"/>
        <v>2024</v>
      </c>
      <c r="AE152" t="str">
        <f t="shared" si="29"/>
        <v>CLEAN</v>
      </c>
    </row>
    <row r="153" spans="1:31">
      <c r="A153" t="s">
        <v>577</v>
      </c>
      <c r="B153" s="3">
        <v>45470</v>
      </c>
      <c r="C153" s="3">
        <v>45470</v>
      </c>
      <c r="D153" t="s">
        <v>578</v>
      </c>
      <c r="E153" t="s">
        <v>89</v>
      </c>
      <c r="F153" t="s">
        <v>105</v>
      </c>
      <c r="G153" t="s">
        <v>215</v>
      </c>
      <c r="H153" t="s">
        <v>82</v>
      </c>
      <c r="I153" t="s">
        <v>83</v>
      </c>
      <c r="J153" t="s">
        <v>84</v>
      </c>
      <c r="K153" t="s">
        <v>90</v>
      </c>
      <c r="L153" t="s">
        <v>579</v>
      </c>
      <c r="M153" t="s">
        <v>69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121</v>
      </c>
      <c r="U153" t="s">
        <v>113</v>
      </c>
      <c r="V153" t="str">
        <f t="shared" si="20"/>
        <v/>
      </c>
      <c r="W153" t="str">
        <f t="shared" si="21"/>
        <v/>
      </c>
      <c r="X153">
        <f t="shared" si="22"/>
        <v>-1.0661353799231277</v>
      </c>
      <c r="Y153">
        <f t="shared" si="23"/>
        <v>7718.22</v>
      </c>
      <c r="Z153">
        <f t="shared" si="24"/>
        <v>2362.29</v>
      </c>
      <c r="AA153">
        <f t="shared" si="25"/>
        <v>0.30606668376905555</v>
      </c>
      <c r="AB153">
        <f t="shared" si="26"/>
        <v>0</v>
      </c>
      <c r="AC153" t="str">
        <f t="shared" si="27"/>
        <v>June</v>
      </c>
      <c r="AD153">
        <f t="shared" si="28"/>
        <v>2024</v>
      </c>
      <c r="AE153" t="str">
        <f t="shared" si="29"/>
        <v>CLEAN</v>
      </c>
    </row>
    <row r="154" spans="1:31">
      <c r="A154" t="s">
        <v>580</v>
      </c>
      <c r="B154" s="3">
        <v>45457</v>
      </c>
      <c r="C154" s="3">
        <v>45460</v>
      </c>
      <c r="D154" t="s">
        <v>581</v>
      </c>
      <c r="E154" t="s">
        <v>276</v>
      </c>
      <c r="F154" t="s">
        <v>47</v>
      </c>
      <c r="G154" t="s">
        <v>64</v>
      </c>
      <c r="H154" t="s">
        <v>195</v>
      </c>
      <c r="I154" t="s">
        <v>196</v>
      </c>
      <c r="J154" t="s">
        <v>51</v>
      </c>
      <c r="K154" t="s">
        <v>52</v>
      </c>
      <c r="L154" t="s">
        <v>582</v>
      </c>
      <c r="M154" t="s">
        <v>41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121</v>
      </c>
      <c r="U154" t="s">
        <v>113</v>
      </c>
      <c r="V154" t="str">
        <f t="shared" si="20"/>
        <v/>
      </c>
      <c r="W154" t="str">
        <f t="shared" si="21"/>
        <v/>
      </c>
      <c r="X154">
        <f t="shared" si="22"/>
        <v>-0.10880696539805437</v>
      </c>
      <c r="Y154">
        <f t="shared" si="23"/>
        <v>5875.4160000000002</v>
      </c>
      <c r="Z154">
        <f t="shared" si="24"/>
        <v>1494.866</v>
      </c>
      <c r="AA154">
        <f t="shared" si="25"/>
        <v>0.25442726098032886</v>
      </c>
      <c r="AB154">
        <f t="shared" si="26"/>
        <v>3</v>
      </c>
      <c r="AC154" t="str">
        <f t="shared" si="27"/>
        <v>June</v>
      </c>
      <c r="AD154">
        <f t="shared" si="28"/>
        <v>2024</v>
      </c>
      <c r="AE154" t="str">
        <f t="shared" si="29"/>
        <v>CLEAN</v>
      </c>
    </row>
    <row r="155" spans="1:31">
      <c r="A155" t="s">
        <v>583</v>
      </c>
      <c r="B155" s="3">
        <v>45923</v>
      </c>
      <c r="C155" s="3">
        <v>45925</v>
      </c>
      <c r="D155" t="s">
        <v>584</v>
      </c>
      <c r="E155" t="s">
        <v>99</v>
      </c>
      <c r="F155" t="s">
        <v>34</v>
      </c>
      <c r="G155" t="s">
        <v>48</v>
      </c>
      <c r="H155" t="s">
        <v>49</v>
      </c>
      <c r="I155" t="s">
        <v>50</v>
      </c>
      <c r="J155" t="s">
        <v>38</v>
      </c>
      <c r="K155" t="s">
        <v>101</v>
      </c>
      <c r="L155" t="s">
        <v>585</v>
      </c>
      <c r="M155" t="s">
        <v>69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112</v>
      </c>
      <c r="U155" t="s">
        <v>113</v>
      </c>
      <c r="V155" t="str">
        <f t="shared" si="20"/>
        <v/>
      </c>
      <c r="W155" t="str">
        <f t="shared" si="21"/>
        <v/>
      </c>
      <c r="X155">
        <f t="shared" si="22"/>
        <v>-1.0661353799231277</v>
      </c>
      <c r="Y155">
        <f t="shared" si="23"/>
        <v>22962.17</v>
      </c>
      <c r="Z155">
        <f t="shared" si="24"/>
        <v>7245.6699999999983</v>
      </c>
      <c r="AA155">
        <f t="shared" si="25"/>
        <v>0.31554813852523517</v>
      </c>
      <c r="AB155">
        <f t="shared" si="26"/>
        <v>2</v>
      </c>
      <c r="AC155" t="str">
        <f t="shared" si="27"/>
        <v>September</v>
      </c>
      <c r="AD155">
        <f t="shared" si="28"/>
        <v>2025</v>
      </c>
      <c r="AE155" t="str">
        <f t="shared" si="29"/>
        <v>CLEAN</v>
      </c>
    </row>
    <row r="156" spans="1:31">
      <c r="A156" t="s">
        <v>586</v>
      </c>
      <c r="B156" s="3">
        <v>45334</v>
      </c>
      <c r="C156" s="3">
        <v>45598</v>
      </c>
      <c r="D156" t="s">
        <v>467</v>
      </c>
      <c r="E156" t="s">
        <v>124</v>
      </c>
      <c r="F156" t="s">
        <v>34</v>
      </c>
      <c r="G156" t="s">
        <v>64</v>
      </c>
      <c r="H156" t="s">
        <v>259</v>
      </c>
      <c r="I156" t="s">
        <v>260</v>
      </c>
      <c r="J156" t="s">
        <v>51</v>
      </c>
      <c r="K156" t="s">
        <v>168</v>
      </c>
      <c r="L156" t="s">
        <v>587</v>
      </c>
      <c r="M156" t="s">
        <v>54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42</v>
      </c>
      <c r="U156" t="s">
        <v>43</v>
      </c>
      <c r="V156" t="str">
        <f t="shared" si="20"/>
        <v/>
      </c>
      <c r="W156" t="str">
        <f t="shared" si="21"/>
        <v/>
      </c>
      <c r="X156">
        <f t="shared" si="22"/>
        <v>0.3698572418644821</v>
      </c>
      <c r="Y156">
        <f t="shared" si="23"/>
        <v>2209.252</v>
      </c>
      <c r="Z156">
        <f t="shared" si="24"/>
        <v>685.47199999999998</v>
      </c>
      <c r="AA156">
        <f t="shared" si="25"/>
        <v>0.31027334138432372</v>
      </c>
      <c r="AB156">
        <f t="shared" si="26"/>
        <v>264</v>
      </c>
      <c r="AC156" t="str">
        <f t="shared" si="27"/>
        <v>February</v>
      </c>
      <c r="AD156">
        <f t="shared" si="28"/>
        <v>2024</v>
      </c>
      <c r="AE156" t="str">
        <f t="shared" si="29"/>
        <v>CLEAN</v>
      </c>
    </row>
    <row r="157" spans="1:31">
      <c r="A157" t="s">
        <v>588</v>
      </c>
      <c r="B157" s="3">
        <v>45683</v>
      </c>
      <c r="C157" s="3">
        <v>45691</v>
      </c>
      <c r="D157" t="s">
        <v>589</v>
      </c>
      <c r="E157" t="s">
        <v>33</v>
      </c>
      <c r="F157" t="s">
        <v>100</v>
      </c>
      <c r="G157" t="s">
        <v>73</v>
      </c>
      <c r="H157" t="s">
        <v>36</v>
      </c>
      <c r="I157" t="s">
        <v>119</v>
      </c>
      <c r="J157" t="s">
        <v>51</v>
      </c>
      <c r="K157" t="s">
        <v>67</v>
      </c>
      <c r="L157" t="s">
        <v>590</v>
      </c>
      <c r="M157" t="s">
        <v>54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112</v>
      </c>
      <c r="U157" t="s">
        <v>113</v>
      </c>
      <c r="V157" t="str">
        <f t="shared" si="20"/>
        <v/>
      </c>
      <c r="W157" t="str">
        <f t="shared" si="21"/>
        <v/>
      </c>
      <c r="X157">
        <f t="shared" si="22"/>
        <v>-0.10880696539805437</v>
      </c>
      <c r="Y157">
        <f t="shared" si="23"/>
        <v>7720.1640000000007</v>
      </c>
      <c r="Z157">
        <f t="shared" si="24"/>
        <v>1839.1640000000007</v>
      </c>
      <c r="AA157">
        <f t="shared" si="25"/>
        <v>0.23822861794127695</v>
      </c>
      <c r="AB157">
        <f t="shared" si="26"/>
        <v>8</v>
      </c>
      <c r="AC157" t="str">
        <f t="shared" si="27"/>
        <v>January</v>
      </c>
      <c r="AD157">
        <f t="shared" si="28"/>
        <v>2025</v>
      </c>
      <c r="AE157" t="str">
        <f t="shared" si="29"/>
        <v>CLEAN</v>
      </c>
    </row>
    <row r="158" spans="1:31">
      <c r="A158" t="s">
        <v>591</v>
      </c>
      <c r="B158" s="3">
        <v>45743</v>
      </c>
      <c r="C158" s="3">
        <v>45743</v>
      </c>
      <c r="D158" t="s">
        <v>592</v>
      </c>
      <c r="E158" t="s">
        <v>81</v>
      </c>
      <c r="F158" t="s">
        <v>47</v>
      </c>
      <c r="G158" t="s">
        <v>48</v>
      </c>
      <c r="H158" t="s">
        <v>155</v>
      </c>
      <c r="I158" t="s">
        <v>156</v>
      </c>
      <c r="J158" t="s">
        <v>84</v>
      </c>
      <c r="K158" t="s">
        <v>286</v>
      </c>
      <c r="L158" t="s">
        <v>593</v>
      </c>
      <c r="M158" t="s">
        <v>41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42</v>
      </c>
      <c r="U158" t="s">
        <v>43</v>
      </c>
      <c r="V158" t="str">
        <f t="shared" si="20"/>
        <v/>
      </c>
      <c r="W158" t="str">
        <f t="shared" si="21"/>
        <v/>
      </c>
      <c r="X158">
        <f t="shared" si="22"/>
        <v>1.3271856563895552</v>
      </c>
      <c r="Y158">
        <f t="shared" si="23"/>
        <v>12103.192500000001</v>
      </c>
      <c r="Z158">
        <f t="shared" si="24"/>
        <v>5385.3225000000011</v>
      </c>
      <c r="AA158">
        <f t="shared" si="25"/>
        <v>0.44495057812225997</v>
      </c>
      <c r="AB158">
        <f t="shared" si="26"/>
        <v>0</v>
      </c>
      <c r="AC158" t="str">
        <f t="shared" si="27"/>
        <v>March</v>
      </c>
      <c r="AD158">
        <f t="shared" si="28"/>
        <v>2025</v>
      </c>
      <c r="AE158" t="str">
        <f t="shared" si="29"/>
        <v>CLEAN</v>
      </c>
    </row>
    <row r="159" spans="1:31">
      <c r="A159" t="s">
        <v>594</v>
      </c>
      <c r="B159" s="3">
        <v>45587</v>
      </c>
      <c r="C159" s="3">
        <v>45589</v>
      </c>
      <c r="D159" t="s">
        <v>595</v>
      </c>
      <c r="E159" t="s">
        <v>151</v>
      </c>
      <c r="F159" t="s">
        <v>47</v>
      </c>
      <c r="G159" t="s">
        <v>64</v>
      </c>
      <c r="H159" t="s">
        <v>94</v>
      </c>
      <c r="I159" t="s">
        <v>95</v>
      </c>
      <c r="J159" t="s">
        <v>51</v>
      </c>
      <c r="K159" t="s">
        <v>168</v>
      </c>
      <c r="L159" t="s">
        <v>596</v>
      </c>
      <c r="M159" t="s">
        <v>69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42</v>
      </c>
      <c r="U159" t="s">
        <v>43</v>
      </c>
      <c r="V159" t="str">
        <f t="shared" si="20"/>
        <v/>
      </c>
      <c r="W159" t="str">
        <f t="shared" si="21"/>
        <v/>
      </c>
      <c r="X159">
        <f t="shared" si="22"/>
        <v>0.3698572418644821</v>
      </c>
      <c r="Y159">
        <f t="shared" si="23"/>
        <v>2335.3919999999998</v>
      </c>
      <c r="Z159">
        <f t="shared" si="24"/>
        <v>869.24199999999973</v>
      </c>
      <c r="AA159">
        <f t="shared" si="25"/>
        <v>0.3722038955344541</v>
      </c>
      <c r="AB159">
        <f t="shared" si="26"/>
        <v>2</v>
      </c>
      <c r="AC159" t="str">
        <f t="shared" si="27"/>
        <v>October</v>
      </c>
      <c r="AD159">
        <f t="shared" si="28"/>
        <v>2024</v>
      </c>
      <c r="AE159" t="str">
        <f t="shared" si="29"/>
        <v>CLEAN</v>
      </c>
    </row>
    <row r="160" spans="1:31">
      <c r="A160" t="s">
        <v>597</v>
      </c>
      <c r="B160" s="3">
        <v>45544</v>
      </c>
      <c r="C160" s="3">
        <v>45605</v>
      </c>
      <c r="D160" t="s">
        <v>598</v>
      </c>
      <c r="E160" t="s">
        <v>89</v>
      </c>
      <c r="F160" t="s">
        <v>105</v>
      </c>
      <c r="G160" t="s">
        <v>64</v>
      </c>
      <c r="H160" t="s">
        <v>65</v>
      </c>
      <c r="I160" t="s">
        <v>66</v>
      </c>
      <c r="J160" t="s">
        <v>51</v>
      </c>
      <c r="K160" t="s">
        <v>168</v>
      </c>
      <c r="L160" t="s">
        <v>599</v>
      </c>
      <c r="M160" t="s">
        <v>60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42</v>
      </c>
      <c r="U160" t="s">
        <v>43</v>
      </c>
      <c r="V160" t="str">
        <f t="shared" si="20"/>
        <v/>
      </c>
      <c r="W160" t="str">
        <f t="shared" si="21"/>
        <v/>
      </c>
      <c r="X160">
        <f t="shared" si="22"/>
        <v>-0.58747117266059101</v>
      </c>
      <c r="Y160">
        <f t="shared" si="23"/>
        <v>3989.5629999999996</v>
      </c>
      <c r="Z160">
        <f t="shared" si="24"/>
        <v>1608.1829999999995</v>
      </c>
      <c r="AA160">
        <f t="shared" si="25"/>
        <v>0.40309753223598666</v>
      </c>
      <c r="AB160">
        <f t="shared" si="26"/>
        <v>61</v>
      </c>
      <c r="AC160" t="str">
        <f t="shared" si="27"/>
        <v>September</v>
      </c>
      <c r="AD160">
        <f t="shared" si="28"/>
        <v>2024</v>
      </c>
      <c r="AE160" t="str">
        <f t="shared" si="29"/>
        <v>CLEAN</v>
      </c>
    </row>
    <row r="161" spans="1:31">
      <c r="A161" t="s">
        <v>600</v>
      </c>
      <c r="B161" s="3">
        <v>45687</v>
      </c>
      <c r="C161" s="3">
        <v>45692</v>
      </c>
      <c r="D161" t="s">
        <v>601</v>
      </c>
      <c r="E161" t="s">
        <v>124</v>
      </c>
      <c r="F161" t="s">
        <v>100</v>
      </c>
      <c r="G161" t="s">
        <v>35</v>
      </c>
      <c r="H161" t="s">
        <v>248</v>
      </c>
      <c r="I161" t="s">
        <v>249</v>
      </c>
      <c r="J161" t="s">
        <v>51</v>
      </c>
      <c r="K161" t="s">
        <v>76</v>
      </c>
      <c r="L161" t="s">
        <v>602</v>
      </c>
      <c r="M161" t="s">
        <v>54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121</v>
      </c>
      <c r="U161" t="s">
        <v>78</v>
      </c>
      <c r="V161" t="str">
        <f t="shared" si="20"/>
        <v/>
      </c>
      <c r="W161" t="str">
        <f t="shared" si="21"/>
        <v/>
      </c>
      <c r="X161">
        <f t="shared" si="22"/>
        <v>0.3698572418644821</v>
      </c>
      <c r="Y161">
        <f t="shared" si="23"/>
        <v>33893.324999999997</v>
      </c>
      <c r="Z161">
        <f t="shared" si="24"/>
        <v>8142.9749999999985</v>
      </c>
      <c r="AA161">
        <f t="shared" si="25"/>
        <v>0.24025305867748292</v>
      </c>
      <c r="AB161">
        <f t="shared" si="26"/>
        <v>5</v>
      </c>
      <c r="AC161" t="str">
        <f t="shared" si="27"/>
        <v>January</v>
      </c>
      <c r="AD161">
        <f t="shared" si="28"/>
        <v>2025</v>
      </c>
      <c r="AE161" t="str">
        <f t="shared" si="29"/>
        <v>WARNING</v>
      </c>
    </row>
    <row r="162" spans="1:31">
      <c r="A162" t="s">
        <v>603</v>
      </c>
      <c r="B162" s="3">
        <v>45938</v>
      </c>
      <c r="C162" s="3">
        <v>45818</v>
      </c>
      <c r="D162" t="s">
        <v>604</v>
      </c>
      <c r="E162" t="s">
        <v>81</v>
      </c>
      <c r="F162" t="s">
        <v>47</v>
      </c>
      <c r="G162" t="s">
        <v>73</v>
      </c>
      <c r="H162" t="s">
        <v>74</v>
      </c>
      <c r="I162" t="s">
        <v>75</v>
      </c>
      <c r="J162" t="s">
        <v>38</v>
      </c>
      <c r="K162" t="s">
        <v>39</v>
      </c>
      <c r="L162" t="s">
        <v>605</v>
      </c>
      <c r="M162" t="s">
        <v>41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121</v>
      </c>
      <c r="U162" t="s">
        <v>78</v>
      </c>
      <c r="V162" t="str">
        <f t="shared" si="20"/>
        <v/>
      </c>
      <c r="W162" t="str">
        <f t="shared" si="21"/>
        <v>Invalid Shipping Record</v>
      </c>
      <c r="X162">
        <f t="shared" si="22"/>
        <v>-0.58747117266059101</v>
      </c>
      <c r="Y162">
        <f t="shared" si="23"/>
        <v>4789.5960000000005</v>
      </c>
      <c r="Z162">
        <f t="shared" si="24"/>
        <v>751.95600000000059</v>
      </c>
      <c r="AA162">
        <f t="shared" si="25"/>
        <v>0.1569977927157114</v>
      </c>
      <c r="AB162" t="e">
        <f t="shared" si="26"/>
        <v>#NUM!</v>
      </c>
      <c r="AC162" t="str">
        <f t="shared" si="27"/>
        <v>October</v>
      </c>
      <c r="AD162">
        <f t="shared" si="28"/>
        <v>2025</v>
      </c>
      <c r="AE162" t="str">
        <f t="shared" si="29"/>
        <v>INVALID</v>
      </c>
    </row>
    <row r="163" spans="1:31">
      <c r="A163" t="s">
        <v>606</v>
      </c>
      <c r="B163" s="3">
        <v>45862</v>
      </c>
      <c r="C163" s="3">
        <v>45868</v>
      </c>
      <c r="D163" t="s">
        <v>607</v>
      </c>
      <c r="E163" t="s">
        <v>63</v>
      </c>
      <c r="F163" t="s">
        <v>608</v>
      </c>
      <c r="G163" t="s">
        <v>73</v>
      </c>
      <c r="H163" t="s">
        <v>36</v>
      </c>
      <c r="I163" t="s">
        <v>119</v>
      </c>
      <c r="J163" t="s">
        <v>38</v>
      </c>
      <c r="K163" t="s">
        <v>163</v>
      </c>
      <c r="L163" t="s">
        <v>609</v>
      </c>
      <c r="M163" t="s">
        <v>69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121</v>
      </c>
      <c r="U163" t="s">
        <v>78</v>
      </c>
      <c r="V163" t="str">
        <f t="shared" si="20"/>
        <v/>
      </c>
      <c r="W163" t="str">
        <f t="shared" si="21"/>
        <v/>
      </c>
      <c r="X163">
        <f t="shared" si="22"/>
        <v>-1.0661353799231277</v>
      </c>
      <c r="Y163">
        <f t="shared" si="23"/>
        <v>1643.41</v>
      </c>
      <c r="Z163">
        <f t="shared" si="24"/>
        <v>736.0100000000001</v>
      </c>
      <c r="AA163">
        <f t="shared" si="25"/>
        <v>0.44785537388722235</v>
      </c>
      <c r="AB163">
        <f t="shared" si="26"/>
        <v>6</v>
      </c>
      <c r="AC163" t="str">
        <f t="shared" si="27"/>
        <v>July</v>
      </c>
      <c r="AD163">
        <f t="shared" si="28"/>
        <v>2025</v>
      </c>
      <c r="AE163" t="str">
        <f t="shared" si="29"/>
        <v>WARNING</v>
      </c>
    </row>
    <row r="164" spans="1:31">
      <c r="A164" t="s">
        <v>610</v>
      </c>
      <c r="B164" s="3">
        <v>45360</v>
      </c>
      <c r="C164" s="3">
        <v>45365</v>
      </c>
      <c r="D164" t="s">
        <v>611</v>
      </c>
      <c r="E164" t="s">
        <v>89</v>
      </c>
      <c r="F164" t="s">
        <v>47</v>
      </c>
      <c r="G164" t="s">
        <v>73</v>
      </c>
      <c r="H164" t="s">
        <v>200</v>
      </c>
      <c r="I164" t="s">
        <v>201</v>
      </c>
      <c r="J164" t="s">
        <v>51</v>
      </c>
      <c r="K164" t="s">
        <v>67</v>
      </c>
      <c r="L164" t="s">
        <v>612</v>
      </c>
      <c r="M164" t="s">
        <v>41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121</v>
      </c>
      <c r="U164" t="s">
        <v>113</v>
      </c>
      <c r="V164" t="str">
        <f t="shared" si="20"/>
        <v/>
      </c>
      <c r="W164" t="str">
        <f t="shared" si="21"/>
        <v/>
      </c>
      <c r="X164">
        <f t="shared" si="22"/>
        <v>-1.0661353799231277</v>
      </c>
      <c r="Y164">
        <f t="shared" si="23"/>
        <v>35782.720000000001</v>
      </c>
      <c r="Z164">
        <f t="shared" si="24"/>
        <v>9358.3100000000013</v>
      </c>
      <c r="AA164">
        <f t="shared" si="25"/>
        <v>0.2615315437171909</v>
      </c>
      <c r="AB164">
        <f t="shared" si="26"/>
        <v>5</v>
      </c>
      <c r="AC164" t="str">
        <f t="shared" si="27"/>
        <v>March</v>
      </c>
      <c r="AD164">
        <f t="shared" si="28"/>
        <v>2024</v>
      </c>
      <c r="AE164" t="str">
        <f t="shared" si="29"/>
        <v>CLEAN</v>
      </c>
    </row>
    <row r="165" spans="1:31">
      <c r="A165" t="s">
        <v>613</v>
      </c>
      <c r="B165" s="3">
        <v>45921</v>
      </c>
      <c r="C165" s="3">
        <v>45926</v>
      </c>
      <c r="D165" t="s">
        <v>614</v>
      </c>
      <c r="E165" t="s">
        <v>151</v>
      </c>
      <c r="F165" t="s">
        <v>105</v>
      </c>
      <c r="G165" t="s">
        <v>73</v>
      </c>
      <c r="H165" t="s">
        <v>190</v>
      </c>
      <c r="I165" t="s">
        <v>191</v>
      </c>
      <c r="J165" t="s">
        <v>51</v>
      </c>
      <c r="K165" t="s">
        <v>52</v>
      </c>
      <c r="L165" t="s">
        <v>615</v>
      </c>
      <c r="M165" t="s">
        <v>215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121</v>
      </c>
      <c r="U165" t="s">
        <v>113</v>
      </c>
      <c r="V165" t="str">
        <f t="shared" si="20"/>
        <v/>
      </c>
      <c r="W165" t="str">
        <f t="shared" si="21"/>
        <v/>
      </c>
      <c r="X165">
        <f t="shared" si="22"/>
        <v>-0.10880696539805437</v>
      </c>
      <c r="Y165">
        <f t="shared" si="23"/>
        <v>15679.332</v>
      </c>
      <c r="Z165">
        <f t="shared" si="24"/>
        <v>3201.5120000000006</v>
      </c>
      <c r="AA165">
        <f t="shared" si="25"/>
        <v>0.20418675999717339</v>
      </c>
      <c r="AB165">
        <f t="shared" si="26"/>
        <v>5</v>
      </c>
      <c r="AC165" t="str">
        <f t="shared" si="27"/>
        <v>September</v>
      </c>
      <c r="AD165">
        <f t="shared" si="28"/>
        <v>2025</v>
      </c>
      <c r="AE165" t="str">
        <f t="shared" si="29"/>
        <v>CLEAN</v>
      </c>
    </row>
    <row r="166" spans="1:31">
      <c r="A166" t="s">
        <v>616</v>
      </c>
      <c r="B166" s="3">
        <v>45909</v>
      </c>
      <c r="C166" s="3">
        <v>45914</v>
      </c>
      <c r="D166" t="s">
        <v>617</v>
      </c>
      <c r="E166" t="s">
        <v>128</v>
      </c>
      <c r="F166" t="s">
        <v>47</v>
      </c>
      <c r="G166" t="s">
        <v>48</v>
      </c>
      <c r="H166" t="s">
        <v>109</v>
      </c>
      <c r="I166" t="s">
        <v>110</v>
      </c>
      <c r="J166" t="s">
        <v>51</v>
      </c>
      <c r="K166" t="s">
        <v>168</v>
      </c>
      <c r="L166" t="s">
        <v>618</v>
      </c>
      <c r="M166" t="s">
        <v>41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42</v>
      </c>
      <c r="U166" t="s">
        <v>43</v>
      </c>
      <c r="V166" t="str">
        <f t="shared" si="20"/>
        <v/>
      </c>
      <c r="W166" t="str">
        <f t="shared" si="21"/>
        <v/>
      </c>
      <c r="X166">
        <f t="shared" si="22"/>
        <v>1.3271856563895552</v>
      </c>
      <c r="Y166">
        <f t="shared" si="23"/>
        <v>2365.8150000000001</v>
      </c>
      <c r="Z166">
        <f t="shared" si="24"/>
        <v>817.82500000000005</v>
      </c>
      <c r="AA166">
        <f t="shared" si="25"/>
        <v>0.34568425679945392</v>
      </c>
      <c r="AB166">
        <f t="shared" si="26"/>
        <v>5</v>
      </c>
      <c r="AC166" t="str">
        <f t="shared" si="27"/>
        <v>September</v>
      </c>
      <c r="AD166">
        <f t="shared" si="28"/>
        <v>2025</v>
      </c>
      <c r="AE166" t="str">
        <f t="shared" si="29"/>
        <v>CLEAN</v>
      </c>
    </row>
    <row r="167" spans="1:31">
      <c r="A167" t="s">
        <v>619</v>
      </c>
      <c r="B167" s="3">
        <v>45618</v>
      </c>
      <c r="C167" s="3">
        <v>45625</v>
      </c>
      <c r="D167" t="s">
        <v>620</v>
      </c>
      <c r="E167" t="s">
        <v>46</v>
      </c>
      <c r="F167" t="s">
        <v>105</v>
      </c>
      <c r="G167" t="s">
        <v>48</v>
      </c>
      <c r="H167" t="s">
        <v>155</v>
      </c>
      <c r="I167" t="s">
        <v>156</v>
      </c>
      <c r="J167" t="s">
        <v>51</v>
      </c>
      <c r="K167" t="s">
        <v>76</v>
      </c>
      <c r="L167" t="s">
        <v>621</v>
      </c>
      <c r="M167" t="s">
        <v>69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42</v>
      </c>
      <c r="U167" t="s">
        <v>43</v>
      </c>
      <c r="V167" t="str">
        <f t="shared" si="20"/>
        <v/>
      </c>
      <c r="W167" t="str">
        <f t="shared" si="21"/>
        <v/>
      </c>
      <c r="X167">
        <f t="shared" si="22"/>
        <v>1.3271856563895552</v>
      </c>
      <c r="Y167">
        <f t="shared" si="23"/>
        <v>10268.969999999999</v>
      </c>
      <c r="Z167">
        <f t="shared" si="24"/>
        <v>3798.0499999999993</v>
      </c>
      <c r="AA167">
        <f t="shared" si="25"/>
        <v>0.36985695741637181</v>
      </c>
      <c r="AB167">
        <f t="shared" si="26"/>
        <v>7</v>
      </c>
      <c r="AC167" t="str">
        <f t="shared" si="27"/>
        <v>November</v>
      </c>
      <c r="AD167">
        <f t="shared" si="28"/>
        <v>2024</v>
      </c>
      <c r="AE167" t="str">
        <f t="shared" si="29"/>
        <v>CLEAN</v>
      </c>
    </row>
    <row r="168" spans="1:31">
      <c r="A168" t="s">
        <v>622</v>
      </c>
      <c r="B168" s="3">
        <v>45708</v>
      </c>
      <c r="C168" s="3">
        <v>45714</v>
      </c>
      <c r="D168" t="s">
        <v>623</v>
      </c>
      <c r="E168" t="s">
        <v>33</v>
      </c>
      <c r="F168" t="s">
        <v>47</v>
      </c>
      <c r="G168" t="s">
        <v>73</v>
      </c>
      <c r="H168" t="s">
        <v>190</v>
      </c>
      <c r="I168" t="s">
        <v>191</v>
      </c>
      <c r="J168" t="s">
        <v>624</v>
      </c>
      <c r="K168" t="s">
        <v>101</v>
      </c>
      <c r="L168" t="s">
        <v>625</v>
      </c>
      <c r="M168" t="s">
        <v>60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42</v>
      </c>
      <c r="U168" t="s">
        <v>43</v>
      </c>
      <c r="V168" t="str">
        <f t="shared" si="20"/>
        <v/>
      </c>
      <c r="W168" t="str">
        <f t="shared" si="21"/>
        <v/>
      </c>
      <c r="X168">
        <f t="shared" si="22"/>
        <v>0.84852144912701888</v>
      </c>
      <c r="Y168">
        <f t="shared" si="23"/>
        <v>2046.28</v>
      </c>
      <c r="Z168">
        <f t="shared" si="24"/>
        <v>596.74</v>
      </c>
      <c r="AA168">
        <f t="shared" si="25"/>
        <v>0.29162186992982386</v>
      </c>
      <c r="AB168">
        <f t="shared" si="26"/>
        <v>6</v>
      </c>
      <c r="AC168" t="str">
        <f t="shared" si="27"/>
        <v>February</v>
      </c>
      <c r="AD168">
        <f t="shared" si="28"/>
        <v>2025</v>
      </c>
      <c r="AE168" t="str">
        <f t="shared" si="29"/>
        <v>CLEAN</v>
      </c>
    </row>
    <row r="169" spans="1:31">
      <c r="A169" t="s">
        <v>626</v>
      </c>
      <c r="B169" s="3">
        <v>45887</v>
      </c>
      <c r="C169" s="3">
        <v>45887</v>
      </c>
      <c r="D169" t="s">
        <v>627</v>
      </c>
      <c r="E169" t="s">
        <v>63</v>
      </c>
      <c r="F169" t="s">
        <v>105</v>
      </c>
      <c r="G169" t="s">
        <v>64</v>
      </c>
      <c r="H169" t="s">
        <v>185</v>
      </c>
      <c r="I169" t="s">
        <v>186</v>
      </c>
      <c r="J169" t="s">
        <v>38</v>
      </c>
      <c r="K169" t="s">
        <v>134</v>
      </c>
      <c r="L169" t="s">
        <v>628</v>
      </c>
      <c r="M169" t="s">
        <v>60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42</v>
      </c>
      <c r="U169" t="s">
        <v>113</v>
      </c>
      <c r="V169" t="str">
        <f t="shared" si="20"/>
        <v/>
      </c>
      <c r="W169" t="str">
        <f t="shared" si="21"/>
        <v/>
      </c>
      <c r="X169">
        <f t="shared" si="22"/>
        <v>0.3698572418644821</v>
      </c>
      <c r="Y169">
        <f t="shared" si="23"/>
        <v>23186.6145</v>
      </c>
      <c r="Z169">
        <f t="shared" si="24"/>
        <v>5280.0744999999988</v>
      </c>
      <c r="AA169">
        <f t="shared" si="25"/>
        <v>0.22772080417345961</v>
      </c>
      <c r="AB169">
        <f t="shared" si="26"/>
        <v>0</v>
      </c>
      <c r="AC169" t="str">
        <f t="shared" si="27"/>
        <v>August</v>
      </c>
      <c r="AD169">
        <f t="shared" si="28"/>
        <v>2025</v>
      </c>
      <c r="AE169" t="str">
        <f t="shared" si="29"/>
        <v>CLEAN</v>
      </c>
    </row>
    <row r="170" spans="1:31">
      <c r="A170" t="s">
        <v>629</v>
      </c>
      <c r="B170" s="3">
        <v>45677</v>
      </c>
      <c r="C170" s="3">
        <v>45680</v>
      </c>
      <c r="D170" t="s">
        <v>630</v>
      </c>
      <c r="E170" t="s">
        <v>276</v>
      </c>
      <c r="F170" t="s">
        <v>34</v>
      </c>
      <c r="G170" t="s">
        <v>73</v>
      </c>
      <c r="H170" t="s">
        <v>74</v>
      </c>
      <c r="I170" t="s">
        <v>75</v>
      </c>
      <c r="J170" t="s">
        <v>84</v>
      </c>
      <c r="K170" t="s">
        <v>85</v>
      </c>
      <c r="L170" t="s">
        <v>631</v>
      </c>
      <c r="M170" t="s">
        <v>54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42</v>
      </c>
      <c r="U170" t="s">
        <v>78</v>
      </c>
      <c r="V170" t="str">
        <f t="shared" si="20"/>
        <v/>
      </c>
      <c r="W170" t="str">
        <f t="shared" si="21"/>
        <v/>
      </c>
      <c r="X170">
        <f t="shared" si="22"/>
        <v>0.84852144912701888</v>
      </c>
      <c r="Y170">
        <f t="shared" si="23"/>
        <v>2557.08</v>
      </c>
      <c r="Z170">
        <f t="shared" si="24"/>
        <v>531.38999999999987</v>
      </c>
      <c r="AA170">
        <f t="shared" si="25"/>
        <v>0.2078112534609789</v>
      </c>
      <c r="AB170">
        <f t="shared" si="26"/>
        <v>3</v>
      </c>
      <c r="AC170" t="str">
        <f t="shared" si="27"/>
        <v>January</v>
      </c>
      <c r="AD170">
        <f t="shared" si="28"/>
        <v>2025</v>
      </c>
      <c r="AE170" t="str">
        <f t="shared" si="29"/>
        <v>WARNING</v>
      </c>
    </row>
    <row r="171" spans="1:31">
      <c r="A171" t="s">
        <v>632</v>
      </c>
      <c r="B171" s="3">
        <v>45913</v>
      </c>
      <c r="C171" s="3">
        <v>45913</v>
      </c>
      <c r="D171" t="s">
        <v>633</v>
      </c>
      <c r="E171" t="s">
        <v>172</v>
      </c>
      <c r="F171" t="s">
        <v>34</v>
      </c>
      <c r="G171" t="s">
        <v>48</v>
      </c>
      <c r="H171" t="s">
        <v>176</v>
      </c>
      <c r="I171" t="s">
        <v>177</v>
      </c>
      <c r="J171" t="s">
        <v>38</v>
      </c>
      <c r="K171" t="s">
        <v>58</v>
      </c>
      <c r="L171" t="s">
        <v>634</v>
      </c>
      <c r="M171" t="s">
        <v>69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121</v>
      </c>
      <c r="U171" t="s">
        <v>113</v>
      </c>
      <c r="V171" t="str">
        <f t="shared" si="20"/>
        <v/>
      </c>
      <c r="W171" t="str">
        <f t="shared" si="21"/>
        <v/>
      </c>
      <c r="X171">
        <f t="shared" si="22"/>
        <v>-0.58747117266059101</v>
      </c>
      <c r="Y171">
        <f t="shared" si="23"/>
        <v>5577.6399999999994</v>
      </c>
      <c r="Z171">
        <f t="shared" si="24"/>
        <v>2036.3499999999995</v>
      </c>
      <c r="AA171">
        <f t="shared" si="25"/>
        <v>0.36509168752375548</v>
      </c>
      <c r="AB171">
        <f t="shared" si="26"/>
        <v>0</v>
      </c>
      <c r="AC171" t="str">
        <f t="shared" si="27"/>
        <v>September</v>
      </c>
      <c r="AD171">
        <f t="shared" si="28"/>
        <v>2025</v>
      </c>
      <c r="AE171" t="str">
        <f t="shared" si="29"/>
        <v>CLEAN</v>
      </c>
    </row>
    <row r="172" spans="1:31">
      <c r="A172" t="s">
        <v>635</v>
      </c>
      <c r="B172" s="3">
        <v>45907</v>
      </c>
      <c r="C172" s="3">
        <v>45915</v>
      </c>
      <c r="D172" t="s">
        <v>636</v>
      </c>
      <c r="E172" t="s">
        <v>151</v>
      </c>
      <c r="F172" t="s">
        <v>100</v>
      </c>
      <c r="G172" t="s">
        <v>48</v>
      </c>
      <c r="H172" t="s">
        <v>155</v>
      </c>
      <c r="I172" t="s">
        <v>156</v>
      </c>
      <c r="J172" t="s">
        <v>84</v>
      </c>
      <c r="K172" t="s">
        <v>90</v>
      </c>
      <c r="L172" t="s">
        <v>637</v>
      </c>
      <c r="M172" t="s">
        <v>69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42</v>
      </c>
      <c r="U172" t="s">
        <v>43</v>
      </c>
      <c r="V172" t="str">
        <f t="shared" si="20"/>
        <v/>
      </c>
      <c r="W172" t="str">
        <f t="shared" si="21"/>
        <v/>
      </c>
      <c r="X172">
        <f t="shared" si="22"/>
        <v>-1.0661353799231277</v>
      </c>
      <c r="Y172">
        <f t="shared" si="23"/>
        <v>5133.96</v>
      </c>
      <c r="Z172">
        <f t="shared" si="24"/>
        <v>1203.96</v>
      </c>
      <c r="AA172">
        <f t="shared" si="25"/>
        <v>0.23450903396208775</v>
      </c>
      <c r="AB172">
        <f t="shared" si="26"/>
        <v>8</v>
      </c>
      <c r="AC172" t="str">
        <f t="shared" si="27"/>
        <v>September</v>
      </c>
      <c r="AD172">
        <f t="shared" si="28"/>
        <v>2025</v>
      </c>
      <c r="AE172" t="str">
        <f t="shared" si="29"/>
        <v>CLEAN</v>
      </c>
    </row>
    <row r="173" spans="1:31">
      <c r="A173" t="s">
        <v>638</v>
      </c>
      <c r="B173" s="3">
        <v>45711</v>
      </c>
      <c r="C173" s="3">
        <v>45713</v>
      </c>
      <c r="D173" t="s">
        <v>639</v>
      </c>
      <c r="E173" t="s">
        <v>33</v>
      </c>
      <c r="F173" t="s">
        <v>100</v>
      </c>
      <c r="G173" t="s">
        <v>48</v>
      </c>
      <c r="H173" t="s">
        <v>155</v>
      </c>
      <c r="I173" t="s">
        <v>156</v>
      </c>
      <c r="J173" t="s">
        <v>38</v>
      </c>
      <c r="K173" t="s">
        <v>101</v>
      </c>
      <c r="L173" t="s">
        <v>640</v>
      </c>
      <c r="M173" t="s">
        <v>54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42</v>
      </c>
      <c r="U173" t="s">
        <v>43</v>
      </c>
      <c r="V173" t="str">
        <f t="shared" si="20"/>
        <v/>
      </c>
      <c r="W173" t="str">
        <f t="shared" si="21"/>
        <v/>
      </c>
      <c r="X173">
        <f t="shared" si="22"/>
        <v>1.3271856563895552</v>
      </c>
      <c r="Y173">
        <f t="shared" si="23"/>
        <v>15923.512500000001</v>
      </c>
      <c r="Z173">
        <f t="shared" si="24"/>
        <v>4631.7125000000015</v>
      </c>
      <c r="AA173">
        <f t="shared" si="25"/>
        <v>0.29087253832971849</v>
      </c>
      <c r="AB173">
        <f t="shared" si="26"/>
        <v>2</v>
      </c>
      <c r="AC173" t="str">
        <f t="shared" si="27"/>
        <v>February</v>
      </c>
      <c r="AD173">
        <f t="shared" si="28"/>
        <v>2025</v>
      </c>
      <c r="AE173" t="str">
        <f t="shared" si="29"/>
        <v>CLEAN</v>
      </c>
    </row>
    <row r="174" spans="1:31">
      <c r="A174" t="s">
        <v>641</v>
      </c>
      <c r="B174" s="3">
        <v>45871</v>
      </c>
      <c r="C174" s="3">
        <v>45879</v>
      </c>
      <c r="D174" t="s">
        <v>642</v>
      </c>
      <c r="E174" t="s">
        <v>33</v>
      </c>
      <c r="F174" t="s">
        <v>100</v>
      </c>
      <c r="G174" t="s">
        <v>35</v>
      </c>
      <c r="H174" t="s">
        <v>362</v>
      </c>
      <c r="I174" t="s">
        <v>363</v>
      </c>
      <c r="J174" t="s">
        <v>51</v>
      </c>
      <c r="K174" t="s">
        <v>67</v>
      </c>
      <c r="L174" t="s">
        <v>643</v>
      </c>
      <c r="M174" t="s">
        <v>54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112</v>
      </c>
      <c r="U174" t="s">
        <v>113</v>
      </c>
      <c r="V174" t="str">
        <f t="shared" si="20"/>
        <v/>
      </c>
      <c r="W174" t="str">
        <f t="shared" si="21"/>
        <v/>
      </c>
      <c r="X174">
        <f t="shared" si="22"/>
        <v>-0.10880696539805437</v>
      </c>
      <c r="Y174">
        <f t="shared" si="23"/>
        <v>23997.221999999998</v>
      </c>
      <c r="Z174">
        <f t="shared" si="24"/>
        <v>7862.5919999999987</v>
      </c>
      <c r="AA174">
        <f t="shared" si="25"/>
        <v>0.32764592501582057</v>
      </c>
      <c r="AB174">
        <f t="shared" si="26"/>
        <v>8</v>
      </c>
      <c r="AC174" t="str">
        <f t="shared" si="27"/>
        <v>August</v>
      </c>
      <c r="AD174">
        <f t="shared" si="28"/>
        <v>2025</v>
      </c>
      <c r="AE174" t="str">
        <f t="shared" si="29"/>
        <v>CLEAN</v>
      </c>
    </row>
    <row r="175" spans="1:31">
      <c r="A175" t="s">
        <v>644</v>
      </c>
      <c r="B175" s="3">
        <v>45414</v>
      </c>
      <c r="C175" s="3">
        <v>45420</v>
      </c>
      <c r="D175" t="s">
        <v>645</v>
      </c>
      <c r="E175" t="s">
        <v>646</v>
      </c>
      <c r="F175" t="s">
        <v>105</v>
      </c>
      <c r="G175" t="s">
        <v>35</v>
      </c>
      <c r="H175" t="s">
        <v>132</v>
      </c>
      <c r="I175" t="s">
        <v>133</v>
      </c>
      <c r="J175" t="s">
        <v>84</v>
      </c>
      <c r="K175" t="s">
        <v>90</v>
      </c>
      <c r="L175" t="s">
        <v>647</v>
      </c>
      <c r="M175" t="s">
        <v>41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42</v>
      </c>
      <c r="U175" t="s">
        <v>43</v>
      </c>
      <c r="V175" t="str">
        <f t="shared" si="20"/>
        <v/>
      </c>
      <c r="W175" t="str">
        <f t="shared" si="21"/>
        <v/>
      </c>
      <c r="X175">
        <f t="shared" si="22"/>
        <v>1.3271856563895552</v>
      </c>
      <c r="Y175">
        <f t="shared" si="23"/>
        <v>1734.1875</v>
      </c>
      <c r="Z175">
        <f t="shared" si="24"/>
        <v>348.11750000000006</v>
      </c>
      <c r="AA175">
        <f t="shared" si="25"/>
        <v>0.20073809781237614</v>
      </c>
      <c r="AB175">
        <f t="shared" si="26"/>
        <v>6</v>
      </c>
      <c r="AC175" t="str">
        <f t="shared" si="27"/>
        <v>May</v>
      </c>
      <c r="AD175">
        <f t="shared" si="28"/>
        <v>2024</v>
      </c>
      <c r="AE175" t="str">
        <f t="shared" si="29"/>
        <v>CLEAN</v>
      </c>
    </row>
    <row r="176" spans="1:31">
      <c r="A176" t="s">
        <v>648</v>
      </c>
      <c r="B176" s="3">
        <v>45928</v>
      </c>
      <c r="C176" s="3">
        <v>45934</v>
      </c>
      <c r="D176" t="s">
        <v>649</v>
      </c>
      <c r="E176" t="s">
        <v>33</v>
      </c>
      <c r="F176" t="s">
        <v>47</v>
      </c>
      <c r="G176" t="s">
        <v>64</v>
      </c>
      <c r="H176" t="s">
        <v>185</v>
      </c>
      <c r="I176" t="s">
        <v>186</v>
      </c>
      <c r="J176" t="s">
        <v>51</v>
      </c>
      <c r="K176" t="s">
        <v>168</v>
      </c>
      <c r="L176" t="s">
        <v>650</v>
      </c>
      <c r="M176" t="s">
        <v>60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121</v>
      </c>
      <c r="U176" t="s">
        <v>113</v>
      </c>
      <c r="V176" t="str">
        <f t="shared" si="20"/>
        <v/>
      </c>
      <c r="W176" t="str">
        <f t="shared" si="21"/>
        <v/>
      </c>
      <c r="X176">
        <f t="shared" si="22"/>
        <v>0.3698572418644821</v>
      </c>
      <c r="Y176">
        <f t="shared" si="23"/>
        <v>8264.7029999999995</v>
      </c>
      <c r="Z176">
        <f t="shared" si="24"/>
        <v>3495.9529999999995</v>
      </c>
      <c r="AA176">
        <f t="shared" si="25"/>
        <v>0.42299801940856191</v>
      </c>
      <c r="AB176">
        <f t="shared" si="26"/>
        <v>6</v>
      </c>
      <c r="AC176" t="str">
        <f t="shared" si="27"/>
        <v>September</v>
      </c>
      <c r="AD176">
        <f t="shared" si="28"/>
        <v>2025</v>
      </c>
      <c r="AE176" t="str">
        <f t="shared" si="29"/>
        <v>CLEAN</v>
      </c>
    </row>
    <row r="177" spans="1:31">
      <c r="A177" t="s">
        <v>651</v>
      </c>
      <c r="B177" s="3">
        <v>45318</v>
      </c>
      <c r="C177" s="3">
        <v>45325</v>
      </c>
      <c r="D177" t="s">
        <v>652</v>
      </c>
      <c r="E177" t="s">
        <v>63</v>
      </c>
      <c r="F177" t="s">
        <v>47</v>
      </c>
      <c r="G177" t="s">
        <v>48</v>
      </c>
      <c r="H177" t="s">
        <v>155</v>
      </c>
      <c r="I177" t="s">
        <v>156</v>
      </c>
      <c r="J177" t="s">
        <v>84</v>
      </c>
      <c r="K177" t="s">
        <v>286</v>
      </c>
      <c r="L177" t="s">
        <v>653</v>
      </c>
      <c r="M177" t="s">
        <v>54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42</v>
      </c>
      <c r="U177" t="s">
        <v>113</v>
      </c>
      <c r="V177" t="str">
        <f t="shared" si="20"/>
        <v/>
      </c>
      <c r="W177" t="str">
        <f t="shared" si="21"/>
        <v/>
      </c>
      <c r="X177">
        <f t="shared" si="22"/>
        <v>0.3698572418644821</v>
      </c>
      <c r="Y177">
        <f t="shared" si="23"/>
        <v>15906.849000000002</v>
      </c>
      <c r="Z177">
        <f t="shared" si="24"/>
        <v>4892.3890000000029</v>
      </c>
      <c r="AA177">
        <f t="shared" si="25"/>
        <v>0.30756493633654297</v>
      </c>
      <c r="AB177">
        <f t="shared" si="26"/>
        <v>7</v>
      </c>
      <c r="AC177" t="str">
        <f t="shared" si="27"/>
        <v>January</v>
      </c>
      <c r="AD177">
        <f t="shared" si="28"/>
        <v>2024</v>
      </c>
      <c r="AE177" t="str">
        <f t="shared" si="29"/>
        <v>CLEAN</v>
      </c>
    </row>
    <row r="178" spans="1:31">
      <c r="A178" t="s">
        <v>654</v>
      </c>
      <c r="B178" s="3">
        <v>45734</v>
      </c>
      <c r="C178" s="3">
        <v>45742</v>
      </c>
      <c r="D178" t="s">
        <v>655</v>
      </c>
      <c r="E178" t="s">
        <v>81</v>
      </c>
      <c r="F178" t="s">
        <v>100</v>
      </c>
      <c r="G178" t="s">
        <v>48</v>
      </c>
      <c r="H178" t="s">
        <v>240</v>
      </c>
      <c r="I178" t="s">
        <v>241</v>
      </c>
      <c r="J178" t="s">
        <v>51</v>
      </c>
      <c r="K178" t="s">
        <v>168</v>
      </c>
      <c r="L178" t="s">
        <v>656</v>
      </c>
      <c r="M178" t="s">
        <v>69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42</v>
      </c>
      <c r="U178" t="s">
        <v>43</v>
      </c>
      <c r="V178" t="str">
        <f t="shared" si="20"/>
        <v/>
      </c>
      <c r="W178" t="str">
        <f t="shared" si="21"/>
        <v/>
      </c>
      <c r="X178">
        <f t="shared" si="22"/>
        <v>0.3698572418644821</v>
      </c>
      <c r="Y178">
        <f t="shared" si="23"/>
        <v>24229.011999999999</v>
      </c>
      <c r="Z178">
        <f t="shared" si="24"/>
        <v>10318.371999999999</v>
      </c>
      <c r="AA178">
        <f t="shared" si="25"/>
        <v>0.42586845885420338</v>
      </c>
      <c r="AB178">
        <f t="shared" si="26"/>
        <v>8</v>
      </c>
      <c r="AC178" t="str">
        <f t="shared" si="27"/>
        <v>March</v>
      </c>
      <c r="AD178">
        <f t="shared" si="28"/>
        <v>2025</v>
      </c>
      <c r="AE178" t="str">
        <f t="shared" si="29"/>
        <v>CLEAN</v>
      </c>
    </row>
    <row r="179" spans="1:31">
      <c r="A179" t="s">
        <v>657</v>
      </c>
      <c r="B179" s="3">
        <v>45444</v>
      </c>
      <c r="C179" s="3">
        <v>45357</v>
      </c>
      <c r="D179" t="s">
        <v>658</v>
      </c>
      <c r="E179" t="s">
        <v>142</v>
      </c>
      <c r="F179" t="s">
        <v>105</v>
      </c>
      <c r="G179" t="s">
        <v>215</v>
      </c>
      <c r="H179" t="s">
        <v>155</v>
      </c>
      <c r="I179" t="s">
        <v>156</v>
      </c>
      <c r="J179" t="s">
        <v>38</v>
      </c>
      <c r="K179" t="s">
        <v>58</v>
      </c>
      <c r="L179" t="s">
        <v>659</v>
      </c>
      <c r="M179" t="s">
        <v>54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42</v>
      </c>
      <c r="U179" t="s">
        <v>43</v>
      </c>
      <c r="V179" t="str">
        <f t="shared" si="20"/>
        <v/>
      </c>
      <c r="W179" t="str">
        <f t="shared" si="21"/>
        <v>Invalid Shipping Record</v>
      </c>
      <c r="X179">
        <f t="shared" si="22"/>
        <v>-1.0661353799231277</v>
      </c>
      <c r="Y179">
        <f t="shared" si="23"/>
        <v>31039.599999999999</v>
      </c>
      <c r="Z179">
        <f t="shared" si="24"/>
        <v>10172.879999999997</v>
      </c>
      <c r="AA179">
        <f t="shared" si="25"/>
        <v>0.32773875952009685</v>
      </c>
      <c r="AB179" t="e">
        <f t="shared" si="26"/>
        <v>#NUM!</v>
      </c>
      <c r="AC179" t="str">
        <f t="shared" si="27"/>
        <v>June</v>
      </c>
      <c r="AD179">
        <f t="shared" si="28"/>
        <v>2024</v>
      </c>
      <c r="AE179" t="str">
        <f t="shared" si="29"/>
        <v>INVALID</v>
      </c>
    </row>
    <row r="180" spans="1:31">
      <c r="A180" t="s">
        <v>660</v>
      </c>
      <c r="B180" s="3">
        <v>45565</v>
      </c>
      <c r="C180" s="3">
        <v>45565</v>
      </c>
      <c r="D180" t="s">
        <v>661</v>
      </c>
      <c r="E180" t="s">
        <v>57</v>
      </c>
      <c r="F180" t="s">
        <v>100</v>
      </c>
      <c r="G180" t="s">
        <v>64</v>
      </c>
      <c r="H180" t="s">
        <v>65</v>
      </c>
      <c r="I180" t="s">
        <v>66</v>
      </c>
      <c r="J180" t="s">
        <v>38</v>
      </c>
      <c r="K180" t="s">
        <v>58</v>
      </c>
      <c r="L180" t="s">
        <v>662</v>
      </c>
      <c r="M180" t="s">
        <v>69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42</v>
      </c>
      <c r="U180" t="s">
        <v>43</v>
      </c>
      <c r="V180" t="str">
        <f t="shared" si="20"/>
        <v/>
      </c>
      <c r="W180" t="str">
        <f t="shared" si="21"/>
        <v/>
      </c>
      <c r="X180">
        <f t="shared" si="22"/>
        <v>-1.0661353799231277</v>
      </c>
      <c r="Y180">
        <f t="shared" si="23"/>
        <v>13126.96</v>
      </c>
      <c r="Z180">
        <f t="shared" si="24"/>
        <v>2394.5199999999986</v>
      </c>
      <c r="AA180">
        <f t="shared" si="25"/>
        <v>0.18241237879905162</v>
      </c>
      <c r="AB180">
        <f t="shared" si="26"/>
        <v>0</v>
      </c>
      <c r="AC180" t="str">
        <f t="shared" si="27"/>
        <v>September</v>
      </c>
      <c r="AD180">
        <f t="shared" si="28"/>
        <v>2024</v>
      </c>
      <c r="AE180" t="str">
        <f t="shared" si="29"/>
        <v>CLEAN</v>
      </c>
    </row>
    <row r="181" spans="1:31">
      <c r="A181" t="s">
        <v>663</v>
      </c>
      <c r="B181" s="3">
        <v>45366</v>
      </c>
      <c r="C181" s="3">
        <v>45370</v>
      </c>
      <c r="D181" t="s">
        <v>664</v>
      </c>
      <c r="E181" t="s">
        <v>72</v>
      </c>
      <c r="F181" t="s">
        <v>47</v>
      </c>
      <c r="G181" t="s">
        <v>64</v>
      </c>
      <c r="H181" t="s">
        <v>259</v>
      </c>
      <c r="I181" t="s">
        <v>260</v>
      </c>
      <c r="J181" t="s">
        <v>51</v>
      </c>
      <c r="K181" t="s">
        <v>67</v>
      </c>
      <c r="L181" t="s">
        <v>665</v>
      </c>
      <c r="M181" t="s">
        <v>69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112</v>
      </c>
      <c r="U181" t="s">
        <v>113</v>
      </c>
      <c r="V181" t="str">
        <f t="shared" si="20"/>
        <v/>
      </c>
      <c r="W181" t="str">
        <f t="shared" si="21"/>
        <v/>
      </c>
      <c r="X181">
        <f t="shared" si="22"/>
        <v>1.3271856563895552</v>
      </c>
      <c r="Y181">
        <f t="shared" si="23"/>
        <v>9558.9000000000015</v>
      </c>
      <c r="Z181">
        <f t="shared" si="24"/>
        <v>4042.1400000000012</v>
      </c>
      <c r="AA181">
        <f t="shared" si="25"/>
        <v>0.42286664783604816</v>
      </c>
      <c r="AB181">
        <f t="shared" si="26"/>
        <v>4</v>
      </c>
      <c r="AC181" t="str">
        <f t="shared" si="27"/>
        <v>March</v>
      </c>
      <c r="AD181">
        <f t="shared" si="28"/>
        <v>2024</v>
      </c>
      <c r="AE181" t="str">
        <f t="shared" si="29"/>
        <v>CLEAN</v>
      </c>
    </row>
    <row r="182" spans="1:31">
      <c r="A182" t="s">
        <v>666</v>
      </c>
      <c r="B182" s="3">
        <v>45530</v>
      </c>
      <c r="C182" s="3">
        <v>45530</v>
      </c>
      <c r="D182" t="s">
        <v>667</v>
      </c>
      <c r="E182" t="s">
        <v>46</v>
      </c>
      <c r="F182" t="s">
        <v>105</v>
      </c>
      <c r="G182" t="s">
        <v>35</v>
      </c>
      <c r="H182" t="s">
        <v>146</v>
      </c>
      <c r="I182" t="s">
        <v>147</v>
      </c>
      <c r="J182" t="s">
        <v>624</v>
      </c>
      <c r="K182" t="s">
        <v>163</v>
      </c>
      <c r="L182" t="s">
        <v>668</v>
      </c>
      <c r="M182" t="s">
        <v>60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42</v>
      </c>
      <c r="U182" t="s">
        <v>43</v>
      </c>
      <c r="V182" t="str">
        <f t="shared" si="20"/>
        <v/>
      </c>
      <c r="W182" t="str">
        <f t="shared" si="21"/>
        <v/>
      </c>
      <c r="X182">
        <f t="shared" si="22"/>
        <v>-0.10880696539805437</v>
      </c>
      <c r="Y182">
        <f t="shared" si="23"/>
        <v>5320.9170000000004</v>
      </c>
      <c r="Z182">
        <f t="shared" si="24"/>
        <v>2279.4170000000004</v>
      </c>
      <c r="AA182">
        <f t="shared" si="25"/>
        <v>0.42838800154183954</v>
      </c>
      <c r="AB182">
        <f t="shared" si="26"/>
        <v>0</v>
      </c>
      <c r="AC182" t="str">
        <f t="shared" si="27"/>
        <v>August</v>
      </c>
      <c r="AD182">
        <f t="shared" si="28"/>
        <v>2024</v>
      </c>
      <c r="AE182" t="str">
        <f t="shared" si="29"/>
        <v>CLEAN</v>
      </c>
    </row>
    <row r="183" spans="1:31">
      <c r="A183" t="s">
        <v>669</v>
      </c>
      <c r="B183" s="3">
        <v>45909</v>
      </c>
      <c r="C183" s="3">
        <v>45910</v>
      </c>
      <c r="D183" t="s">
        <v>670</v>
      </c>
      <c r="E183" t="s">
        <v>124</v>
      </c>
      <c r="F183" t="s">
        <v>105</v>
      </c>
      <c r="G183" t="s">
        <v>64</v>
      </c>
      <c r="H183" t="s">
        <v>259</v>
      </c>
      <c r="I183" t="s">
        <v>260</v>
      </c>
      <c r="J183" t="s">
        <v>38</v>
      </c>
      <c r="K183" t="s">
        <v>58</v>
      </c>
      <c r="L183" t="s">
        <v>671</v>
      </c>
      <c r="M183" t="s">
        <v>41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42</v>
      </c>
      <c r="U183" t="s">
        <v>43</v>
      </c>
      <c r="V183" t="str">
        <f t="shared" si="20"/>
        <v/>
      </c>
      <c r="W183" t="str">
        <f t="shared" si="21"/>
        <v/>
      </c>
      <c r="X183">
        <f t="shared" si="22"/>
        <v>-1.0661353799231277</v>
      </c>
      <c r="Y183">
        <f t="shared" si="23"/>
        <v>10205.799999999999</v>
      </c>
      <c r="Z183">
        <f t="shared" si="24"/>
        <v>4219.4899999999989</v>
      </c>
      <c r="AA183">
        <f t="shared" si="25"/>
        <v>0.41344039663720622</v>
      </c>
      <c r="AB183">
        <f t="shared" si="26"/>
        <v>1</v>
      </c>
      <c r="AC183" t="str">
        <f t="shared" si="27"/>
        <v>September</v>
      </c>
      <c r="AD183">
        <f t="shared" si="28"/>
        <v>2025</v>
      </c>
      <c r="AE183" t="str">
        <f t="shared" si="29"/>
        <v>CLEAN</v>
      </c>
    </row>
    <row r="184" spans="1:31">
      <c r="A184" t="s">
        <v>672</v>
      </c>
      <c r="B184" s="3">
        <v>45581</v>
      </c>
      <c r="C184" s="3">
        <v>45581</v>
      </c>
      <c r="D184" t="s">
        <v>673</v>
      </c>
      <c r="E184" t="s">
        <v>72</v>
      </c>
      <c r="F184" t="s">
        <v>105</v>
      </c>
      <c r="G184" t="s">
        <v>48</v>
      </c>
      <c r="H184" t="s">
        <v>155</v>
      </c>
      <c r="I184" t="s">
        <v>156</v>
      </c>
      <c r="J184" t="s">
        <v>84</v>
      </c>
      <c r="K184" t="s">
        <v>286</v>
      </c>
      <c r="L184" t="s">
        <v>674</v>
      </c>
      <c r="M184" t="s">
        <v>69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42</v>
      </c>
      <c r="U184" t="s">
        <v>43</v>
      </c>
      <c r="V184" t="str">
        <f t="shared" si="20"/>
        <v/>
      </c>
      <c r="W184" t="str">
        <f t="shared" si="21"/>
        <v/>
      </c>
      <c r="X184">
        <f t="shared" si="22"/>
        <v>-1.0661353799231277</v>
      </c>
      <c r="Y184">
        <f t="shared" si="23"/>
        <v>5430.3899999999994</v>
      </c>
      <c r="Z184">
        <f t="shared" si="24"/>
        <v>1722.7299999999996</v>
      </c>
      <c r="AA184">
        <f t="shared" si="25"/>
        <v>0.31723872502711586</v>
      </c>
      <c r="AB184">
        <f t="shared" si="26"/>
        <v>0</v>
      </c>
      <c r="AC184" t="str">
        <f t="shared" si="27"/>
        <v>October</v>
      </c>
      <c r="AD184">
        <f t="shared" si="28"/>
        <v>2024</v>
      </c>
      <c r="AE184" t="str">
        <f t="shared" si="29"/>
        <v>CLEAN</v>
      </c>
    </row>
    <row r="185" spans="1:31">
      <c r="A185" t="s">
        <v>675</v>
      </c>
      <c r="B185" s="3">
        <v>45832</v>
      </c>
      <c r="C185" s="3">
        <v>45835</v>
      </c>
      <c r="D185" t="s">
        <v>676</v>
      </c>
      <c r="E185" t="s">
        <v>81</v>
      </c>
      <c r="F185" t="s">
        <v>105</v>
      </c>
      <c r="G185" t="s">
        <v>64</v>
      </c>
      <c r="H185" t="s">
        <v>65</v>
      </c>
      <c r="I185" t="s">
        <v>66</v>
      </c>
      <c r="J185" t="s">
        <v>84</v>
      </c>
      <c r="K185" t="s">
        <v>90</v>
      </c>
      <c r="L185" t="s">
        <v>677</v>
      </c>
      <c r="M185" t="s">
        <v>69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42</v>
      </c>
      <c r="U185" t="s">
        <v>113</v>
      </c>
      <c r="V185" t="str">
        <f t="shared" si="20"/>
        <v/>
      </c>
      <c r="W185" t="str">
        <f t="shared" si="21"/>
        <v/>
      </c>
      <c r="X185">
        <f t="shared" si="22"/>
        <v>0.84852144912701888</v>
      </c>
      <c r="Y185">
        <f t="shared" si="23"/>
        <v>12907.216</v>
      </c>
      <c r="Z185">
        <f t="shared" si="24"/>
        <v>4579.3260000000009</v>
      </c>
      <c r="AA185">
        <f t="shared" si="25"/>
        <v>0.3547880503433119</v>
      </c>
      <c r="AB185">
        <f t="shared" si="26"/>
        <v>3</v>
      </c>
      <c r="AC185" t="str">
        <f t="shared" si="27"/>
        <v>June</v>
      </c>
      <c r="AD185">
        <f t="shared" si="28"/>
        <v>2025</v>
      </c>
      <c r="AE185" t="str">
        <f t="shared" si="29"/>
        <v>CLEAN</v>
      </c>
    </row>
    <row r="186" spans="1:31">
      <c r="A186" t="s">
        <v>678</v>
      </c>
      <c r="B186" s="3">
        <v>45384</v>
      </c>
      <c r="C186" s="3">
        <v>45388</v>
      </c>
      <c r="D186" t="s">
        <v>679</v>
      </c>
      <c r="E186" t="s">
        <v>81</v>
      </c>
      <c r="F186" t="s">
        <v>100</v>
      </c>
      <c r="G186" t="s">
        <v>73</v>
      </c>
      <c r="H186" t="s">
        <v>82</v>
      </c>
      <c r="I186" t="s">
        <v>83</v>
      </c>
      <c r="J186" t="s">
        <v>51</v>
      </c>
      <c r="K186" t="s">
        <v>168</v>
      </c>
      <c r="L186" t="s">
        <v>680</v>
      </c>
      <c r="M186" t="s">
        <v>69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112</v>
      </c>
      <c r="U186" t="s">
        <v>113</v>
      </c>
      <c r="V186" t="str">
        <f t="shared" si="20"/>
        <v/>
      </c>
      <c r="W186" t="str">
        <f t="shared" si="21"/>
        <v/>
      </c>
      <c r="X186">
        <f t="shared" si="22"/>
        <v>-1.0661353799231277</v>
      </c>
      <c r="Y186">
        <f t="shared" si="23"/>
        <v>1777.96</v>
      </c>
      <c r="Z186">
        <f t="shared" si="24"/>
        <v>756.80000000000007</v>
      </c>
      <c r="AA186">
        <f t="shared" si="25"/>
        <v>0.42565637022205227</v>
      </c>
      <c r="AB186">
        <f t="shared" si="26"/>
        <v>4</v>
      </c>
      <c r="AC186" t="str">
        <f t="shared" si="27"/>
        <v>April</v>
      </c>
      <c r="AD186">
        <f t="shared" si="28"/>
        <v>2024</v>
      </c>
      <c r="AE186" t="str">
        <f t="shared" si="29"/>
        <v>CLEAN</v>
      </c>
    </row>
    <row r="187" spans="1:31">
      <c r="A187" t="s">
        <v>681</v>
      </c>
      <c r="B187" s="3">
        <v>45423</v>
      </c>
      <c r="C187" s="3">
        <v>45609</v>
      </c>
      <c r="D187" t="s">
        <v>682</v>
      </c>
      <c r="E187" t="s">
        <v>63</v>
      </c>
      <c r="F187" t="s">
        <v>34</v>
      </c>
      <c r="G187" t="s">
        <v>215</v>
      </c>
      <c r="H187" t="s">
        <v>132</v>
      </c>
      <c r="I187" t="s">
        <v>133</v>
      </c>
      <c r="J187" t="s">
        <v>38</v>
      </c>
      <c r="K187" t="s">
        <v>101</v>
      </c>
      <c r="L187" t="s">
        <v>683</v>
      </c>
      <c r="M187" t="s">
        <v>41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42</v>
      </c>
      <c r="U187" t="s">
        <v>43</v>
      </c>
      <c r="V187" t="str">
        <f t="shared" si="20"/>
        <v/>
      </c>
      <c r="W187" t="str">
        <f t="shared" si="21"/>
        <v/>
      </c>
      <c r="X187">
        <f t="shared" si="22"/>
        <v>0.84852144912701888</v>
      </c>
      <c r="Y187">
        <f t="shared" si="23"/>
        <v>1605.0720000000001</v>
      </c>
      <c r="Z187">
        <f t="shared" si="24"/>
        <v>267.79200000000014</v>
      </c>
      <c r="AA187">
        <f t="shared" si="25"/>
        <v>0.16684111366966722</v>
      </c>
      <c r="AB187">
        <f t="shared" si="26"/>
        <v>186</v>
      </c>
      <c r="AC187" t="str">
        <f t="shared" si="27"/>
        <v>May</v>
      </c>
      <c r="AD187">
        <f t="shared" si="28"/>
        <v>2024</v>
      </c>
      <c r="AE187" t="str">
        <f t="shared" si="29"/>
        <v>CLEAN</v>
      </c>
    </row>
    <row r="188" spans="1:31">
      <c r="A188" t="s">
        <v>684</v>
      </c>
      <c r="B188" s="3">
        <v>45492</v>
      </c>
      <c r="C188" s="3">
        <v>45493</v>
      </c>
      <c r="D188" t="s">
        <v>275</v>
      </c>
      <c r="E188" t="s">
        <v>81</v>
      </c>
      <c r="F188" t="s">
        <v>34</v>
      </c>
      <c r="G188" t="s">
        <v>64</v>
      </c>
      <c r="H188" t="s">
        <v>259</v>
      </c>
      <c r="I188" t="s">
        <v>260</v>
      </c>
      <c r="J188" t="s">
        <v>51</v>
      </c>
      <c r="K188" t="s">
        <v>52</v>
      </c>
      <c r="L188" t="s">
        <v>685</v>
      </c>
      <c r="M188" t="s">
        <v>60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42</v>
      </c>
      <c r="U188" t="s">
        <v>43</v>
      </c>
      <c r="V188" t="str">
        <f t="shared" si="20"/>
        <v/>
      </c>
      <c r="W188" t="str">
        <f t="shared" si="21"/>
        <v/>
      </c>
      <c r="X188">
        <f t="shared" si="22"/>
        <v>-0.58747117266059101</v>
      </c>
      <c r="Y188">
        <f t="shared" si="23"/>
        <v>23996.059499999996</v>
      </c>
      <c r="Z188">
        <f t="shared" si="24"/>
        <v>3828.7794999999969</v>
      </c>
      <c r="AA188">
        <f t="shared" si="25"/>
        <v>0.15955867670689838</v>
      </c>
      <c r="AB188">
        <f t="shared" si="26"/>
        <v>1</v>
      </c>
      <c r="AC188" t="str">
        <f t="shared" si="27"/>
        <v>July</v>
      </c>
      <c r="AD188">
        <f t="shared" si="28"/>
        <v>2024</v>
      </c>
      <c r="AE188" t="str">
        <f t="shared" si="29"/>
        <v>CLEAN</v>
      </c>
    </row>
    <row r="189" spans="1:31">
      <c r="A189" t="s">
        <v>686</v>
      </c>
      <c r="B189" s="3">
        <v>45778</v>
      </c>
      <c r="C189" s="3">
        <v>45779</v>
      </c>
      <c r="D189" t="s">
        <v>687</v>
      </c>
      <c r="E189" t="s">
        <v>46</v>
      </c>
      <c r="F189" t="s">
        <v>34</v>
      </c>
      <c r="G189" t="s">
        <v>73</v>
      </c>
      <c r="H189" t="s">
        <v>82</v>
      </c>
      <c r="I189" t="s">
        <v>83</v>
      </c>
      <c r="J189" t="s">
        <v>51</v>
      </c>
      <c r="K189" t="s">
        <v>76</v>
      </c>
      <c r="L189" t="s">
        <v>688</v>
      </c>
      <c r="M189" t="s">
        <v>54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42</v>
      </c>
      <c r="U189" t="s">
        <v>113</v>
      </c>
      <c r="V189" t="str">
        <f t="shared" si="20"/>
        <v/>
      </c>
      <c r="W189" t="str">
        <f t="shared" si="21"/>
        <v/>
      </c>
      <c r="X189">
        <f t="shared" si="22"/>
        <v>-1.0661353799231277</v>
      </c>
      <c r="Y189">
        <f t="shared" si="23"/>
        <v>8717.2199999999993</v>
      </c>
      <c r="Z189">
        <f t="shared" si="24"/>
        <v>2501.2599999999993</v>
      </c>
      <c r="AA189">
        <f t="shared" si="25"/>
        <v>0.28693321953558582</v>
      </c>
      <c r="AB189">
        <f t="shared" si="26"/>
        <v>1</v>
      </c>
      <c r="AC189" t="str">
        <f t="shared" si="27"/>
        <v>May</v>
      </c>
      <c r="AD189">
        <f t="shared" si="28"/>
        <v>2025</v>
      </c>
      <c r="AE189" t="str">
        <f t="shared" si="29"/>
        <v>CLEAN</v>
      </c>
    </row>
    <row r="190" spans="1:31">
      <c r="A190" t="s">
        <v>689</v>
      </c>
      <c r="B190" s="3">
        <v>45798</v>
      </c>
      <c r="C190" s="3">
        <v>45805</v>
      </c>
      <c r="D190" t="s">
        <v>690</v>
      </c>
      <c r="E190" t="s">
        <v>124</v>
      </c>
      <c r="F190" t="s">
        <v>100</v>
      </c>
      <c r="G190" t="s">
        <v>48</v>
      </c>
      <c r="H190" t="s">
        <v>109</v>
      </c>
      <c r="I190" t="s">
        <v>110</v>
      </c>
      <c r="J190" t="s">
        <v>51</v>
      </c>
      <c r="K190" t="s">
        <v>168</v>
      </c>
      <c r="L190" t="s">
        <v>691</v>
      </c>
      <c r="M190" t="s">
        <v>54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42</v>
      </c>
      <c r="U190" t="s">
        <v>43</v>
      </c>
      <c r="V190" t="str">
        <f t="shared" si="20"/>
        <v/>
      </c>
      <c r="W190" t="str">
        <f t="shared" si="21"/>
        <v/>
      </c>
      <c r="X190">
        <f t="shared" si="22"/>
        <v>-0.10880696539805437</v>
      </c>
      <c r="Y190">
        <f t="shared" si="23"/>
        <v>6407.2260000000006</v>
      </c>
      <c r="Z190">
        <f t="shared" si="24"/>
        <v>1484.1360000000004</v>
      </c>
      <c r="AA190">
        <f t="shared" si="25"/>
        <v>0.23163471992403581</v>
      </c>
      <c r="AB190">
        <f t="shared" si="26"/>
        <v>7</v>
      </c>
      <c r="AC190" t="str">
        <f t="shared" si="27"/>
        <v>May</v>
      </c>
      <c r="AD190">
        <f t="shared" si="28"/>
        <v>2025</v>
      </c>
      <c r="AE190" t="str">
        <f t="shared" si="29"/>
        <v>CLEAN</v>
      </c>
    </row>
    <row r="191" spans="1:31">
      <c r="A191" t="s">
        <v>692</v>
      </c>
      <c r="B191" s="3">
        <v>45783</v>
      </c>
      <c r="C191" s="3">
        <v>45784</v>
      </c>
      <c r="D191" t="s">
        <v>693</v>
      </c>
      <c r="E191" t="s">
        <v>63</v>
      </c>
      <c r="F191" t="s">
        <v>34</v>
      </c>
      <c r="G191" t="s">
        <v>73</v>
      </c>
      <c r="H191" t="s">
        <v>36</v>
      </c>
      <c r="I191" t="s">
        <v>119</v>
      </c>
      <c r="J191" t="s">
        <v>51</v>
      </c>
      <c r="K191" t="s">
        <v>168</v>
      </c>
      <c r="L191" t="s">
        <v>694</v>
      </c>
      <c r="M191" t="s">
        <v>60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42</v>
      </c>
      <c r="U191" t="s">
        <v>695</v>
      </c>
      <c r="V191" t="str">
        <f t="shared" si="20"/>
        <v/>
      </c>
      <c r="W191" t="str">
        <f t="shared" si="21"/>
        <v/>
      </c>
      <c r="X191">
        <f t="shared" si="22"/>
        <v>-1.0661353799231277</v>
      </c>
      <c r="Y191">
        <f t="shared" si="23"/>
        <v>29864.159999999996</v>
      </c>
      <c r="Z191">
        <f t="shared" si="24"/>
        <v>12991.769999999997</v>
      </c>
      <c r="AA191">
        <f t="shared" si="25"/>
        <v>0.43502881045373448</v>
      </c>
      <c r="AB191">
        <f t="shared" si="26"/>
        <v>1</v>
      </c>
      <c r="AC191" t="str">
        <f t="shared" si="27"/>
        <v>May</v>
      </c>
      <c r="AD191">
        <f t="shared" si="28"/>
        <v>2025</v>
      </c>
      <c r="AE191" t="str">
        <f t="shared" si="29"/>
        <v>CLEAN</v>
      </c>
    </row>
    <row r="192" spans="1:31">
      <c r="A192" t="s">
        <v>696</v>
      </c>
      <c r="B192" s="3">
        <v>45767</v>
      </c>
      <c r="C192" s="3">
        <v>45768</v>
      </c>
      <c r="D192" t="s">
        <v>697</v>
      </c>
      <c r="E192" t="s">
        <v>99</v>
      </c>
      <c r="F192" t="s">
        <v>34</v>
      </c>
      <c r="G192" t="s">
        <v>64</v>
      </c>
      <c r="H192" t="s">
        <v>259</v>
      </c>
      <c r="I192" t="s">
        <v>260</v>
      </c>
      <c r="J192" t="s">
        <v>38</v>
      </c>
      <c r="K192" t="s">
        <v>134</v>
      </c>
      <c r="L192" t="s">
        <v>698</v>
      </c>
      <c r="M192" t="s">
        <v>60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42</v>
      </c>
      <c r="U192" t="s">
        <v>43</v>
      </c>
      <c r="V192" t="str">
        <f t="shared" si="20"/>
        <v/>
      </c>
      <c r="W192" t="str">
        <f t="shared" si="21"/>
        <v/>
      </c>
      <c r="X192">
        <f t="shared" si="22"/>
        <v>-0.10880696539805437</v>
      </c>
      <c r="Y192">
        <f t="shared" si="23"/>
        <v>1458.2429999999999</v>
      </c>
      <c r="Z192">
        <f t="shared" si="24"/>
        <v>514.92299999999989</v>
      </c>
      <c r="AA192">
        <f t="shared" si="25"/>
        <v>0.35311192990468659</v>
      </c>
      <c r="AB192">
        <f t="shared" si="26"/>
        <v>1</v>
      </c>
      <c r="AC192" t="str">
        <f t="shared" si="27"/>
        <v>April</v>
      </c>
      <c r="AD192">
        <f t="shared" si="28"/>
        <v>2025</v>
      </c>
      <c r="AE192" t="str">
        <f t="shared" si="29"/>
        <v>CLEAN</v>
      </c>
    </row>
    <row r="193" spans="1:31">
      <c r="A193" t="s">
        <v>699</v>
      </c>
      <c r="B193" s="3">
        <v>45584</v>
      </c>
      <c r="C193" s="3">
        <v>45589</v>
      </c>
      <c r="D193" t="s">
        <v>700</v>
      </c>
      <c r="E193" t="s">
        <v>142</v>
      </c>
      <c r="F193" t="s">
        <v>47</v>
      </c>
      <c r="G193" t="s">
        <v>64</v>
      </c>
      <c r="H193" t="s">
        <v>259</v>
      </c>
      <c r="I193" t="s">
        <v>260</v>
      </c>
      <c r="J193" t="s">
        <v>51</v>
      </c>
      <c r="K193" t="s">
        <v>168</v>
      </c>
      <c r="L193" t="s">
        <v>701</v>
      </c>
      <c r="M193" t="s">
        <v>41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42</v>
      </c>
      <c r="U193" t="s">
        <v>43</v>
      </c>
      <c r="V193" t="str">
        <f t="shared" si="20"/>
        <v>Invalid Discount</v>
      </c>
      <c r="W193" t="str">
        <f t="shared" si="21"/>
        <v/>
      </c>
      <c r="X193">
        <f t="shared" si="22"/>
        <v>5.1564993144898486</v>
      </c>
      <c r="Y193">
        <f t="shared" si="23"/>
        <v>9047.64</v>
      </c>
      <c r="Z193">
        <f t="shared" si="24"/>
        <v>-10350.040000000001</v>
      </c>
      <c r="AA193">
        <f t="shared" si="25"/>
        <v>-1.1439491403283069</v>
      </c>
      <c r="AB193">
        <f t="shared" si="26"/>
        <v>5</v>
      </c>
      <c r="AC193" t="str">
        <f t="shared" si="27"/>
        <v>October</v>
      </c>
      <c r="AD193">
        <f t="shared" si="28"/>
        <v>2024</v>
      </c>
      <c r="AE193" t="str">
        <f t="shared" si="29"/>
        <v>INVALID</v>
      </c>
    </row>
    <row r="194" spans="1:31">
      <c r="A194" t="s">
        <v>702</v>
      </c>
      <c r="B194" s="3">
        <v>45635</v>
      </c>
      <c r="C194" s="3">
        <v>45642</v>
      </c>
      <c r="D194" t="s">
        <v>703</v>
      </c>
      <c r="E194" t="s">
        <v>57</v>
      </c>
      <c r="F194" t="s">
        <v>105</v>
      </c>
      <c r="G194" t="s">
        <v>73</v>
      </c>
      <c r="H194" t="s">
        <v>190</v>
      </c>
      <c r="I194" t="s">
        <v>191</v>
      </c>
      <c r="J194" t="s">
        <v>51</v>
      </c>
      <c r="K194" t="s">
        <v>76</v>
      </c>
      <c r="L194" t="s">
        <v>704</v>
      </c>
      <c r="M194" t="s">
        <v>60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42</v>
      </c>
      <c r="U194" t="s">
        <v>43</v>
      </c>
      <c r="V194" t="str">
        <f t="shared" si="20"/>
        <v/>
      </c>
      <c r="W194" t="str">
        <f t="shared" si="21"/>
        <v/>
      </c>
      <c r="X194">
        <f t="shared" si="22"/>
        <v>-1.0661353799231277</v>
      </c>
      <c r="Y194">
        <f t="shared" si="23"/>
        <v>8764.1200000000008</v>
      </c>
      <c r="Z194">
        <f t="shared" si="24"/>
        <v>1544.0700000000006</v>
      </c>
      <c r="AA194">
        <f t="shared" si="25"/>
        <v>0.17618083732308554</v>
      </c>
      <c r="AB194">
        <f t="shared" si="26"/>
        <v>7</v>
      </c>
      <c r="AC194" t="str">
        <f t="shared" si="27"/>
        <v>December</v>
      </c>
      <c r="AD194">
        <f t="shared" si="28"/>
        <v>2024</v>
      </c>
      <c r="AE194" t="str">
        <f t="shared" si="29"/>
        <v>CLEAN</v>
      </c>
    </row>
    <row r="195" spans="1:31">
      <c r="A195" t="s">
        <v>705</v>
      </c>
      <c r="B195" s="3">
        <v>45466</v>
      </c>
      <c r="C195" s="3">
        <v>45471</v>
      </c>
      <c r="D195" t="s">
        <v>706</v>
      </c>
      <c r="E195" t="s">
        <v>124</v>
      </c>
      <c r="F195" t="s">
        <v>47</v>
      </c>
      <c r="G195" t="s">
        <v>35</v>
      </c>
      <c r="H195" t="s">
        <v>132</v>
      </c>
      <c r="I195" t="s">
        <v>133</v>
      </c>
      <c r="J195" t="s">
        <v>84</v>
      </c>
      <c r="K195" t="s">
        <v>90</v>
      </c>
      <c r="L195" t="s">
        <v>707</v>
      </c>
      <c r="M195" t="s">
        <v>54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112</v>
      </c>
      <c r="U195" t="s">
        <v>113</v>
      </c>
      <c r="V195" t="str">
        <f t="shared" ref="V195:V258" si="30">IF(AND(N195&gt;0,O195&gt;0,Q195&gt;0,R195&gt;=0,S195&lt;&gt;""),IF(OR(P195&lt;0,ABS(P195-AVERAGE($P:$P))&gt;2*_xlfn.STDEV.P($P:$P)),"Invalid Discount",""),"")</f>
        <v/>
      </c>
      <c r="W195" t="str">
        <f t="shared" ref="W195:W258" si="31">IF(AND(B195&lt;&gt;"",C195&lt;&gt;""),IF(C195&lt;B195,"Invalid Shipping Record",""),"")</f>
        <v/>
      </c>
      <c r="X195">
        <f t="shared" ref="X195:X258" si="32">(P195-AVERAGE($P:$P))/_xlfn.STDEV.P($P:$P)</f>
        <v>0.84852144912701888</v>
      </c>
      <c r="Y195">
        <f t="shared" ref="Y195:Y258" si="33">N195*O195*(1-P195)</f>
        <v>9391.8240000000005</v>
      </c>
      <c r="Z195">
        <f t="shared" ref="Z195:Z258" si="34">Y195-R195</f>
        <v>3378.6040000000003</v>
      </c>
      <c r="AA195">
        <f t="shared" ref="AA195:AA258" si="35">IF(Y195=0,0,Z195/Y195)</f>
        <v>0.35973885370935399</v>
      </c>
      <c r="AB195">
        <f t="shared" ref="AB195:AB258" si="36">DATEDIF(B195,C195,"d")</f>
        <v>5</v>
      </c>
      <c r="AC195" t="str">
        <f t="shared" ref="AC195:AC258" si="37">TEXT(B195,"mmmm")</f>
        <v>June</v>
      </c>
      <c r="AD195">
        <f t="shared" ref="AD195:AD258" si="38">YEAR(B195)</f>
        <v>2024</v>
      </c>
      <c r="AE195" t="str">
        <f t="shared" ref="AE195:AE258" si="39">IF(OR(V195="Invalid Discount",W195="Invalid Shipping Record"),"INVALID",IF(U195="Cancelled","WARNING","CLEAN"))</f>
        <v>CLEAN</v>
      </c>
    </row>
    <row r="196" spans="1:31">
      <c r="A196" t="s">
        <v>708</v>
      </c>
      <c r="B196" s="3">
        <v>45685</v>
      </c>
      <c r="C196" s="3">
        <v>45688</v>
      </c>
      <c r="D196" t="s">
        <v>709</v>
      </c>
      <c r="E196" t="s">
        <v>124</v>
      </c>
      <c r="F196" t="s">
        <v>34</v>
      </c>
      <c r="G196" t="s">
        <v>710</v>
      </c>
      <c r="H196" t="s">
        <v>74</v>
      </c>
      <c r="I196" t="s">
        <v>75</v>
      </c>
      <c r="J196" t="s">
        <v>51</v>
      </c>
      <c r="K196" t="s">
        <v>67</v>
      </c>
      <c r="L196" t="s">
        <v>711</v>
      </c>
      <c r="M196" t="s">
        <v>60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121</v>
      </c>
      <c r="U196" t="s">
        <v>113</v>
      </c>
      <c r="V196" t="str">
        <f t="shared" si="30"/>
        <v/>
      </c>
      <c r="W196" t="str">
        <f t="shared" si="31"/>
        <v/>
      </c>
      <c r="X196">
        <f t="shared" si="32"/>
        <v>-0.58747117266059101</v>
      </c>
      <c r="Y196">
        <f t="shared" si="33"/>
        <v>7339.2344999999996</v>
      </c>
      <c r="Z196">
        <f t="shared" si="34"/>
        <v>1905.1144999999997</v>
      </c>
      <c r="AA196">
        <f t="shared" si="35"/>
        <v>0.25957945614082772</v>
      </c>
      <c r="AB196">
        <f t="shared" si="36"/>
        <v>3</v>
      </c>
      <c r="AC196" t="str">
        <f t="shared" si="37"/>
        <v>January</v>
      </c>
      <c r="AD196">
        <f t="shared" si="38"/>
        <v>2025</v>
      </c>
      <c r="AE196" t="str">
        <f t="shared" si="39"/>
        <v>CLEAN</v>
      </c>
    </row>
    <row r="197" spans="1:31">
      <c r="A197" t="s">
        <v>712</v>
      </c>
      <c r="B197" s="3">
        <v>45860</v>
      </c>
      <c r="C197" s="3">
        <v>45862</v>
      </c>
      <c r="D197" t="s">
        <v>713</v>
      </c>
      <c r="E197" t="s">
        <v>89</v>
      </c>
      <c r="F197" t="s">
        <v>105</v>
      </c>
      <c r="G197" t="s">
        <v>64</v>
      </c>
      <c r="H197" t="s">
        <v>94</v>
      </c>
      <c r="I197" t="s">
        <v>95</v>
      </c>
      <c r="J197" t="s">
        <v>51</v>
      </c>
      <c r="K197" t="s">
        <v>67</v>
      </c>
      <c r="L197" t="s">
        <v>714</v>
      </c>
      <c r="M197" t="s">
        <v>54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42</v>
      </c>
      <c r="U197" t="s">
        <v>43</v>
      </c>
      <c r="V197" t="str">
        <f t="shared" si="30"/>
        <v/>
      </c>
      <c r="W197" t="str">
        <f t="shared" si="31"/>
        <v/>
      </c>
      <c r="X197">
        <f t="shared" si="32"/>
        <v>-1.0661353799231277</v>
      </c>
      <c r="Y197">
        <f t="shared" si="33"/>
        <v>9614.15</v>
      </c>
      <c r="Z197">
        <f t="shared" si="34"/>
        <v>2037.3099999999995</v>
      </c>
      <c r="AA197">
        <f t="shared" si="35"/>
        <v>0.21190744891644084</v>
      </c>
      <c r="AB197">
        <f t="shared" si="36"/>
        <v>2</v>
      </c>
      <c r="AC197" t="str">
        <f t="shared" si="37"/>
        <v>July</v>
      </c>
      <c r="AD197">
        <f t="shared" si="38"/>
        <v>2025</v>
      </c>
      <c r="AE197" t="str">
        <f t="shared" si="39"/>
        <v>CLEAN</v>
      </c>
    </row>
    <row r="198" spans="1:31">
      <c r="A198" t="s">
        <v>715</v>
      </c>
      <c r="B198" s="3">
        <v>45313</v>
      </c>
      <c r="C198" s="3">
        <v>45316</v>
      </c>
      <c r="D198" t="s">
        <v>716</v>
      </c>
      <c r="E198" t="s">
        <v>276</v>
      </c>
      <c r="F198" t="s">
        <v>105</v>
      </c>
      <c r="G198" t="s">
        <v>35</v>
      </c>
      <c r="H198" t="s">
        <v>146</v>
      </c>
      <c r="I198" t="s">
        <v>147</v>
      </c>
      <c r="J198" t="s">
        <v>38</v>
      </c>
      <c r="K198" t="s">
        <v>134</v>
      </c>
      <c r="L198" t="s">
        <v>717</v>
      </c>
      <c r="M198" t="s">
        <v>60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42</v>
      </c>
      <c r="U198" t="s">
        <v>43</v>
      </c>
      <c r="V198" t="str">
        <f t="shared" si="30"/>
        <v/>
      </c>
      <c r="W198" t="str">
        <f t="shared" si="31"/>
        <v/>
      </c>
      <c r="X198">
        <f t="shared" si="32"/>
        <v>-0.10880696539805437</v>
      </c>
      <c r="Y198">
        <f t="shared" si="33"/>
        <v>3272.4810000000002</v>
      </c>
      <c r="Z198">
        <f t="shared" si="34"/>
        <v>755.04100000000017</v>
      </c>
      <c r="AA198">
        <f t="shared" si="35"/>
        <v>0.23072433422837293</v>
      </c>
      <c r="AB198">
        <f t="shared" si="36"/>
        <v>3</v>
      </c>
      <c r="AC198" t="str">
        <f t="shared" si="37"/>
        <v>January</v>
      </c>
      <c r="AD198">
        <f t="shared" si="38"/>
        <v>2024</v>
      </c>
      <c r="AE198" t="str">
        <f t="shared" si="39"/>
        <v>CLEAN</v>
      </c>
    </row>
    <row r="199" spans="1:31">
      <c r="A199" t="s">
        <v>718</v>
      </c>
      <c r="B199" s="3">
        <v>45747</v>
      </c>
      <c r="C199" s="3">
        <v>45754</v>
      </c>
      <c r="D199" t="s">
        <v>402</v>
      </c>
      <c r="E199" t="s">
        <v>128</v>
      </c>
      <c r="F199" t="s">
        <v>47</v>
      </c>
      <c r="G199" t="s">
        <v>48</v>
      </c>
      <c r="H199" t="s">
        <v>155</v>
      </c>
      <c r="I199" t="s">
        <v>156</v>
      </c>
      <c r="J199" t="s">
        <v>38</v>
      </c>
      <c r="K199" t="s">
        <v>134</v>
      </c>
      <c r="L199" t="s">
        <v>719</v>
      </c>
      <c r="M199" t="s">
        <v>41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42</v>
      </c>
      <c r="U199" t="s">
        <v>43</v>
      </c>
      <c r="V199" t="str">
        <f t="shared" si="30"/>
        <v/>
      </c>
      <c r="W199" t="str">
        <f t="shared" si="31"/>
        <v/>
      </c>
      <c r="X199">
        <f t="shared" si="32"/>
        <v>0.3698572418644821</v>
      </c>
      <c r="Y199">
        <f t="shared" si="33"/>
        <v>17409.869999999995</v>
      </c>
      <c r="Z199">
        <f t="shared" si="34"/>
        <v>3333.6199999999953</v>
      </c>
      <c r="AA199">
        <f t="shared" si="35"/>
        <v>0.19147874165631312</v>
      </c>
      <c r="AB199">
        <f t="shared" si="36"/>
        <v>7</v>
      </c>
      <c r="AC199" t="str">
        <f t="shared" si="37"/>
        <v>March</v>
      </c>
      <c r="AD199">
        <f t="shared" si="38"/>
        <v>2025</v>
      </c>
      <c r="AE199" t="str">
        <f t="shared" si="39"/>
        <v>CLEAN</v>
      </c>
    </row>
    <row r="200" spans="1:31">
      <c r="A200" t="s">
        <v>720</v>
      </c>
      <c r="B200" s="3">
        <v>45448</v>
      </c>
      <c r="C200" s="3">
        <v>45449</v>
      </c>
      <c r="D200" t="s">
        <v>721</v>
      </c>
      <c r="E200" t="s">
        <v>142</v>
      </c>
      <c r="F200" t="s">
        <v>34</v>
      </c>
      <c r="G200" t="s">
        <v>73</v>
      </c>
      <c r="H200" t="s">
        <v>190</v>
      </c>
      <c r="I200" t="s">
        <v>191</v>
      </c>
      <c r="J200" t="s">
        <v>38</v>
      </c>
      <c r="K200" t="s">
        <v>58</v>
      </c>
      <c r="L200" t="s">
        <v>722</v>
      </c>
      <c r="M200" t="s">
        <v>41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165</v>
      </c>
      <c r="U200" t="s">
        <v>78</v>
      </c>
      <c r="V200" t="str">
        <f t="shared" si="30"/>
        <v/>
      </c>
      <c r="W200" t="str">
        <f t="shared" si="31"/>
        <v/>
      </c>
      <c r="X200">
        <f t="shared" si="32"/>
        <v>-0.58747117266059101</v>
      </c>
      <c r="Y200">
        <f t="shared" si="33"/>
        <v>1125.3509999999999</v>
      </c>
      <c r="Z200">
        <f t="shared" si="34"/>
        <v>448.38099999999986</v>
      </c>
      <c r="AA200">
        <f t="shared" si="35"/>
        <v>0.39843657667696558</v>
      </c>
      <c r="AB200">
        <f t="shared" si="36"/>
        <v>1</v>
      </c>
      <c r="AC200" t="str">
        <f t="shared" si="37"/>
        <v>June</v>
      </c>
      <c r="AD200">
        <f t="shared" si="38"/>
        <v>2024</v>
      </c>
      <c r="AE200" t="str">
        <f t="shared" si="39"/>
        <v>WARNING</v>
      </c>
    </row>
    <row r="201" spans="1:31">
      <c r="A201" t="s">
        <v>723</v>
      </c>
      <c r="B201" s="3">
        <v>45629</v>
      </c>
      <c r="C201" s="3">
        <v>45363</v>
      </c>
      <c r="D201" t="s">
        <v>724</v>
      </c>
      <c r="E201" t="s">
        <v>128</v>
      </c>
      <c r="F201" t="s">
        <v>105</v>
      </c>
      <c r="G201" t="s">
        <v>48</v>
      </c>
      <c r="H201" t="s">
        <v>155</v>
      </c>
      <c r="I201" t="s">
        <v>156</v>
      </c>
      <c r="J201" t="s">
        <v>84</v>
      </c>
      <c r="K201" t="s">
        <v>286</v>
      </c>
      <c r="L201" t="s">
        <v>725</v>
      </c>
      <c r="M201" t="s">
        <v>215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42</v>
      </c>
      <c r="U201" t="s">
        <v>43</v>
      </c>
      <c r="V201" t="str">
        <f t="shared" si="30"/>
        <v/>
      </c>
      <c r="W201" t="str">
        <f t="shared" si="31"/>
        <v>Invalid Shipping Record</v>
      </c>
      <c r="X201">
        <f t="shared" si="32"/>
        <v>1.3271856563895552</v>
      </c>
      <c r="Y201">
        <f t="shared" si="33"/>
        <v>9835.11</v>
      </c>
      <c r="Z201">
        <f t="shared" si="34"/>
        <v>4397.47</v>
      </c>
      <c r="AA201">
        <f t="shared" si="35"/>
        <v>0.44711955433136996</v>
      </c>
      <c r="AB201" t="e">
        <f t="shared" si="36"/>
        <v>#NUM!</v>
      </c>
      <c r="AC201" t="str">
        <f t="shared" si="37"/>
        <v>December</v>
      </c>
      <c r="AD201">
        <f t="shared" si="38"/>
        <v>2024</v>
      </c>
      <c r="AE201" t="str">
        <f t="shared" si="39"/>
        <v>INVALID</v>
      </c>
    </row>
    <row r="202" spans="1:31">
      <c r="A202" t="s">
        <v>726</v>
      </c>
      <c r="B202" s="3">
        <v>45835</v>
      </c>
      <c r="C202" s="3">
        <v>45843</v>
      </c>
      <c r="D202" t="s">
        <v>727</v>
      </c>
      <c r="E202" t="s">
        <v>124</v>
      </c>
      <c r="F202" t="s">
        <v>47</v>
      </c>
      <c r="G202" t="s">
        <v>35</v>
      </c>
      <c r="H202" t="s">
        <v>36</v>
      </c>
      <c r="I202" t="s">
        <v>37</v>
      </c>
      <c r="J202" t="s">
        <v>84</v>
      </c>
      <c r="K202" t="s">
        <v>90</v>
      </c>
      <c r="L202" t="s">
        <v>728</v>
      </c>
      <c r="M202" t="s">
        <v>60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121</v>
      </c>
      <c r="U202" t="s">
        <v>78</v>
      </c>
      <c r="V202" t="str">
        <f t="shared" si="30"/>
        <v/>
      </c>
      <c r="W202" t="str">
        <f t="shared" si="31"/>
        <v/>
      </c>
      <c r="X202">
        <f t="shared" si="32"/>
        <v>-0.10880696539805437</v>
      </c>
      <c r="Y202">
        <f t="shared" si="33"/>
        <v>12907.980000000001</v>
      </c>
      <c r="Z202">
        <f t="shared" si="34"/>
        <v>3710.9000000000015</v>
      </c>
      <c r="AA202">
        <f t="shared" si="35"/>
        <v>0.28748882474252369</v>
      </c>
      <c r="AB202">
        <f t="shared" si="36"/>
        <v>8</v>
      </c>
      <c r="AC202" t="str">
        <f t="shared" si="37"/>
        <v>June</v>
      </c>
      <c r="AD202">
        <f t="shared" si="38"/>
        <v>2025</v>
      </c>
      <c r="AE202" t="str">
        <f t="shared" si="39"/>
        <v>WARNING</v>
      </c>
    </row>
    <row r="203" spans="1:31">
      <c r="A203" t="s">
        <v>729</v>
      </c>
      <c r="B203" s="3">
        <v>45864</v>
      </c>
      <c r="C203" s="3">
        <v>45724</v>
      </c>
      <c r="D203" t="s">
        <v>730</v>
      </c>
      <c r="E203" t="s">
        <v>81</v>
      </c>
      <c r="F203" t="s">
        <v>34</v>
      </c>
      <c r="G203" t="s">
        <v>73</v>
      </c>
      <c r="H203" t="s">
        <v>82</v>
      </c>
      <c r="I203" t="s">
        <v>83</v>
      </c>
      <c r="J203" t="s">
        <v>38</v>
      </c>
      <c r="K203" t="s">
        <v>101</v>
      </c>
      <c r="L203" t="s">
        <v>731</v>
      </c>
      <c r="M203" t="s">
        <v>41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112</v>
      </c>
      <c r="U203" t="s">
        <v>78</v>
      </c>
      <c r="V203" t="str">
        <f t="shared" si="30"/>
        <v>Invalid Discount</v>
      </c>
      <c r="W203" t="str">
        <f t="shared" si="31"/>
        <v>Invalid Shipping Record</v>
      </c>
      <c r="X203">
        <f t="shared" si="32"/>
        <v>-2.5978608431632444</v>
      </c>
      <c r="Y203">
        <f t="shared" si="33"/>
        <v>5808.1895999999997</v>
      </c>
      <c r="Z203">
        <f t="shared" si="34"/>
        <v>2853.3295999999996</v>
      </c>
      <c r="AA203">
        <f t="shared" si="35"/>
        <v>0.49125972058487893</v>
      </c>
      <c r="AB203" t="e">
        <f t="shared" si="36"/>
        <v>#NUM!</v>
      </c>
      <c r="AC203" t="str">
        <f t="shared" si="37"/>
        <v>July</v>
      </c>
      <c r="AD203">
        <f t="shared" si="38"/>
        <v>2025</v>
      </c>
      <c r="AE203" t="str">
        <f t="shared" si="39"/>
        <v>INVALID</v>
      </c>
    </row>
    <row r="204" spans="1:31">
      <c r="A204" t="s">
        <v>732</v>
      </c>
      <c r="B204" s="3">
        <v>45744</v>
      </c>
      <c r="C204" s="3">
        <v>45744</v>
      </c>
      <c r="D204" t="s">
        <v>733</v>
      </c>
      <c r="E204" t="s">
        <v>142</v>
      </c>
      <c r="F204" t="s">
        <v>100</v>
      </c>
      <c r="G204" t="s">
        <v>73</v>
      </c>
      <c r="H204" t="s">
        <v>200</v>
      </c>
      <c r="I204" t="s">
        <v>201</v>
      </c>
      <c r="J204" t="s">
        <v>84</v>
      </c>
      <c r="K204" t="s">
        <v>85</v>
      </c>
      <c r="L204" t="s">
        <v>734</v>
      </c>
      <c r="M204" t="s">
        <v>69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42</v>
      </c>
      <c r="U204" t="s">
        <v>43</v>
      </c>
      <c r="V204" t="str">
        <f t="shared" si="30"/>
        <v/>
      </c>
      <c r="W204" t="str">
        <f t="shared" si="31"/>
        <v/>
      </c>
      <c r="X204">
        <f t="shared" si="32"/>
        <v>-0.58747117266059101</v>
      </c>
      <c r="Y204">
        <f t="shared" si="33"/>
        <v>13231.144</v>
      </c>
      <c r="Z204">
        <f t="shared" si="34"/>
        <v>1941.0840000000007</v>
      </c>
      <c r="AA204">
        <f t="shared" si="35"/>
        <v>0.14670568168557463</v>
      </c>
      <c r="AB204">
        <f t="shared" si="36"/>
        <v>0</v>
      </c>
      <c r="AC204" t="str">
        <f t="shared" si="37"/>
        <v>March</v>
      </c>
      <c r="AD204">
        <f t="shared" si="38"/>
        <v>2025</v>
      </c>
      <c r="AE204" t="str">
        <f t="shared" si="39"/>
        <v>CLEAN</v>
      </c>
    </row>
    <row r="205" spans="1:31">
      <c r="A205" t="s">
        <v>735</v>
      </c>
      <c r="B205" s="3">
        <v>45379</v>
      </c>
      <c r="C205" s="3">
        <v>45381</v>
      </c>
      <c r="D205" t="s">
        <v>736</v>
      </c>
      <c r="E205" t="s">
        <v>142</v>
      </c>
      <c r="F205" t="s">
        <v>100</v>
      </c>
      <c r="G205" t="s">
        <v>73</v>
      </c>
      <c r="H205" t="s">
        <v>36</v>
      </c>
      <c r="I205" t="s">
        <v>119</v>
      </c>
      <c r="J205" t="s">
        <v>84</v>
      </c>
      <c r="K205" t="s">
        <v>85</v>
      </c>
      <c r="L205" t="s">
        <v>737</v>
      </c>
      <c r="M205" t="s">
        <v>41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42</v>
      </c>
      <c r="U205" t="s">
        <v>43</v>
      </c>
      <c r="V205" t="str">
        <f t="shared" si="30"/>
        <v/>
      </c>
      <c r="W205" t="str">
        <f t="shared" si="31"/>
        <v/>
      </c>
      <c r="X205">
        <f t="shared" si="32"/>
        <v>0.3698572418644821</v>
      </c>
      <c r="Y205">
        <f t="shared" si="33"/>
        <v>484.78899999999999</v>
      </c>
      <c r="Z205">
        <f t="shared" si="34"/>
        <v>151.24899999999997</v>
      </c>
      <c r="AA205">
        <f t="shared" si="35"/>
        <v>0.3119893396921134</v>
      </c>
      <c r="AB205">
        <f t="shared" si="36"/>
        <v>2</v>
      </c>
      <c r="AC205" t="str">
        <f t="shared" si="37"/>
        <v>March</v>
      </c>
      <c r="AD205">
        <f t="shared" si="38"/>
        <v>2024</v>
      </c>
      <c r="AE205" t="str">
        <f t="shared" si="39"/>
        <v>CLEAN</v>
      </c>
    </row>
    <row r="206" spans="1:31">
      <c r="A206" t="s">
        <v>738</v>
      </c>
      <c r="B206" s="3">
        <v>45858</v>
      </c>
      <c r="C206" s="3">
        <v>45861</v>
      </c>
      <c r="D206" t="s">
        <v>739</v>
      </c>
      <c r="E206" t="s">
        <v>46</v>
      </c>
      <c r="F206" t="s">
        <v>105</v>
      </c>
      <c r="G206" t="s">
        <v>48</v>
      </c>
      <c r="H206" t="s">
        <v>109</v>
      </c>
      <c r="I206" t="s">
        <v>110</v>
      </c>
      <c r="J206" t="s">
        <v>51</v>
      </c>
      <c r="K206" t="s">
        <v>52</v>
      </c>
      <c r="L206" t="s">
        <v>740</v>
      </c>
      <c r="M206" t="s">
        <v>41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42</v>
      </c>
      <c r="U206" t="s">
        <v>43</v>
      </c>
      <c r="V206" t="str">
        <f t="shared" si="30"/>
        <v/>
      </c>
      <c r="W206" t="str">
        <f t="shared" si="31"/>
        <v/>
      </c>
      <c r="X206">
        <f t="shared" si="32"/>
        <v>0.3698572418644821</v>
      </c>
      <c r="Y206">
        <f t="shared" si="33"/>
        <v>1624.146</v>
      </c>
      <c r="Z206">
        <f t="shared" si="34"/>
        <v>406.15599999999995</v>
      </c>
      <c r="AA206">
        <f t="shared" si="35"/>
        <v>0.25007357712914968</v>
      </c>
      <c r="AB206">
        <f t="shared" si="36"/>
        <v>3</v>
      </c>
      <c r="AC206" t="str">
        <f t="shared" si="37"/>
        <v>July</v>
      </c>
      <c r="AD206">
        <f t="shared" si="38"/>
        <v>2025</v>
      </c>
      <c r="AE206" t="str">
        <f t="shared" si="39"/>
        <v>CLEAN</v>
      </c>
    </row>
    <row r="207" spans="1:31">
      <c r="A207" t="s">
        <v>741</v>
      </c>
      <c r="B207" s="3">
        <v>45768</v>
      </c>
      <c r="C207" s="3">
        <v>45773</v>
      </c>
      <c r="D207" t="s">
        <v>742</v>
      </c>
      <c r="E207" t="s">
        <v>72</v>
      </c>
      <c r="F207" t="s">
        <v>34</v>
      </c>
      <c r="G207" t="s">
        <v>73</v>
      </c>
      <c r="H207" t="s">
        <v>74</v>
      </c>
      <c r="I207" t="s">
        <v>75</v>
      </c>
      <c r="J207" t="s">
        <v>624</v>
      </c>
      <c r="K207" t="s">
        <v>101</v>
      </c>
      <c r="L207" t="s">
        <v>743</v>
      </c>
      <c r="M207" t="s">
        <v>54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42</v>
      </c>
      <c r="U207" t="s">
        <v>43</v>
      </c>
      <c r="V207" t="str">
        <f t="shared" si="30"/>
        <v/>
      </c>
      <c r="W207" t="str">
        <f t="shared" si="31"/>
        <v/>
      </c>
      <c r="X207">
        <f t="shared" si="32"/>
        <v>0.84852144912701888</v>
      </c>
      <c r="Y207">
        <f t="shared" si="33"/>
        <v>4193.232</v>
      </c>
      <c r="Z207">
        <f t="shared" si="34"/>
        <v>863.24200000000019</v>
      </c>
      <c r="AA207">
        <f t="shared" si="35"/>
        <v>0.2058655471483572</v>
      </c>
      <c r="AB207">
        <f t="shared" si="36"/>
        <v>5</v>
      </c>
      <c r="AC207" t="str">
        <f t="shared" si="37"/>
        <v>April</v>
      </c>
      <c r="AD207">
        <f t="shared" si="38"/>
        <v>2025</v>
      </c>
      <c r="AE207" t="str">
        <f t="shared" si="39"/>
        <v>CLEAN</v>
      </c>
    </row>
    <row r="208" spans="1:31">
      <c r="A208" t="s">
        <v>744</v>
      </c>
      <c r="B208" s="3">
        <v>45795</v>
      </c>
      <c r="C208" s="3">
        <v>45797</v>
      </c>
      <c r="D208" t="s">
        <v>745</v>
      </c>
      <c r="E208" t="s">
        <v>172</v>
      </c>
      <c r="F208" t="s">
        <v>47</v>
      </c>
      <c r="G208" t="s">
        <v>35</v>
      </c>
      <c r="H208" t="s">
        <v>146</v>
      </c>
      <c r="I208" t="s">
        <v>147</v>
      </c>
      <c r="J208" t="s">
        <v>51</v>
      </c>
      <c r="K208" t="s">
        <v>67</v>
      </c>
      <c r="L208" t="s">
        <v>746</v>
      </c>
      <c r="M208" t="s">
        <v>60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42</v>
      </c>
      <c r="U208" t="s">
        <v>43</v>
      </c>
      <c r="V208" t="str">
        <f t="shared" si="30"/>
        <v/>
      </c>
      <c r="W208" t="str">
        <f t="shared" si="31"/>
        <v/>
      </c>
      <c r="X208">
        <f t="shared" si="32"/>
        <v>-1.0661353799231277</v>
      </c>
      <c r="Y208">
        <f t="shared" si="33"/>
        <v>430.26</v>
      </c>
      <c r="Z208">
        <f t="shared" si="34"/>
        <v>143.88</v>
      </c>
      <c r="AA208">
        <f t="shared" si="35"/>
        <v>0.33440245432994004</v>
      </c>
      <c r="AB208">
        <f t="shared" si="36"/>
        <v>2</v>
      </c>
      <c r="AC208" t="str">
        <f t="shared" si="37"/>
        <v>May</v>
      </c>
      <c r="AD208">
        <f t="shared" si="38"/>
        <v>2025</v>
      </c>
      <c r="AE208" t="str">
        <f t="shared" si="39"/>
        <v>CLEAN</v>
      </c>
    </row>
    <row r="209" spans="1:31">
      <c r="A209" t="s">
        <v>747</v>
      </c>
      <c r="B209" s="3">
        <v>45483</v>
      </c>
      <c r="C209" s="3">
        <v>45489</v>
      </c>
      <c r="D209" t="s">
        <v>748</v>
      </c>
      <c r="E209" t="s">
        <v>138</v>
      </c>
      <c r="F209" t="s">
        <v>105</v>
      </c>
      <c r="G209" t="s">
        <v>73</v>
      </c>
      <c r="H209" t="s">
        <v>200</v>
      </c>
      <c r="I209" t="s">
        <v>201</v>
      </c>
      <c r="J209" t="s">
        <v>51</v>
      </c>
      <c r="K209" t="s">
        <v>168</v>
      </c>
      <c r="L209" t="s">
        <v>749</v>
      </c>
      <c r="M209" t="s">
        <v>41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42</v>
      </c>
      <c r="U209" t="s">
        <v>43</v>
      </c>
      <c r="V209" t="str">
        <f t="shared" si="30"/>
        <v/>
      </c>
      <c r="W209" t="str">
        <f t="shared" si="31"/>
        <v/>
      </c>
      <c r="X209">
        <f t="shared" si="32"/>
        <v>0.84852144912701888</v>
      </c>
      <c r="Y209">
        <f t="shared" si="33"/>
        <v>1752.7200000000003</v>
      </c>
      <c r="Z209">
        <f t="shared" si="34"/>
        <v>756.31000000000029</v>
      </c>
      <c r="AA209">
        <f t="shared" si="35"/>
        <v>0.43150645853302305</v>
      </c>
      <c r="AB209">
        <f t="shared" si="36"/>
        <v>6</v>
      </c>
      <c r="AC209" t="str">
        <f t="shared" si="37"/>
        <v>July</v>
      </c>
      <c r="AD209">
        <f t="shared" si="38"/>
        <v>2024</v>
      </c>
      <c r="AE209" t="str">
        <f t="shared" si="39"/>
        <v>CLEAN</v>
      </c>
    </row>
    <row r="210" spans="1:31">
      <c r="A210" t="s">
        <v>750</v>
      </c>
      <c r="B210" s="3">
        <v>45837</v>
      </c>
      <c r="C210" s="3">
        <v>45843</v>
      </c>
      <c r="D210" t="s">
        <v>751</v>
      </c>
      <c r="E210" t="s">
        <v>172</v>
      </c>
      <c r="F210" t="s">
        <v>34</v>
      </c>
      <c r="G210" t="s">
        <v>35</v>
      </c>
      <c r="H210" t="s">
        <v>132</v>
      </c>
      <c r="I210" t="s">
        <v>133</v>
      </c>
      <c r="J210" t="s">
        <v>51</v>
      </c>
      <c r="K210" t="s">
        <v>76</v>
      </c>
      <c r="L210" t="s">
        <v>752</v>
      </c>
      <c r="M210" t="s">
        <v>54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42</v>
      </c>
      <c r="U210" t="s">
        <v>43</v>
      </c>
      <c r="V210" t="str">
        <f t="shared" si="30"/>
        <v/>
      </c>
      <c r="W210" t="str">
        <f t="shared" si="31"/>
        <v/>
      </c>
      <c r="X210">
        <f t="shared" si="32"/>
        <v>-1.0661353799231277</v>
      </c>
      <c r="Y210">
        <f t="shared" si="33"/>
        <v>999.83</v>
      </c>
      <c r="Z210">
        <f t="shared" si="34"/>
        <v>364.92000000000007</v>
      </c>
      <c r="AA210">
        <f t="shared" si="35"/>
        <v>0.3649820469479812</v>
      </c>
      <c r="AB210">
        <f t="shared" si="36"/>
        <v>6</v>
      </c>
      <c r="AC210" t="str">
        <f t="shared" si="37"/>
        <v>June</v>
      </c>
      <c r="AD210">
        <f t="shared" si="38"/>
        <v>2025</v>
      </c>
      <c r="AE210" t="str">
        <f t="shared" si="39"/>
        <v>CLEAN</v>
      </c>
    </row>
    <row r="211" spans="1:31">
      <c r="A211" t="s">
        <v>753</v>
      </c>
      <c r="B211" s="3">
        <v>45882</v>
      </c>
      <c r="C211" s="3">
        <v>45883</v>
      </c>
      <c r="D211" t="s">
        <v>754</v>
      </c>
      <c r="E211" t="s">
        <v>151</v>
      </c>
      <c r="F211" t="s">
        <v>47</v>
      </c>
      <c r="G211" t="s">
        <v>64</v>
      </c>
      <c r="H211" t="s">
        <v>94</v>
      </c>
      <c r="I211" t="s">
        <v>95</v>
      </c>
      <c r="J211" t="s">
        <v>38</v>
      </c>
      <c r="K211" t="s">
        <v>39</v>
      </c>
      <c r="L211" t="s">
        <v>755</v>
      </c>
      <c r="M211" t="s">
        <v>60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42</v>
      </c>
      <c r="U211" t="s">
        <v>43</v>
      </c>
      <c r="V211" t="str">
        <f t="shared" si="30"/>
        <v/>
      </c>
      <c r="W211" t="str">
        <f t="shared" si="31"/>
        <v/>
      </c>
      <c r="X211">
        <f t="shared" si="32"/>
        <v>-0.10880696539805437</v>
      </c>
      <c r="Y211">
        <f t="shared" si="33"/>
        <v>7006.3379999999997</v>
      </c>
      <c r="Z211">
        <f t="shared" si="34"/>
        <v>2365.4579999999996</v>
      </c>
      <c r="AA211">
        <f t="shared" si="35"/>
        <v>0.33761688345609359</v>
      </c>
      <c r="AB211">
        <f t="shared" si="36"/>
        <v>1</v>
      </c>
      <c r="AC211" t="str">
        <f t="shared" si="37"/>
        <v>August</v>
      </c>
      <c r="AD211">
        <f t="shared" si="38"/>
        <v>2025</v>
      </c>
      <c r="AE211" t="str">
        <f t="shared" si="39"/>
        <v>CLEAN</v>
      </c>
    </row>
    <row r="212" spans="1:31">
      <c r="A212" t="s">
        <v>756</v>
      </c>
      <c r="B212" s="3">
        <v>45366</v>
      </c>
      <c r="C212" s="3">
        <v>45369</v>
      </c>
      <c r="D212" t="s">
        <v>757</v>
      </c>
      <c r="E212" t="s">
        <v>276</v>
      </c>
      <c r="F212" t="s">
        <v>105</v>
      </c>
      <c r="G212" t="s">
        <v>64</v>
      </c>
      <c r="H212" t="s">
        <v>185</v>
      </c>
      <c r="I212" t="s">
        <v>186</v>
      </c>
      <c r="J212" t="s">
        <v>84</v>
      </c>
      <c r="K212" t="s">
        <v>286</v>
      </c>
      <c r="L212" t="s">
        <v>758</v>
      </c>
      <c r="M212" t="s">
        <v>41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165</v>
      </c>
      <c r="U212" t="s">
        <v>113</v>
      </c>
      <c r="V212" t="str">
        <f t="shared" si="30"/>
        <v/>
      </c>
      <c r="W212" t="str">
        <f t="shared" si="31"/>
        <v/>
      </c>
      <c r="X212">
        <f t="shared" si="32"/>
        <v>-1.0661353799231277</v>
      </c>
      <c r="Y212">
        <f t="shared" si="33"/>
        <v>4131.3599999999997</v>
      </c>
      <c r="Z212">
        <f t="shared" si="34"/>
        <v>1194.2899999999995</v>
      </c>
      <c r="AA212">
        <f t="shared" si="35"/>
        <v>0.28907914100925591</v>
      </c>
      <c r="AB212">
        <f t="shared" si="36"/>
        <v>3</v>
      </c>
      <c r="AC212" t="str">
        <f t="shared" si="37"/>
        <v>March</v>
      </c>
      <c r="AD212">
        <f t="shared" si="38"/>
        <v>2024</v>
      </c>
      <c r="AE212" t="str">
        <f t="shared" si="39"/>
        <v>CLEAN</v>
      </c>
    </row>
    <row r="213" spans="1:31">
      <c r="A213" t="s">
        <v>759</v>
      </c>
      <c r="B213" s="3">
        <v>45428</v>
      </c>
      <c r="C213" s="3">
        <v>45429</v>
      </c>
      <c r="D213" t="s">
        <v>760</v>
      </c>
      <c r="E213" t="s">
        <v>151</v>
      </c>
      <c r="F213" t="s">
        <v>100</v>
      </c>
      <c r="G213" t="s">
        <v>761</v>
      </c>
      <c r="H213" t="s">
        <v>109</v>
      </c>
      <c r="I213" t="s">
        <v>110</v>
      </c>
      <c r="J213" t="s">
        <v>84</v>
      </c>
      <c r="K213" t="s">
        <v>90</v>
      </c>
      <c r="L213" t="s">
        <v>762</v>
      </c>
      <c r="M213" t="s">
        <v>41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42</v>
      </c>
      <c r="U213" t="s">
        <v>43</v>
      </c>
      <c r="V213" t="str">
        <f t="shared" si="30"/>
        <v/>
      </c>
      <c r="W213" t="str">
        <f t="shared" si="31"/>
        <v/>
      </c>
      <c r="X213">
        <f t="shared" si="32"/>
        <v>0.84852144912701888</v>
      </c>
      <c r="Y213">
        <f t="shared" si="33"/>
        <v>27020.48</v>
      </c>
      <c r="Z213">
        <f t="shared" si="34"/>
        <v>4135.239999999998</v>
      </c>
      <c r="AA213">
        <f t="shared" si="35"/>
        <v>0.15304095264036752</v>
      </c>
      <c r="AB213">
        <f t="shared" si="36"/>
        <v>1</v>
      </c>
      <c r="AC213" t="str">
        <f t="shared" si="37"/>
        <v>May</v>
      </c>
      <c r="AD213">
        <f t="shared" si="38"/>
        <v>2024</v>
      </c>
      <c r="AE213" t="str">
        <f t="shared" si="39"/>
        <v>CLEAN</v>
      </c>
    </row>
    <row r="214" spans="1:31">
      <c r="A214" t="s">
        <v>763</v>
      </c>
      <c r="B214" s="3">
        <v>45556</v>
      </c>
      <c r="C214" s="3">
        <v>45556</v>
      </c>
      <c r="D214" t="s">
        <v>764</v>
      </c>
      <c r="E214" t="s">
        <v>72</v>
      </c>
      <c r="F214" t="s">
        <v>47</v>
      </c>
      <c r="G214" t="s">
        <v>48</v>
      </c>
      <c r="H214" t="s">
        <v>49</v>
      </c>
      <c r="I214" t="s">
        <v>50</v>
      </c>
      <c r="J214" t="s">
        <v>84</v>
      </c>
      <c r="K214" t="s">
        <v>181</v>
      </c>
      <c r="L214" t="s">
        <v>765</v>
      </c>
      <c r="M214" t="s">
        <v>54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42</v>
      </c>
      <c r="U214" t="s">
        <v>43</v>
      </c>
      <c r="V214" t="str">
        <f t="shared" si="30"/>
        <v/>
      </c>
      <c r="W214" t="str">
        <f t="shared" si="31"/>
        <v/>
      </c>
      <c r="X214">
        <f t="shared" si="32"/>
        <v>0.3698572418644821</v>
      </c>
      <c r="Y214">
        <f t="shared" si="33"/>
        <v>364.65</v>
      </c>
      <c r="Z214">
        <f t="shared" si="34"/>
        <v>83.909999999999968</v>
      </c>
      <c r="AA214">
        <f t="shared" si="35"/>
        <v>0.23011106540518297</v>
      </c>
      <c r="AB214">
        <f t="shared" si="36"/>
        <v>0</v>
      </c>
      <c r="AC214" t="str">
        <f t="shared" si="37"/>
        <v>September</v>
      </c>
      <c r="AD214">
        <f t="shared" si="38"/>
        <v>2024</v>
      </c>
      <c r="AE214" t="str">
        <f t="shared" si="39"/>
        <v>CLEAN</v>
      </c>
    </row>
    <row r="215" spans="1:31">
      <c r="A215" t="s">
        <v>766</v>
      </c>
      <c r="B215" s="3">
        <v>45427</v>
      </c>
      <c r="C215" s="3">
        <v>45433</v>
      </c>
      <c r="D215" t="s">
        <v>767</v>
      </c>
      <c r="E215" t="s">
        <v>57</v>
      </c>
      <c r="F215" t="s">
        <v>47</v>
      </c>
      <c r="G215" t="s">
        <v>48</v>
      </c>
      <c r="H215" t="s">
        <v>155</v>
      </c>
      <c r="I215" t="s">
        <v>156</v>
      </c>
      <c r="J215" t="s">
        <v>84</v>
      </c>
      <c r="K215" t="s">
        <v>85</v>
      </c>
      <c r="L215" t="s">
        <v>768</v>
      </c>
      <c r="M215" t="s">
        <v>41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42</v>
      </c>
      <c r="U215" t="s">
        <v>43</v>
      </c>
      <c r="V215" t="str">
        <f t="shared" si="30"/>
        <v/>
      </c>
      <c r="W215" t="str">
        <f t="shared" si="31"/>
        <v/>
      </c>
      <c r="X215">
        <f t="shared" si="32"/>
        <v>0.84852144912701888</v>
      </c>
      <c r="Y215">
        <f t="shared" si="33"/>
        <v>13864.735999999999</v>
      </c>
      <c r="Z215">
        <f t="shared" si="34"/>
        <v>2570.6759999999995</v>
      </c>
      <c r="AA215">
        <f t="shared" si="35"/>
        <v>0.18541110339208763</v>
      </c>
      <c r="AB215">
        <f t="shared" si="36"/>
        <v>6</v>
      </c>
      <c r="AC215" t="str">
        <f t="shared" si="37"/>
        <v>May</v>
      </c>
      <c r="AD215">
        <f t="shared" si="38"/>
        <v>2024</v>
      </c>
      <c r="AE215" t="str">
        <f t="shared" si="39"/>
        <v>CLEAN</v>
      </c>
    </row>
    <row r="216" spans="1:31">
      <c r="A216" t="s">
        <v>769</v>
      </c>
      <c r="B216" s="3">
        <v>45368</v>
      </c>
      <c r="C216" s="3">
        <v>45374</v>
      </c>
      <c r="D216" t="s">
        <v>770</v>
      </c>
      <c r="E216" t="s">
        <v>128</v>
      </c>
      <c r="F216" t="s">
        <v>34</v>
      </c>
      <c r="G216" t="s">
        <v>35</v>
      </c>
      <c r="H216" t="s">
        <v>248</v>
      </c>
      <c r="I216" t="s">
        <v>249</v>
      </c>
      <c r="J216" t="s">
        <v>84</v>
      </c>
      <c r="K216" t="s">
        <v>85</v>
      </c>
      <c r="L216" t="s">
        <v>771</v>
      </c>
      <c r="M216" t="s">
        <v>60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42</v>
      </c>
      <c r="U216" t="s">
        <v>43</v>
      </c>
      <c r="V216" t="str">
        <f t="shared" si="30"/>
        <v/>
      </c>
      <c r="W216" t="str">
        <f t="shared" si="31"/>
        <v/>
      </c>
      <c r="X216">
        <f t="shared" si="32"/>
        <v>-0.58747117266059101</v>
      </c>
      <c r="Y216">
        <f t="shared" si="33"/>
        <v>707.31299999999999</v>
      </c>
      <c r="Z216">
        <f t="shared" si="34"/>
        <v>138.31299999999999</v>
      </c>
      <c r="AA216">
        <f t="shared" si="35"/>
        <v>0.19554709159876885</v>
      </c>
      <c r="AB216">
        <f t="shared" si="36"/>
        <v>6</v>
      </c>
      <c r="AC216" t="str">
        <f t="shared" si="37"/>
        <v>March</v>
      </c>
      <c r="AD216">
        <f t="shared" si="38"/>
        <v>2024</v>
      </c>
      <c r="AE216" t="str">
        <f t="shared" si="39"/>
        <v>CLEAN</v>
      </c>
    </row>
    <row r="217" spans="1:31">
      <c r="A217" t="s">
        <v>772</v>
      </c>
      <c r="B217" s="3">
        <v>45352</v>
      </c>
      <c r="C217" s="3">
        <v>45355</v>
      </c>
      <c r="D217" t="s">
        <v>773</v>
      </c>
      <c r="E217" t="s">
        <v>46</v>
      </c>
      <c r="F217" t="s">
        <v>34</v>
      </c>
      <c r="G217" t="s">
        <v>73</v>
      </c>
      <c r="H217" t="s">
        <v>82</v>
      </c>
      <c r="I217" t="s">
        <v>83</v>
      </c>
      <c r="J217" t="s">
        <v>38</v>
      </c>
      <c r="K217" t="s">
        <v>39</v>
      </c>
      <c r="L217" t="s">
        <v>774</v>
      </c>
      <c r="M217" t="s">
        <v>60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42</v>
      </c>
      <c r="U217" t="s">
        <v>43</v>
      </c>
      <c r="V217" t="str">
        <f t="shared" si="30"/>
        <v/>
      </c>
      <c r="W217" t="str">
        <f t="shared" si="31"/>
        <v/>
      </c>
      <c r="X217">
        <f t="shared" si="32"/>
        <v>1.3271856563895552</v>
      </c>
      <c r="Y217">
        <f t="shared" si="33"/>
        <v>19214.400000000001</v>
      </c>
      <c r="Z217">
        <f t="shared" si="34"/>
        <v>8298.3900000000012</v>
      </c>
      <c r="AA217">
        <f t="shared" si="35"/>
        <v>0.43188389957531853</v>
      </c>
      <c r="AB217">
        <f t="shared" si="36"/>
        <v>3</v>
      </c>
      <c r="AC217" t="str">
        <f t="shared" si="37"/>
        <v>March</v>
      </c>
      <c r="AD217">
        <f t="shared" si="38"/>
        <v>2024</v>
      </c>
      <c r="AE217" t="str">
        <f t="shared" si="39"/>
        <v>CLEAN</v>
      </c>
    </row>
    <row r="218" spans="1:31">
      <c r="A218" t="s">
        <v>775</v>
      </c>
      <c r="B218" s="3">
        <v>45934</v>
      </c>
      <c r="C218" s="3">
        <v>45762</v>
      </c>
      <c r="D218" t="s">
        <v>776</v>
      </c>
      <c r="E218" t="s">
        <v>57</v>
      </c>
      <c r="F218" t="s">
        <v>34</v>
      </c>
      <c r="G218" t="s">
        <v>73</v>
      </c>
      <c r="H218" t="s">
        <v>190</v>
      </c>
      <c r="I218" t="s">
        <v>191</v>
      </c>
      <c r="J218" t="s">
        <v>51</v>
      </c>
      <c r="K218" t="s">
        <v>52</v>
      </c>
      <c r="L218" t="s">
        <v>777</v>
      </c>
      <c r="M218" t="s">
        <v>69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165</v>
      </c>
      <c r="U218" t="s">
        <v>113</v>
      </c>
      <c r="V218" t="str">
        <f t="shared" si="30"/>
        <v/>
      </c>
      <c r="W218" t="str">
        <f t="shared" si="31"/>
        <v>Invalid Shipping Record</v>
      </c>
      <c r="X218">
        <f t="shared" si="32"/>
        <v>1.3271856563895552</v>
      </c>
      <c r="Y218">
        <f t="shared" si="33"/>
        <v>11039.22</v>
      </c>
      <c r="Z218">
        <f t="shared" si="34"/>
        <v>3396.3099999999995</v>
      </c>
      <c r="AA218">
        <f t="shared" si="35"/>
        <v>0.30765851210502188</v>
      </c>
      <c r="AB218" t="e">
        <f t="shared" si="36"/>
        <v>#NUM!</v>
      </c>
      <c r="AC218" t="str">
        <f t="shared" si="37"/>
        <v>October</v>
      </c>
      <c r="AD218">
        <f t="shared" si="38"/>
        <v>2025</v>
      </c>
      <c r="AE218" t="str">
        <f t="shared" si="39"/>
        <v>INVALID</v>
      </c>
    </row>
    <row r="219" spans="1:31">
      <c r="A219" t="s">
        <v>778</v>
      </c>
      <c r="B219" s="3">
        <v>45748</v>
      </c>
      <c r="C219" s="3">
        <v>45873</v>
      </c>
      <c r="D219" t="s">
        <v>779</v>
      </c>
      <c r="E219" t="s">
        <v>99</v>
      </c>
      <c r="F219" t="s">
        <v>34</v>
      </c>
      <c r="G219" t="s">
        <v>48</v>
      </c>
      <c r="H219" t="s">
        <v>49</v>
      </c>
      <c r="I219" t="s">
        <v>50</v>
      </c>
      <c r="J219" t="s">
        <v>51</v>
      </c>
      <c r="K219" t="s">
        <v>168</v>
      </c>
      <c r="L219" t="s">
        <v>780</v>
      </c>
      <c r="M219" t="s">
        <v>41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112</v>
      </c>
      <c r="U219" t="s">
        <v>78</v>
      </c>
      <c r="V219" t="str">
        <f t="shared" si="30"/>
        <v/>
      </c>
      <c r="W219" t="str">
        <f t="shared" si="31"/>
        <v/>
      </c>
      <c r="X219">
        <f t="shared" si="32"/>
        <v>-0.10880696539805437</v>
      </c>
      <c r="Y219">
        <f t="shared" si="33"/>
        <v>4595.76</v>
      </c>
      <c r="Z219">
        <f t="shared" si="34"/>
        <v>1198.96</v>
      </c>
      <c r="AA219">
        <f t="shared" si="35"/>
        <v>0.26088394520166414</v>
      </c>
      <c r="AB219">
        <f t="shared" si="36"/>
        <v>125</v>
      </c>
      <c r="AC219" t="str">
        <f t="shared" si="37"/>
        <v>April</v>
      </c>
      <c r="AD219">
        <f t="shared" si="38"/>
        <v>2025</v>
      </c>
      <c r="AE219" t="str">
        <f t="shared" si="39"/>
        <v>WARNING</v>
      </c>
    </row>
    <row r="220" spans="1:31">
      <c r="A220" t="s">
        <v>781</v>
      </c>
      <c r="B220" s="3">
        <v>45714</v>
      </c>
      <c r="C220" s="3">
        <v>45715</v>
      </c>
      <c r="D220" t="s">
        <v>782</v>
      </c>
      <c r="E220" t="s">
        <v>124</v>
      </c>
      <c r="F220" t="s">
        <v>100</v>
      </c>
      <c r="G220" t="s">
        <v>73</v>
      </c>
      <c r="H220" t="s">
        <v>190</v>
      </c>
      <c r="I220" t="s">
        <v>191</v>
      </c>
      <c r="J220" t="s">
        <v>51</v>
      </c>
      <c r="K220" t="s">
        <v>168</v>
      </c>
      <c r="L220" t="s">
        <v>783</v>
      </c>
      <c r="M220" t="s">
        <v>69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42</v>
      </c>
      <c r="U220" t="s">
        <v>43</v>
      </c>
      <c r="V220" t="str">
        <f t="shared" si="30"/>
        <v/>
      </c>
      <c r="W220" t="str">
        <f t="shared" si="31"/>
        <v/>
      </c>
      <c r="X220">
        <f t="shared" si="32"/>
        <v>-1.0661353799231277</v>
      </c>
      <c r="Y220">
        <f t="shared" si="33"/>
        <v>1291.3999999999999</v>
      </c>
      <c r="Z220">
        <f t="shared" si="34"/>
        <v>534.46999999999991</v>
      </c>
      <c r="AA220">
        <f t="shared" si="35"/>
        <v>0.41386866966083319</v>
      </c>
      <c r="AB220">
        <f t="shared" si="36"/>
        <v>1</v>
      </c>
      <c r="AC220" t="str">
        <f t="shared" si="37"/>
        <v>February</v>
      </c>
      <c r="AD220">
        <f t="shared" si="38"/>
        <v>2025</v>
      </c>
      <c r="AE220" t="str">
        <f t="shared" si="39"/>
        <v>CLEAN</v>
      </c>
    </row>
    <row r="221" spans="1:31">
      <c r="A221" t="s">
        <v>784</v>
      </c>
      <c r="B221" s="3">
        <v>45461</v>
      </c>
      <c r="C221" s="3">
        <v>45462</v>
      </c>
      <c r="D221" t="s">
        <v>785</v>
      </c>
      <c r="E221" t="s">
        <v>128</v>
      </c>
      <c r="F221" t="s">
        <v>34</v>
      </c>
      <c r="G221" t="s">
        <v>48</v>
      </c>
      <c r="H221" t="s">
        <v>155</v>
      </c>
      <c r="I221" t="s">
        <v>156</v>
      </c>
      <c r="J221" t="s">
        <v>84</v>
      </c>
      <c r="K221" t="s">
        <v>286</v>
      </c>
      <c r="L221" t="s">
        <v>786</v>
      </c>
      <c r="M221" t="s">
        <v>60</v>
      </c>
      <c r="N221">
        <v>2</v>
      </c>
      <c r="O221">
        <v>121.49</v>
      </c>
      <c r="P221" t="s">
        <v>787</v>
      </c>
      <c r="Q221">
        <v>242.98</v>
      </c>
      <c r="R221">
        <v>161.41999999999999</v>
      </c>
      <c r="S221">
        <v>81.56</v>
      </c>
      <c r="T221" t="s">
        <v>42</v>
      </c>
      <c r="U221" t="s">
        <v>43</v>
      </c>
      <c r="V221" t="str">
        <f t="shared" si="30"/>
        <v>Invalid Discount</v>
      </c>
      <c r="W221" t="str">
        <f t="shared" si="31"/>
        <v/>
      </c>
      <c r="X221">
        <f t="shared" si="32"/>
        <v>7.0711561435399943</v>
      </c>
      <c r="Y221">
        <f t="shared" si="33"/>
        <v>36.447000000000003</v>
      </c>
      <c r="Z221">
        <f t="shared" si="34"/>
        <v>-124.97299999999998</v>
      </c>
      <c r="AA221">
        <f t="shared" si="35"/>
        <v>-3.4288967541910162</v>
      </c>
      <c r="AB221">
        <f t="shared" si="36"/>
        <v>1</v>
      </c>
      <c r="AC221" t="str">
        <f t="shared" si="37"/>
        <v>June</v>
      </c>
      <c r="AD221">
        <f t="shared" si="38"/>
        <v>2024</v>
      </c>
      <c r="AE221" t="str">
        <f t="shared" si="39"/>
        <v>INVALID</v>
      </c>
    </row>
    <row r="222" spans="1:31">
      <c r="A222" t="s">
        <v>788</v>
      </c>
      <c r="B222" s="3">
        <v>45360</v>
      </c>
      <c r="C222" s="3">
        <v>45360</v>
      </c>
      <c r="D222" t="s">
        <v>789</v>
      </c>
      <c r="E222" t="s">
        <v>142</v>
      </c>
      <c r="F222" t="s">
        <v>34</v>
      </c>
      <c r="G222" t="s">
        <v>64</v>
      </c>
      <c r="H222" t="s">
        <v>195</v>
      </c>
      <c r="I222" t="s">
        <v>196</v>
      </c>
      <c r="J222" t="s">
        <v>38</v>
      </c>
      <c r="K222" t="s">
        <v>134</v>
      </c>
      <c r="L222" t="s">
        <v>790</v>
      </c>
      <c r="M222" t="s">
        <v>60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112</v>
      </c>
      <c r="U222" t="s">
        <v>78</v>
      </c>
      <c r="V222" t="str">
        <f t="shared" si="30"/>
        <v/>
      </c>
      <c r="W222" t="str">
        <f t="shared" si="31"/>
        <v/>
      </c>
      <c r="X222">
        <f t="shared" si="32"/>
        <v>0.3698572418644821</v>
      </c>
      <c r="Y222">
        <f t="shared" si="33"/>
        <v>9554.5779999999995</v>
      </c>
      <c r="Z222">
        <f t="shared" si="34"/>
        <v>3486.1079999999993</v>
      </c>
      <c r="AA222">
        <f t="shared" si="35"/>
        <v>0.36486258210462036</v>
      </c>
      <c r="AB222">
        <f t="shared" si="36"/>
        <v>0</v>
      </c>
      <c r="AC222" t="str">
        <f t="shared" si="37"/>
        <v>March</v>
      </c>
      <c r="AD222">
        <f t="shared" si="38"/>
        <v>2024</v>
      </c>
      <c r="AE222" t="str">
        <f t="shared" si="39"/>
        <v>WARNING</v>
      </c>
    </row>
    <row r="223" spans="1:31">
      <c r="A223" t="s">
        <v>791</v>
      </c>
      <c r="B223" s="3">
        <v>45669</v>
      </c>
      <c r="C223" s="3">
        <v>45672</v>
      </c>
      <c r="D223" t="s">
        <v>792</v>
      </c>
      <c r="E223" t="s">
        <v>46</v>
      </c>
      <c r="F223" t="s">
        <v>100</v>
      </c>
      <c r="G223" t="s">
        <v>64</v>
      </c>
      <c r="H223" t="s">
        <v>185</v>
      </c>
      <c r="I223" t="s">
        <v>186</v>
      </c>
      <c r="J223" t="s">
        <v>51</v>
      </c>
      <c r="K223" t="s">
        <v>76</v>
      </c>
      <c r="L223" t="s">
        <v>793</v>
      </c>
      <c r="M223" t="s">
        <v>54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42</v>
      </c>
      <c r="U223" t="s">
        <v>43</v>
      </c>
      <c r="V223" t="str">
        <f t="shared" si="30"/>
        <v/>
      </c>
      <c r="W223" t="str">
        <f t="shared" si="31"/>
        <v/>
      </c>
      <c r="X223">
        <f t="shared" si="32"/>
        <v>0.84852144912701888</v>
      </c>
      <c r="Y223">
        <f t="shared" si="33"/>
        <v>4900.8959999999997</v>
      </c>
      <c r="Z223">
        <f t="shared" si="34"/>
        <v>1348.2059999999997</v>
      </c>
      <c r="AA223">
        <f t="shared" si="35"/>
        <v>0.27509377877024932</v>
      </c>
      <c r="AB223">
        <f t="shared" si="36"/>
        <v>3</v>
      </c>
      <c r="AC223" t="str">
        <f t="shared" si="37"/>
        <v>January</v>
      </c>
      <c r="AD223">
        <f t="shared" si="38"/>
        <v>2025</v>
      </c>
      <c r="AE223" t="str">
        <f t="shared" si="39"/>
        <v>CLEAN</v>
      </c>
    </row>
    <row r="224" spans="1:31">
      <c r="A224" t="s">
        <v>794</v>
      </c>
      <c r="B224" s="3">
        <v>45776</v>
      </c>
      <c r="C224" s="3">
        <v>45779</v>
      </c>
      <c r="D224" t="s">
        <v>795</v>
      </c>
      <c r="E224" t="s">
        <v>81</v>
      </c>
      <c r="F224" t="s">
        <v>47</v>
      </c>
      <c r="G224" t="s">
        <v>73</v>
      </c>
      <c r="H224" t="s">
        <v>200</v>
      </c>
      <c r="I224" t="s">
        <v>201</v>
      </c>
      <c r="J224" t="s">
        <v>38</v>
      </c>
      <c r="K224" t="s">
        <v>134</v>
      </c>
      <c r="L224" t="s">
        <v>796</v>
      </c>
      <c r="M224" t="s">
        <v>60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42</v>
      </c>
      <c r="U224" t="s">
        <v>43</v>
      </c>
      <c r="V224" t="str">
        <f t="shared" si="30"/>
        <v/>
      </c>
      <c r="W224" t="str">
        <f t="shared" si="31"/>
        <v/>
      </c>
      <c r="X224">
        <f t="shared" si="32"/>
        <v>-1.0661353799231277</v>
      </c>
      <c r="Y224">
        <f t="shared" si="33"/>
        <v>25848.54</v>
      </c>
      <c r="Z224">
        <f t="shared" si="34"/>
        <v>8119.4500000000007</v>
      </c>
      <c r="AA224">
        <f t="shared" si="35"/>
        <v>0.31411638723115504</v>
      </c>
      <c r="AB224">
        <f t="shared" si="36"/>
        <v>3</v>
      </c>
      <c r="AC224" t="str">
        <f t="shared" si="37"/>
        <v>April</v>
      </c>
      <c r="AD224">
        <f t="shared" si="38"/>
        <v>2025</v>
      </c>
      <c r="AE224" t="str">
        <f t="shared" si="39"/>
        <v>CLEAN</v>
      </c>
    </row>
    <row r="225" spans="1:31">
      <c r="A225" t="s">
        <v>797</v>
      </c>
      <c r="B225" s="3">
        <v>45707</v>
      </c>
      <c r="C225" s="3">
        <v>45714</v>
      </c>
      <c r="D225" t="s">
        <v>798</v>
      </c>
      <c r="E225" t="s">
        <v>46</v>
      </c>
      <c r="F225" t="s">
        <v>100</v>
      </c>
      <c r="G225" t="s">
        <v>73</v>
      </c>
      <c r="H225" t="s">
        <v>74</v>
      </c>
      <c r="I225" t="s">
        <v>75</v>
      </c>
      <c r="J225" t="s">
        <v>51</v>
      </c>
      <c r="K225" t="s">
        <v>67</v>
      </c>
      <c r="L225" t="s">
        <v>799</v>
      </c>
      <c r="M225" t="s">
        <v>60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121</v>
      </c>
      <c r="U225" t="s">
        <v>113</v>
      </c>
      <c r="V225" t="str">
        <f t="shared" si="30"/>
        <v/>
      </c>
      <c r="W225" t="str">
        <f t="shared" si="31"/>
        <v/>
      </c>
      <c r="X225">
        <f t="shared" si="32"/>
        <v>0.84852144912701888</v>
      </c>
      <c r="Y225">
        <f t="shared" si="33"/>
        <v>1176.72</v>
      </c>
      <c r="Z225">
        <f t="shared" si="34"/>
        <v>522.39</v>
      </c>
      <c r="AA225">
        <f t="shared" si="35"/>
        <v>0.44393738527432181</v>
      </c>
      <c r="AB225">
        <f t="shared" si="36"/>
        <v>7</v>
      </c>
      <c r="AC225" t="str">
        <f t="shared" si="37"/>
        <v>February</v>
      </c>
      <c r="AD225">
        <f t="shared" si="38"/>
        <v>2025</v>
      </c>
      <c r="AE225" t="str">
        <f t="shared" si="39"/>
        <v>CLEAN</v>
      </c>
    </row>
    <row r="226" spans="1:31">
      <c r="A226" t="s">
        <v>800</v>
      </c>
      <c r="B226" s="3">
        <v>45698</v>
      </c>
      <c r="C226" s="3">
        <v>45938</v>
      </c>
      <c r="D226" t="s">
        <v>801</v>
      </c>
      <c r="E226" t="s">
        <v>57</v>
      </c>
      <c r="F226" t="s">
        <v>47</v>
      </c>
      <c r="G226" t="s">
        <v>35</v>
      </c>
      <c r="H226" t="s">
        <v>132</v>
      </c>
      <c r="I226" t="s">
        <v>133</v>
      </c>
      <c r="J226" t="s">
        <v>51</v>
      </c>
      <c r="K226" t="s">
        <v>67</v>
      </c>
      <c r="L226" t="s">
        <v>802</v>
      </c>
      <c r="M226" t="s">
        <v>69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42</v>
      </c>
      <c r="U226" t="s">
        <v>78</v>
      </c>
      <c r="V226" t="str">
        <f t="shared" si="30"/>
        <v/>
      </c>
      <c r="W226" t="str">
        <f t="shared" si="31"/>
        <v/>
      </c>
      <c r="X226">
        <f t="shared" si="32"/>
        <v>1.3271856563895552</v>
      </c>
      <c r="Y226">
        <f t="shared" si="33"/>
        <v>11833.92</v>
      </c>
      <c r="Z226">
        <f t="shared" si="34"/>
        <v>5151</v>
      </c>
      <c r="AA226">
        <f t="shared" si="35"/>
        <v>0.43527419485681834</v>
      </c>
      <c r="AB226">
        <f t="shared" si="36"/>
        <v>240</v>
      </c>
      <c r="AC226" t="str">
        <f t="shared" si="37"/>
        <v>February</v>
      </c>
      <c r="AD226">
        <f t="shared" si="38"/>
        <v>2025</v>
      </c>
      <c r="AE226" t="str">
        <f t="shared" si="39"/>
        <v>WARNING</v>
      </c>
    </row>
    <row r="227" spans="1:31">
      <c r="A227" t="s">
        <v>803</v>
      </c>
      <c r="B227" s="3">
        <v>45537</v>
      </c>
      <c r="C227" s="3">
        <v>45545</v>
      </c>
      <c r="D227" t="s">
        <v>804</v>
      </c>
      <c r="E227" t="s">
        <v>46</v>
      </c>
      <c r="F227" t="s">
        <v>100</v>
      </c>
      <c r="G227" t="s">
        <v>73</v>
      </c>
      <c r="H227" t="s">
        <v>200</v>
      </c>
      <c r="I227" t="s">
        <v>201</v>
      </c>
      <c r="J227" t="s">
        <v>84</v>
      </c>
      <c r="K227" t="s">
        <v>181</v>
      </c>
      <c r="L227" t="s">
        <v>805</v>
      </c>
      <c r="M227" t="s">
        <v>69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42</v>
      </c>
      <c r="U227" t="s">
        <v>43</v>
      </c>
      <c r="V227" t="str">
        <f t="shared" si="30"/>
        <v/>
      </c>
      <c r="W227" t="str">
        <f t="shared" si="31"/>
        <v/>
      </c>
      <c r="X227">
        <f t="shared" si="32"/>
        <v>0.3698572418644821</v>
      </c>
      <c r="Y227">
        <f t="shared" si="33"/>
        <v>5265.5969999999998</v>
      </c>
      <c r="Z227">
        <f t="shared" si="34"/>
        <v>972.48700000000008</v>
      </c>
      <c r="AA227">
        <f t="shared" si="35"/>
        <v>0.18468694053114967</v>
      </c>
      <c r="AB227">
        <f t="shared" si="36"/>
        <v>8</v>
      </c>
      <c r="AC227" t="str">
        <f t="shared" si="37"/>
        <v>September</v>
      </c>
      <c r="AD227">
        <f t="shared" si="38"/>
        <v>2024</v>
      </c>
      <c r="AE227" t="str">
        <f t="shared" si="39"/>
        <v>CLEAN</v>
      </c>
    </row>
    <row r="228" spans="1:31">
      <c r="A228" t="s">
        <v>806</v>
      </c>
      <c r="B228" s="3">
        <v>45757</v>
      </c>
      <c r="C228" s="3">
        <v>45762</v>
      </c>
      <c r="D228" t="s">
        <v>807</v>
      </c>
      <c r="E228" t="s">
        <v>172</v>
      </c>
      <c r="F228" t="s">
        <v>105</v>
      </c>
      <c r="G228" t="s">
        <v>215</v>
      </c>
      <c r="H228" t="s">
        <v>195</v>
      </c>
      <c r="I228" t="s">
        <v>196</v>
      </c>
      <c r="J228" t="s">
        <v>84</v>
      </c>
      <c r="K228" t="s">
        <v>90</v>
      </c>
      <c r="L228" t="s">
        <v>808</v>
      </c>
      <c r="M228" t="s">
        <v>54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42</v>
      </c>
      <c r="U228" t="s">
        <v>43</v>
      </c>
      <c r="V228" t="str">
        <f t="shared" si="30"/>
        <v/>
      </c>
      <c r="W228" t="str">
        <f t="shared" si="31"/>
        <v/>
      </c>
      <c r="X228">
        <f t="shared" si="32"/>
        <v>-0.10880696539805437</v>
      </c>
      <c r="Y228">
        <f t="shared" si="33"/>
        <v>1987.443</v>
      </c>
      <c r="Z228">
        <f t="shared" si="34"/>
        <v>877.21299999999997</v>
      </c>
      <c r="AA228">
        <f t="shared" si="35"/>
        <v>0.44137768982556985</v>
      </c>
      <c r="AB228">
        <f t="shared" si="36"/>
        <v>5</v>
      </c>
      <c r="AC228" t="str">
        <f t="shared" si="37"/>
        <v>April</v>
      </c>
      <c r="AD228">
        <f t="shared" si="38"/>
        <v>2025</v>
      </c>
      <c r="AE228" t="str">
        <f t="shared" si="39"/>
        <v>CLEAN</v>
      </c>
    </row>
    <row r="229" spans="1:31">
      <c r="A229" t="s">
        <v>809</v>
      </c>
      <c r="B229" s="3">
        <v>45478</v>
      </c>
      <c r="C229" s="3">
        <v>45485</v>
      </c>
      <c r="D229" t="s">
        <v>810</v>
      </c>
      <c r="E229" t="s">
        <v>72</v>
      </c>
      <c r="F229" t="s">
        <v>811</v>
      </c>
      <c r="G229" t="s">
        <v>73</v>
      </c>
      <c r="H229" t="s">
        <v>200</v>
      </c>
      <c r="I229" t="s">
        <v>201</v>
      </c>
      <c r="J229" t="s">
        <v>38</v>
      </c>
      <c r="K229" t="s">
        <v>163</v>
      </c>
      <c r="L229" t="s">
        <v>812</v>
      </c>
      <c r="M229" t="s">
        <v>60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42</v>
      </c>
      <c r="U229" t="s">
        <v>43</v>
      </c>
      <c r="V229" t="str">
        <f t="shared" si="30"/>
        <v/>
      </c>
      <c r="W229" t="str">
        <f t="shared" si="31"/>
        <v/>
      </c>
      <c r="X229">
        <f t="shared" si="32"/>
        <v>0.3698572418644821</v>
      </c>
      <c r="Y229">
        <f t="shared" si="33"/>
        <v>1473.2625</v>
      </c>
      <c r="Z229">
        <f t="shared" si="34"/>
        <v>573.40250000000003</v>
      </c>
      <c r="AA229">
        <f t="shared" si="35"/>
        <v>0.38920592901808065</v>
      </c>
      <c r="AB229">
        <f t="shared" si="36"/>
        <v>7</v>
      </c>
      <c r="AC229" t="str">
        <f t="shared" si="37"/>
        <v>July</v>
      </c>
      <c r="AD229">
        <f t="shared" si="38"/>
        <v>2024</v>
      </c>
      <c r="AE229" t="str">
        <f t="shared" si="39"/>
        <v>CLEAN</v>
      </c>
    </row>
    <row r="230" spans="1:31">
      <c r="A230" t="s">
        <v>813</v>
      </c>
      <c r="B230" s="3">
        <v>45406</v>
      </c>
      <c r="C230" s="3">
        <v>45410</v>
      </c>
      <c r="D230" t="s">
        <v>814</v>
      </c>
      <c r="E230" t="s">
        <v>33</v>
      </c>
      <c r="F230" t="s">
        <v>47</v>
      </c>
      <c r="G230" t="s">
        <v>64</v>
      </c>
      <c r="H230" t="s">
        <v>65</v>
      </c>
      <c r="I230" t="s">
        <v>66</v>
      </c>
      <c r="J230" t="s">
        <v>38</v>
      </c>
      <c r="K230" t="s">
        <v>101</v>
      </c>
      <c r="L230" t="s">
        <v>815</v>
      </c>
      <c r="M230" t="s">
        <v>41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42</v>
      </c>
      <c r="U230" t="s">
        <v>43</v>
      </c>
      <c r="V230" t="str">
        <f t="shared" si="30"/>
        <v/>
      </c>
      <c r="W230" t="str">
        <f t="shared" si="31"/>
        <v/>
      </c>
      <c r="X230">
        <f t="shared" si="32"/>
        <v>0.3698572418644821</v>
      </c>
      <c r="Y230">
        <f t="shared" si="33"/>
        <v>2715.2145</v>
      </c>
      <c r="Z230">
        <f t="shared" si="34"/>
        <v>1163.6645000000001</v>
      </c>
      <c r="AA230">
        <f t="shared" si="35"/>
        <v>0.42857184948003191</v>
      </c>
      <c r="AB230">
        <f t="shared" si="36"/>
        <v>4</v>
      </c>
      <c r="AC230" t="str">
        <f t="shared" si="37"/>
        <v>April</v>
      </c>
      <c r="AD230">
        <f t="shared" si="38"/>
        <v>2024</v>
      </c>
      <c r="AE230" t="str">
        <f t="shared" si="39"/>
        <v>CLEAN</v>
      </c>
    </row>
    <row r="231" spans="1:31">
      <c r="A231" t="s">
        <v>816</v>
      </c>
      <c r="B231" s="3">
        <v>45836</v>
      </c>
      <c r="C231" s="3">
        <v>45754</v>
      </c>
      <c r="D231" t="s">
        <v>817</v>
      </c>
      <c r="E231" t="s">
        <v>151</v>
      </c>
      <c r="F231" t="s">
        <v>34</v>
      </c>
      <c r="G231" t="s">
        <v>64</v>
      </c>
      <c r="H231" t="s">
        <v>65</v>
      </c>
      <c r="I231" t="s">
        <v>66</v>
      </c>
      <c r="J231" t="s">
        <v>51</v>
      </c>
      <c r="K231" t="s">
        <v>168</v>
      </c>
      <c r="L231" t="s">
        <v>818</v>
      </c>
      <c r="M231" t="s">
        <v>60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112</v>
      </c>
      <c r="U231" t="s">
        <v>113</v>
      </c>
      <c r="V231" t="str">
        <f t="shared" si="30"/>
        <v/>
      </c>
      <c r="W231" t="str">
        <f t="shared" si="31"/>
        <v>Invalid Shipping Record</v>
      </c>
      <c r="X231">
        <f t="shared" si="32"/>
        <v>-1.0661353799231277</v>
      </c>
      <c r="Y231">
        <f t="shared" si="33"/>
        <v>8658.69</v>
      </c>
      <c r="Z231">
        <f t="shared" si="34"/>
        <v>3122.7500000000009</v>
      </c>
      <c r="AA231">
        <f t="shared" si="35"/>
        <v>0.36064924370776652</v>
      </c>
      <c r="AB231" t="e">
        <f t="shared" si="36"/>
        <v>#NUM!</v>
      </c>
      <c r="AC231" t="str">
        <f t="shared" si="37"/>
        <v>June</v>
      </c>
      <c r="AD231">
        <f t="shared" si="38"/>
        <v>2025</v>
      </c>
      <c r="AE231" t="str">
        <f t="shared" si="39"/>
        <v>INVALID</v>
      </c>
    </row>
    <row r="232" spans="1:31">
      <c r="A232" t="s">
        <v>819</v>
      </c>
      <c r="B232" s="3">
        <v>45440</v>
      </c>
      <c r="C232" s="3">
        <v>45446</v>
      </c>
      <c r="D232" t="s">
        <v>820</v>
      </c>
      <c r="E232" t="s">
        <v>89</v>
      </c>
      <c r="F232" t="s">
        <v>47</v>
      </c>
      <c r="G232" t="s">
        <v>35</v>
      </c>
      <c r="H232" t="s">
        <v>36</v>
      </c>
      <c r="I232" t="s">
        <v>37</v>
      </c>
      <c r="J232" t="s">
        <v>38</v>
      </c>
      <c r="K232" t="s">
        <v>39</v>
      </c>
      <c r="L232" t="s">
        <v>821</v>
      </c>
      <c r="M232" t="s">
        <v>69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42</v>
      </c>
      <c r="U232" t="s">
        <v>43</v>
      </c>
      <c r="V232" t="str">
        <f t="shared" si="30"/>
        <v/>
      </c>
      <c r="W232" t="str">
        <f t="shared" si="31"/>
        <v/>
      </c>
      <c r="X232">
        <f t="shared" si="32"/>
        <v>-0.10880696539805437</v>
      </c>
      <c r="Y232">
        <f t="shared" si="33"/>
        <v>11090.376</v>
      </c>
      <c r="Z232">
        <f t="shared" si="34"/>
        <v>2249.4259999999995</v>
      </c>
      <c r="AA232">
        <f t="shared" si="35"/>
        <v>0.20282684734944958</v>
      </c>
      <c r="AB232">
        <f t="shared" si="36"/>
        <v>6</v>
      </c>
      <c r="AC232" t="str">
        <f t="shared" si="37"/>
        <v>May</v>
      </c>
      <c r="AD232">
        <f t="shared" si="38"/>
        <v>2024</v>
      </c>
      <c r="AE232" t="str">
        <f t="shared" si="39"/>
        <v>CLEAN</v>
      </c>
    </row>
    <row r="233" spans="1:31">
      <c r="A233" t="s">
        <v>822</v>
      </c>
      <c r="B233" s="3">
        <v>45414</v>
      </c>
      <c r="C233" s="3">
        <v>45327</v>
      </c>
      <c r="D233" t="s">
        <v>823</v>
      </c>
      <c r="E233" t="s">
        <v>72</v>
      </c>
      <c r="F233" t="s">
        <v>100</v>
      </c>
      <c r="G233" t="s">
        <v>35</v>
      </c>
      <c r="H233" t="s">
        <v>36</v>
      </c>
      <c r="I233" t="s">
        <v>37</v>
      </c>
      <c r="J233" t="s">
        <v>38</v>
      </c>
      <c r="K233" t="s">
        <v>101</v>
      </c>
      <c r="L233" t="s">
        <v>824</v>
      </c>
      <c r="M233" t="s">
        <v>60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112</v>
      </c>
      <c r="U233" t="s">
        <v>78</v>
      </c>
      <c r="V233" t="str">
        <f t="shared" si="30"/>
        <v/>
      </c>
      <c r="W233" t="str">
        <f t="shared" si="31"/>
        <v>Invalid Shipping Record</v>
      </c>
      <c r="X233">
        <f t="shared" si="32"/>
        <v>1.3271856563895552</v>
      </c>
      <c r="Y233">
        <f t="shared" si="33"/>
        <v>11462.744999999999</v>
      </c>
      <c r="Z233">
        <f t="shared" si="34"/>
        <v>4299.204999999999</v>
      </c>
      <c r="AA233">
        <f t="shared" si="35"/>
        <v>0.37505894094302888</v>
      </c>
      <c r="AB233" t="e">
        <f t="shared" si="36"/>
        <v>#NUM!</v>
      </c>
      <c r="AC233" t="str">
        <f t="shared" si="37"/>
        <v>May</v>
      </c>
      <c r="AD233">
        <f t="shared" si="38"/>
        <v>2024</v>
      </c>
      <c r="AE233" t="str">
        <f t="shared" si="39"/>
        <v>INVALID</v>
      </c>
    </row>
    <row r="234" spans="1:31">
      <c r="A234" t="s">
        <v>825</v>
      </c>
      <c r="B234" s="3">
        <v>45812</v>
      </c>
      <c r="C234" s="3">
        <v>45818</v>
      </c>
      <c r="D234" t="s">
        <v>826</v>
      </c>
      <c r="E234" t="s">
        <v>128</v>
      </c>
      <c r="F234" t="s">
        <v>34</v>
      </c>
      <c r="G234" t="s">
        <v>64</v>
      </c>
      <c r="H234" t="s">
        <v>94</v>
      </c>
      <c r="I234" t="s">
        <v>95</v>
      </c>
      <c r="J234" t="s">
        <v>84</v>
      </c>
      <c r="K234" t="s">
        <v>181</v>
      </c>
      <c r="L234" t="s">
        <v>827</v>
      </c>
      <c r="M234" t="s">
        <v>69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42</v>
      </c>
      <c r="U234" t="s">
        <v>43</v>
      </c>
      <c r="V234" t="str">
        <f t="shared" si="30"/>
        <v/>
      </c>
      <c r="W234" t="str">
        <f t="shared" si="31"/>
        <v/>
      </c>
      <c r="X234">
        <f t="shared" si="32"/>
        <v>1.3271856563895552</v>
      </c>
      <c r="Y234">
        <f t="shared" si="33"/>
        <v>670.11</v>
      </c>
      <c r="Z234">
        <f t="shared" si="34"/>
        <v>110.53999999999996</v>
      </c>
      <c r="AA234">
        <f t="shared" si="35"/>
        <v>0.16495799197146732</v>
      </c>
      <c r="AB234">
        <f t="shared" si="36"/>
        <v>6</v>
      </c>
      <c r="AC234" t="str">
        <f t="shared" si="37"/>
        <v>June</v>
      </c>
      <c r="AD234">
        <f t="shared" si="38"/>
        <v>2025</v>
      </c>
      <c r="AE234" t="str">
        <f t="shared" si="39"/>
        <v>CLEAN</v>
      </c>
    </row>
    <row r="235" spans="1:31">
      <c r="A235" t="s">
        <v>828</v>
      </c>
      <c r="B235" s="3">
        <v>45579</v>
      </c>
      <c r="C235" s="3">
        <v>45579</v>
      </c>
      <c r="D235" t="s">
        <v>829</v>
      </c>
      <c r="E235" t="s">
        <v>81</v>
      </c>
      <c r="F235" t="s">
        <v>100</v>
      </c>
      <c r="G235" t="s">
        <v>64</v>
      </c>
      <c r="H235" t="s">
        <v>185</v>
      </c>
      <c r="I235" t="s">
        <v>186</v>
      </c>
      <c r="J235" t="s">
        <v>51</v>
      </c>
      <c r="K235" t="s">
        <v>168</v>
      </c>
      <c r="L235" t="s">
        <v>830</v>
      </c>
      <c r="M235" t="s">
        <v>215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42</v>
      </c>
      <c r="U235" t="s">
        <v>43</v>
      </c>
      <c r="V235" t="str">
        <f t="shared" si="30"/>
        <v/>
      </c>
      <c r="W235" t="str">
        <f t="shared" si="31"/>
        <v/>
      </c>
      <c r="X235">
        <f t="shared" si="32"/>
        <v>-1.0661353799231277</v>
      </c>
      <c r="Y235">
        <f t="shared" si="33"/>
        <v>31236.720000000001</v>
      </c>
      <c r="Z235">
        <f t="shared" si="34"/>
        <v>4859.0200000000004</v>
      </c>
      <c r="AA235">
        <f t="shared" si="35"/>
        <v>0.15555474454424154</v>
      </c>
      <c r="AB235">
        <f t="shared" si="36"/>
        <v>0</v>
      </c>
      <c r="AC235" t="str">
        <f t="shared" si="37"/>
        <v>October</v>
      </c>
      <c r="AD235">
        <f t="shared" si="38"/>
        <v>2024</v>
      </c>
      <c r="AE235" t="str">
        <f t="shared" si="39"/>
        <v>CLEAN</v>
      </c>
    </row>
    <row r="236" spans="1:31">
      <c r="A236" t="s">
        <v>831</v>
      </c>
      <c r="B236" s="3">
        <v>45331</v>
      </c>
      <c r="C236" s="3">
        <v>45538</v>
      </c>
      <c r="D236" t="s">
        <v>832</v>
      </c>
      <c r="E236" t="s">
        <v>276</v>
      </c>
      <c r="F236" t="s">
        <v>105</v>
      </c>
      <c r="G236" t="s">
        <v>35</v>
      </c>
      <c r="H236" t="s">
        <v>362</v>
      </c>
      <c r="I236" t="s">
        <v>363</v>
      </c>
      <c r="J236" t="s">
        <v>51</v>
      </c>
      <c r="K236" t="s">
        <v>67</v>
      </c>
      <c r="L236" t="s">
        <v>833</v>
      </c>
      <c r="M236" t="s">
        <v>60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42</v>
      </c>
      <c r="U236" t="s">
        <v>43</v>
      </c>
      <c r="V236" t="str">
        <f t="shared" si="30"/>
        <v/>
      </c>
      <c r="W236" t="str">
        <f t="shared" si="31"/>
        <v/>
      </c>
      <c r="X236">
        <f t="shared" si="32"/>
        <v>-0.10880696539805437</v>
      </c>
      <c r="Y236">
        <f t="shared" si="33"/>
        <v>10964.241</v>
      </c>
      <c r="Z236">
        <f t="shared" si="34"/>
        <v>1701.7710000000006</v>
      </c>
      <c r="AA236">
        <f t="shared" si="35"/>
        <v>0.15521101734265058</v>
      </c>
      <c r="AB236">
        <f t="shared" si="36"/>
        <v>207</v>
      </c>
      <c r="AC236" t="str">
        <f t="shared" si="37"/>
        <v>February</v>
      </c>
      <c r="AD236">
        <f t="shared" si="38"/>
        <v>2024</v>
      </c>
      <c r="AE236" t="str">
        <f t="shared" si="39"/>
        <v>CLEAN</v>
      </c>
    </row>
    <row r="237" spans="1:31">
      <c r="A237" t="s">
        <v>834</v>
      </c>
      <c r="B237" s="3">
        <v>45333</v>
      </c>
      <c r="C237" s="3">
        <v>45362</v>
      </c>
      <c r="D237" t="s">
        <v>835</v>
      </c>
      <c r="E237" t="s">
        <v>128</v>
      </c>
      <c r="F237" t="s">
        <v>47</v>
      </c>
      <c r="G237" t="s">
        <v>73</v>
      </c>
      <c r="H237" t="s">
        <v>36</v>
      </c>
      <c r="I237" t="s">
        <v>119</v>
      </c>
      <c r="J237" t="s">
        <v>38</v>
      </c>
      <c r="K237" t="s">
        <v>134</v>
      </c>
      <c r="L237" t="s">
        <v>836</v>
      </c>
      <c r="M237" t="s">
        <v>69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42</v>
      </c>
      <c r="U237" t="s">
        <v>43</v>
      </c>
      <c r="V237" t="str">
        <f t="shared" si="30"/>
        <v/>
      </c>
      <c r="W237" t="str">
        <f t="shared" si="31"/>
        <v/>
      </c>
      <c r="X237">
        <f t="shared" si="32"/>
        <v>-0.58747117266059101</v>
      </c>
      <c r="Y237">
        <f t="shared" si="33"/>
        <v>15226.352999999999</v>
      </c>
      <c r="Z237">
        <f t="shared" si="34"/>
        <v>4081.0729999999985</v>
      </c>
      <c r="AA237">
        <f t="shared" si="35"/>
        <v>0.26802695300706603</v>
      </c>
      <c r="AB237">
        <f t="shared" si="36"/>
        <v>29</v>
      </c>
      <c r="AC237" t="str">
        <f t="shared" si="37"/>
        <v>February</v>
      </c>
      <c r="AD237">
        <f t="shared" si="38"/>
        <v>2024</v>
      </c>
      <c r="AE237" t="str">
        <f t="shared" si="39"/>
        <v>CLEAN</v>
      </c>
    </row>
    <row r="238" spans="1:31">
      <c r="A238" t="s">
        <v>837</v>
      </c>
      <c r="B238" s="3">
        <v>45579</v>
      </c>
      <c r="C238" s="3">
        <v>45586</v>
      </c>
      <c r="D238" t="s">
        <v>838</v>
      </c>
      <c r="E238" t="s">
        <v>124</v>
      </c>
      <c r="F238" t="s">
        <v>100</v>
      </c>
      <c r="G238" t="s">
        <v>35</v>
      </c>
      <c r="H238" t="s">
        <v>146</v>
      </c>
      <c r="I238" t="s">
        <v>147</v>
      </c>
      <c r="J238" t="s">
        <v>51</v>
      </c>
      <c r="K238" t="s">
        <v>168</v>
      </c>
      <c r="L238" t="s">
        <v>839</v>
      </c>
      <c r="M238" t="s">
        <v>60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42</v>
      </c>
      <c r="U238" t="s">
        <v>43</v>
      </c>
      <c r="V238" t="str">
        <f t="shared" si="30"/>
        <v/>
      </c>
      <c r="W238" t="str">
        <f t="shared" si="31"/>
        <v/>
      </c>
      <c r="X238">
        <f t="shared" si="32"/>
        <v>-1.0661353799231277</v>
      </c>
      <c r="Y238">
        <f t="shared" si="33"/>
        <v>24376.68</v>
      </c>
      <c r="Z238">
        <f t="shared" si="34"/>
        <v>5843.2900000000009</v>
      </c>
      <c r="AA238">
        <f t="shared" si="35"/>
        <v>0.23970819652224998</v>
      </c>
      <c r="AB238">
        <f t="shared" si="36"/>
        <v>7</v>
      </c>
      <c r="AC238" t="str">
        <f t="shared" si="37"/>
        <v>October</v>
      </c>
      <c r="AD238">
        <f t="shared" si="38"/>
        <v>2024</v>
      </c>
      <c r="AE238" t="str">
        <f t="shared" si="39"/>
        <v>CLEAN</v>
      </c>
    </row>
    <row r="239" spans="1:31">
      <c r="A239" t="s">
        <v>840</v>
      </c>
      <c r="B239" s="3">
        <v>45531</v>
      </c>
      <c r="C239" s="3">
        <v>45531</v>
      </c>
      <c r="D239" t="s">
        <v>841</v>
      </c>
      <c r="E239" t="s">
        <v>46</v>
      </c>
      <c r="F239" t="s">
        <v>34</v>
      </c>
      <c r="G239" t="s">
        <v>35</v>
      </c>
      <c r="H239" t="s">
        <v>248</v>
      </c>
      <c r="I239" t="s">
        <v>249</v>
      </c>
      <c r="J239" t="s">
        <v>84</v>
      </c>
      <c r="K239" t="s">
        <v>90</v>
      </c>
      <c r="L239" t="s">
        <v>842</v>
      </c>
      <c r="M239" t="s">
        <v>69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42</v>
      </c>
      <c r="U239" t="s">
        <v>43</v>
      </c>
      <c r="V239" t="str">
        <f t="shared" si="30"/>
        <v/>
      </c>
      <c r="W239" t="str">
        <f t="shared" si="31"/>
        <v/>
      </c>
      <c r="X239">
        <f t="shared" si="32"/>
        <v>-1.0661353799231277</v>
      </c>
      <c r="Y239">
        <f t="shared" si="33"/>
        <v>20972.7</v>
      </c>
      <c r="Z239">
        <f t="shared" si="34"/>
        <v>7467.8200000000015</v>
      </c>
      <c r="AA239">
        <f t="shared" si="35"/>
        <v>0.35607337157352181</v>
      </c>
      <c r="AB239">
        <f t="shared" si="36"/>
        <v>0</v>
      </c>
      <c r="AC239" t="str">
        <f t="shared" si="37"/>
        <v>August</v>
      </c>
      <c r="AD239">
        <f t="shared" si="38"/>
        <v>2024</v>
      </c>
      <c r="AE239" t="str">
        <f t="shared" si="39"/>
        <v>CLEAN</v>
      </c>
    </row>
    <row r="240" spans="1:31">
      <c r="A240" t="s">
        <v>843</v>
      </c>
      <c r="B240" s="3">
        <v>45627</v>
      </c>
      <c r="C240" s="3">
        <v>45308</v>
      </c>
      <c r="D240" t="s">
        <v>844</v>
      </c>
      <c r="E240" t="s">
        <v>63</v>
      </c>
      <c r="F240" t="s">
        <v>34</v>
      </c>
      <c r="G240" t="s">
        <v>64</v>
      </c>
      <c r="H240" t="s">
        <v>94</v>
      </c>
      <c r="I240" t="s">
        <v>95</v>
      </c>
      <c r="J240" t="s">
        <v>38</v>
      </c>
      <c r="K240" t="s">
        <v>134</v>
      </c>
      <c r="L240" t="s">
        <v>845</v>
      </c>
      <c r="M240" t="s">
        <v>60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42</v>
      </c>
      <c r="U240" t="s">
        <v>43</v>
      </c>
      <c r="V240" t="str">
        <f t="shared" si="30"/>
        <v>Invalid Discount</v>
      </c>
      <c r="W240" t="str">
        <f t="shared" si="31"/>
        <v>Invalid Shipping Record</v>
      </c>
      <c r="X240">
        <f t="shared" si="32"/>
        <v>4.1991708999647752</v>
      </c>
      <c r="Y240">
        <f t="shared" si="33"/>
        <v>12615.907499999999</v>
      </c>
      <c r="Z240">
        <f t="shared" si="34"/>
        <v>-6222.8425000000007</v>
      </c>
      <c r="AA240">
        <f t="shared" si="35"/>
        <v>-0.4932536561480021</v>
      </c>
      <c r="AB240" t="e">
        <f t="shared" si="36"/>
        <v>#NUM!</v>
      </c>
      <c r="AC240" t="str">
        <f t="shared" si="37"/>
        <v>December</v>
      </c>
      <c r="AD240">
        <f t="shared" si="38"/>
        <v>2024</v>
      </c>
      <c r="AE240" t="str">
        <f t="shared" si="39"/>
        <v>INVALID</v>
      </c>
    </row>
    <row r="241" spans="1:31">
      <c r="A241" t="s">
        <v>846</v>
      </c>
      <c r="B241" s="3">
        <v>45556</v>
      </c>
      <c r="C241" s="3">
        <v>45556</v>
      </c>
      <c r="D241" t="s">
        <v>847</v>
      </c>
      <c r="E241" t="s">
        <v>276</v>
      </c>
      <c r="F241" t="s">
        <v>100</v>
      </c>
      <c r="G241" t="s">
        <v>64</v>
      </c>
      <c r="H241" t="s">
        <v>185</v>
      </c>
      <c r="I241" t="s">
        <v>186</v>
      </c>
      <c r="J241" t="s">
        <v>84</v>
      </c>
      <c r="K241" t="s">
        <v>286</v>
      </c>
      <c r="L241" t="s">
        <v>848</v>
      </c>
      <c r="M241" t="s">
        <v>60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42</v>
      </c>
      <c r="U241" t="s">
        <v>43</v>
      </c>
      <c r="V241" t="str">
        <f t="shared" si="30"/>
        <v/>
      </c>
      <c r="W241" t="str">
        <f t="shared" si="31"/>
        <v/>
      </c>
      <c r="X241">
        <f t="shared" si="32"/>
        <v>0.84852144912701888</v>
      </c>
      <c r="Y241">
        <f t="shared" si="33"/>
        <v>3136.096</v>
      </c>
      <c r="Z241">
        <f t="shared" si="34"/>
        <v>856.60600000000022</v>
      </c>
      <c r="AA241">
        <f t="shared" si="35"/>
        <v>0.273144061916472</v>
      </c>
      <c r="AB241">
        <f t="shared" si="36"/>
        <v>0</v>
      </c>
      <c r="AC241" t="str">
        <f t="shared" si="37"/>
        <v>September</v>
      </c>
      <c r="AD241">
        <f t="shared" si="38"/>
        <v>2024</v>
      </c>
      <c r="AE241" t="str">
        <f t="shared" si="39"/>
        <v>CLEAN</v>
      </c>
    </row>
    <row r="242" spans="1:31">
      <c r="A242" t="s">
        <v>849</v>
      </c>
      <c r="B242" s="3">
        <v>45643</v>
      </c>
      <c r="C242" s="3">
        <v>45649</v>
      </c>
      <c r="D242" t="s">
        <v>850</v>
      </c>
      <c r="E242" t="s">
        <v>138</v>
      </c>
      <c r="F242" t="s">
        <v>100</v>
      </c>
      <c r="G242" t="s">
        <v>64</v>
      </c>
      <c r="H242" t="s">
        <v>65</v>
      </c>
      <c r="I242" t="s">
        <v>66</v>
      </c>
      <c r="J242" t="s">
        <v>38</v>
      </c>
      <c r="K242" t="s">
        <v>163</v>
      </c>
      <c r="L242" t="s">
        <v>851</v>
      </c>
      <c r="M242" t="s">
        <v>60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42</v>
      </c>
      <c r="U242" t="s">
        <v>43</v>
      </c>
      <c r="V242" t="str">
        <f t="shared" si="30"/>
        <v/>
      </c>
      <c r="W242" t="str">
        <f t="shared" si="31"/>
        <v/>
      </c>
      <c r="X242">
        <f t="shared" si="32"/>
        <v>-1.0661353799231277</v>
      </c>
      <c r="Y242">
        <f t="shared" si="33"/>
        <v>20835.899999999998</v>
      </c>
      <c r="Z242">
        <f t="shared" si="34"/>
        <v>6907.7099999999973</v>
      </c>
      <c r="AA242">
        <f t="shared" si="35"/>
        <v>0.33152923559817421</v>
      </c>
      <c r="AB242">
        <f t="shared" si="36"/>
        <v>6</v>
      </c>
      <c r="AC242" t="str">
        <f t="shared" si="37"/>
        <v>December</v>
      </c>
      <c r="AD242">
        <f t="shared" si="38"/>
        <v>2024</v>
      </c>
      <c r="AE242" t="str">
        <f t="shared" si="39"/>
        <v>CLEAN</v>
      </c>
    </row>
    <row r="243" spans="1:31">
      <c r="A243" t="s">
        <v>852</v>
      </c>
      <c r="B243" s="3">
        <v>45815</v>
      </c>
      <c r="C243" s="3">
        <v>45844</v>
      </c>
      <c r="D243" t="s">
        <v>853</v>
      </c>
      <c r="E243" t="s">
        <v>142</v>
      </c>
      <c r="F243" t="s">
        <v>100</v>
      </c>
      <c r="G243" t="s">
        <v>35</v>
      </c>
      <c r="H243" t="s">
        <v>248</v>
      </c>
      <c r="I243" t="s">
        <v>249</v>
      </c>
      <c r="J243" t="s">
        <v>38</v>
      </c>
      <c r="K243" t="s">
        <v>134</v>
      </c>
      <c r="L243" t="s">
        <v>854</v>
      </c>
      <c r="M243" t="s">
        <v>69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121</v>
      </c>
      <c r="U243" t="s">
        <v>113</v>
      </c>
      <c r="V243" t="str">
        <f t="shared" si="30"/>
        <v/>
      </c>
      <c r="W243" t="str">
        <f t="shared" si="31"/>
        <v/>
      </c>
      <c r="X243">
        <f t="shared" si="32"/>
        <v>1.3271856563895552</v>
      </c>
      <c r="Y243">
        <f t="shared" si="33"/>
        <v>1212.9000000000001</v>
      </c>
      <c r="Z243">
        <f t="shared" si="34"/>
        <v>522.38000000000011</v>
      </c>
      <c r="AA243">
        <f t="shared" si="35"/>
        <v>0.4306867837414462</v>
      </c>
      <c r="AB243">
        <f t="shared" si="36"/>
        <v>29</v>
      </c>
      <c r="AC243" t="str">
        <f t="shared" si="37"/>
        <v>June</v>
      </c>
      <c r="AD243">
        <f t="shared" si="38"/>
        <v>2025</v>
      </c>
      <c r="AE243" t="str">
        <f t="shared" si="39"/>
        <v>CLEAN</v>
      </c>
    </row>
    <row r="244" spans="1:31">
      <c r="A244" t="s">
        <v>855</v>
      </c>
      <c r="B244" s="3">
        <v>45695</v>
      </c>
      <c r="C244" s="3">
        <v>45695</v>
      </c>
      <c r="D244" t="s">
        <v>856</v>
      </c>
      <c r="E244" t="s">
        <v>63</v>
      </c>
      <c r="F244" t="s">
        <v>34</v>
      </c>
      <c r="G244" t="s">
        <v>35</v>
      </c>
      <c r="H244" t="s">
        <v>146</v>
      </c>
      <c r="I244" t="s">
        <v>147</v>
      </c>
      <c r="J244" t="s">
        <v>38</v>
      </c>
      <c r="K244" t="s">
        <v>58</v>
      </c>
      <c r="L244" t="s">
        <v>857</v>
      </c>
      <c r="M244" t="s">
        <v>41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42</v>
      </c>
      <c r="U244" t="s">
        <v>43</v>
      </c>
      <c r="V244" t="str">
        <f t="shared" si="30"/>
        <v/>
      </c>
      <c r="W244" t="str">
        <f t="shared" si="31"/>
        <v/>
      </c>
      <c r="X244">
        <f t="shared" si="32"/>
        <v>-0.58747117266059101</v>
      </c>
      <c r="Y244">
        <f t="shared" si="33"/>
        <v>5697.8339999999998</v>
      </c>
      <c r="Z244">
        <f t="shared" si="34"/>
        <v>1446.3339999999998</v>
      </c>
      <c r="AA244">
        <f t="shared" si="35"/>
        <v>0.25383926593860051</v>
      </c>
      <c r="AB244">
        <f t="shared" si="36"/>
        <v>0</v>
      </c>
      <c r="AC244" t="str">
        <f t="shared" si="37"/>
        <v>February</v>
      </c>
      <c r="AD244">
        <f t="shared" si="38"/>
        <v>2025</v>
      </c>
      <c r="AE244" t="str">
        <f t="shared" si="39"/>
        <v>CLEAN</v>
      </c>
    </row>
    <row r="245" spans="1:31">
      <c r="A245" t="s">
        <v>858</v>
      </c>
      <c r="B245" s="3">
        <v>45867</v>
      </c>
      <c r="C245" s="3">
        <v>45871</v>
      </c>
      <c r="D245" t="s">
        <v>859</v>
      </c>
      <c r="E245" t="s">
        <v>142</v>
      </c>
      <c r="F245" t="s">
        <v>47</v>
      </c>
      <c r="G245" t="s">
        <v>215</v>
      </c>
      <c r="H245" t="s">
        <v>82</v>
      </c>
      <c r="I245" t="s">
        <v>83</v>
      </c>
      <c r="J245" t="s">
        <v>84</v>
      </c>
      <c r="K245" t="s">
        <v>85</v>
      </c>
      <c r="L245" t="s">
        <v>860</v>
      </c>
      <c r="M245" t="s">
        <v>60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42</v>
      </c>
      <c r="U245" t="s">
        <v>695</v>
      </c>
      <c r="V245" t="str">
        <f t="shared" si="30"/>
        <v/>
      </c>
      <c r="W245" t="str">
        <f t="shared" si="31"/>
        <v/>
      </c>
      <c r="X245">
        <f t="shared" si="32"/>
        <v>-0.10880696539805437</v>
      </c>
      <c r="Y245">
        <f t="shared" si="33"/>
        <v>4049.5140000000001</v>
      </c>
      <c r="Z245">
        <f t="shared" si="34"/>
        <v>1540.3140000000003</v>
      </c>
      <c r="AA245">
        <f t="shared" si="35"/>
        <v>0.38037008885510715</v>
      </c>
      <c r="AB245">
        <f t="shared" si="36"/>
        <v>4</v>
      </c>
      <c r="AC245" t="str">
        <f t="shared" si="37"/>
        <v>July</v>
      </c>
      <c r="AD245">
        <f t="shared" si="38"/>
        <v>2025</v>
      </c>
      <c r="AE245" t="str">
        <f t="shared" si="39"/>
        <v>CLEAN</v>
      </c>
    </row>
    <row r="246" spans="1:31">
      <c r="A246" t="s">
        <v>861</v>
      </c>
      <c r="B246" s="3">
        <v>45527</v>
      </c>
      <c r="C246" s="3">
        <v>45528</v>
      </c>
      <c r="D246" t="s">
        <v>862</v>
      </c>
      <c r="E246" t="s">
        <v>89</v>
      </c>
      <c r="F246" t="s">
        <v>34</v>
      </c>
      <c r="G246" t="s">
        <v>64</v>
      </c>
      <c r="H246" t="s">
        <v>65</v>
      </c>
      <c r="I246" t="s">
        <v>66</v>
      </c>
      <c r="J246" t="s">
        <v>51</v>
      </c>
      <c r="K246" t="s">
        <v>168</v>
      </c>
      <c r="L246" t="s">
        <v>863</v>
      </c>
      <c r="M246" t="s">
        <v>54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42</v>
      </c>
      <c r="U246" t="s">
        <v>43</v>
      </c>
      <c r="V246" t="str">
        <f t="shared" si="30"/>
        <v/>
      </c>
      <c r="W246" t="str">
        <f t="shared" si="31"/>
        <v/>
      </c>
      <c r="X246">
        <f t="shared" si="32"/>
        <v>-1.0661353799231277</v>
      </c>
      <c r="Y246">
        <f t="shared" si="33"/>
        <v>6131.34</v>
      </c>
      <c r="Z246">
        <f t="shared" si="34"/>
        <v>2070.46</v>
      </c>
      <c r="AA246">
        <f t="shared" si="35"/>
        <v>0.33768474754295147</v>
      </c>
      <c r="AB246">
        <f t="shared" si="36"/>
        <v>1</v>
      </c>
      <c r="AC246" t="str">
        <f t="shared" si="37"/>
        <v>August</v>
      </c>
      <c r="AD246">
        <f t="shared" si="38"/>
        <v>2024</v>
      </c>
      <c r="AE246" t="str">
        <f t="shared" si="39"/>
        <v>CLEAN</v>
      </c>
    </row>
    <row r="247" spans="1:31">
      <c r="A247" t="s">
        <v>864</v>
      </c>
      <c r="B247" s="3">
        <v>45583</v>
      </c>
      <c r="C247" s="3">
        <v>45589</v>
      </c>
      <c r="D247" t="s">
        <v>865</v>
      </c>
      <c r="E247" t="s">
        <v>89</v>
      </c>
      <c r="F247" t="s">
        <v>105</v>
      </c>
      <c r="G247" t="s">
        <v>64</v>
      </c>
      <c r="H247" t="s">
        <v>195</v>
      </c>
      <c r="I247" t="s">
        <v>196</v>
      </c>
      <c r="J247" t="s">
        <v>866</v>
      </c>
      <c r="K247" t="s">
        <v>76</v>
      </c>
      <c r="L247" t="s">
        <v>867</v>
      </c>
      <c r="M247" t="s">
        <v>41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42</v>
      </c>
      <c r="U247" t="s">
        <v>43</v>
      </c>
      <c r="V247" t="str">
        <f t="shared" si="30"/>
        <v/>
      </c>
      <c r="W247" t="str">
        <f t="shared" si="31"/>
        <v/>
      </c>
      <c r="X247">
        <f t="shared" si="32"/>
        <v>-1.0661353799231277</v>
      </c>
      <c r="Y247">
        <f t="shared" si="33"/>
        <v>9827.7899999999991</v>
      </c>
      <c r="Z247">
        <f t="shared" si="34"/>
        <v>4349.5099999999993</v>
      </c>
      <c r="AA247">
        <f t="shared" si="35"/>
        <v>0.44257254174132737</v>
      </c>
      <c r="AB247">
        <f t="shared" si="36"/>
        <v>6</v>
      </c>
      <c r="AC247" t="str">
        <f t="shared" si="37"/>
        <v>October</v>
      </c>
      <c r="AD247">
        <f t="shared" si="38"/>
        <v>2024</v>
      </c>
      <c r="AE247" t="str">
        <f t="shared" si="39"/>
        <v>CLEAN</v>
      </c>
    </row>
    <row r="248" spans="1:31">
      <c r="A248" t="s">
        <v>868</v>
      </c>
      <c r="B248" s="3">
        <v>45416</v>
      </c>
      <c r="C248" s="3">
        <v>45421</v>
      </c>
      <c r="D248" t="s">
        <v>869</v>
      </c>
      <c r="E248" t="s">
        <v>72</v>
      </c>
      <c r="F248" t="s">
        <v>100</v>
      </c>
      <c r="G248" t="s">
        <v>35</v>
      </c>
      <c r="H248" t="s">
        <v>132</v>
      </c>
      <c r="I248" t="s">
        <v>133</v>
      </c>
      <c r="J248" t="s">
        <v>84</v>
      </c>
      <c r="K248" t="s">
        <v>286</v>
      </c>
      <c r="L248" t="s">
        <v>870</v>
      </c>
      <c r="M248" t="s">
        <v>54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112</v>
      </c>
      <c r="U248" t="s">
        <v>78</v>
      </c>
      <c r="V248" t="str">
        <f t="shared" si="30"/>
        <v/>
      </c>
      <c r="W248" t="str">
        <f t="shared" si="31"/>
        <v/>
      </c>
      <c r="X248">
        <f t="shared" si="32"/>
        <v>1.3271856563895552</v>
      </c>
      <c r="Y248">
        <f t="shared" si="33"/>
        <v>521.88749999999993</v>
      </c>
      <c r="Z248">
        <f t="shared" si="34"/>
        <v>77.36749999999995</v>
      </c>
      <c r="AA248">
        <f t="shared" si="35"/>
        <v>0.14824555100476627</v>
      </c>
      <c r="AB248">
        <f t="shared" si="36"/>
        <v>5</v>
      </c>
      <c r="AC248" t="str">
        <f t="shared" si="37"/>
        <v>May</v>
      </c>
      <c r="AD248">
        <f t="shared" si="38"/>
        <v>2024</v>
      </c>
      <c r="AE248" t="str">
        <f t="shared" si="39"/>
        <v>WARNING</v>
      </c>
    </row>
    <row r="249" spans="1:31">
      <c r="A249" t="s">
        <v>871</v>
      </c>
      <c r="B249" s="3">
        <v>45498</v>
      </c>
      <c r="C249" s="3">
        <v>45505</v>
      </c>
      <c r="D249" t="s">
        <v>872</v>
      </c>
      <c r="E249" t="s">
        <v>128</v>
      </c>
      <c r="F249" t="s">
        <v>100</v>
      </c>
      <c r="G249" t="s">
        <v>35</v>
      </c>
      <c r="H249" t="s">
        <v>36</v>
      </c>
      <c r="I249" t="s">
        <v>37</v>
      </c>
      <c r="J249" t="s">
        <v>84</v>
      </c>
      <c r="K249" t="s">
        <v>85</v>
      </c>
      <c r="L249" t="s">
        <v>873</v>
      </c>
      <c r="M249" t="s">
        <v>41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42</v>
      </c>
      <c r="U249" t="s">
        <v>43</v>
      </c>
      <c r="V249" t="str">
        <f t="shared" si="30"/>
        <v/>
      </c>
      <c r="W249" t="str">
        <f t="shared" si="31"/>
        <v/>
      </c>
      <c r="X249">
        <f t="shared" si="32"/>
        <v>1.3271856563895552</v>
      </c>
      <c r="Y249">
        <f t="shared" si="33"/>
        <v>14960.400000000001</v>
      </c>
      <c r="Z249">
        <f t="shared" si="34"/>
        <v>2459.5600000000013</v>
      </c>
      <c r="AA249">
        <f t="shared" si="35"/>
        <v>0.16440469506162944</v>
      </c>
      <c r="AB249">
        <f t="shared" si="36"/>
        <v>7</v>
      </c>
      <c r="AC249" t="str">
        <f t="shared" si="37"/>
        <v>July</v>
      </c>
      <c r="AD249">
        <f t="shared" si="38"/>
        <v>2024</v>
      </c>
      <c r="AE249" t="str">
        <f t="shared" si="39"/>
        <v>CLEAN</v>
      </c>
    </row>
    <row r="250" spans="1:31">
      <c r="A250" t="s">
        <v>874</v>
      </c>
      <c r="B250" s="3">
        <v>45328</v>
      </c>
      <c r="C250" s="3">
        <v>45450</v>
      </c>
      <c r="D250" t="s">
        <v>875</v>
      </c>
      <c r="E250" t="s">
        <v>151</v>
      </c>
      <c r="F250" t="s">
        <v>105</v>
      </c>
      <c r="G250" t="s">
        <v>48</v>
      </c>
      <c r="H250" t="s">
        <v>49</v>
      </c>
      <c r="I250" t="s">
        <v>50</v>
      </c>
      <c r="J250" t="s">
        <v>38</v>
      </c>
      <c r="K250" t="s">
        <v>101</v>
      </c>
      <c r="L250" t="s">
        <v>876</v>
      </c>
      <c r="M250" t="s">
        <v>41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42</v>
      </c>
      <c r="U250" t="s">
        <v>43</v>
      </c>
      <c r="V250" t="str">
        <f t="shared" si="30"/>
        <v/>
      </c>
      <c r="W250" t="str">
        <f t="shared" si="31"/>
        <v/>
      </c>
      <c r="X250">
        <f t="shared" si="32"/>
        <v>0.3698572418644821</v>
      </c>
      <c r="Y250">
        <f t="shared" si="33"/>
        <v>6027.5114999999996</v>
      </c>
      <c r="Z250">
        <f t="shared" si="34"/>
        <v>1143.6914999999999</v>
      </c>
      <c r="AA250">
        <f t="shared" si="35"/>
        <v>0.18974522072666306</v>
      </c>
      <c r="AB250">
        <f t="shared" si="36"/>
        <v>122</v>
      </c>
      <c r="AC250" t="str">
        <f t="shared" si="37"/>
        <v>February</v>
      </c>
      <c r="AD250">
        <f t="shared" si="38"/>
        <v>2024</v>
      </c>
      <c r="AE250" t="str">
        <f t="shared" si="39"/>
        <v>CLEAN</v>
      </c>
    </row>
    <row r="251" spans="1:31">
      <c r="A251" t="s">
        <v>877</v>
      </c>
      <c r="B251" s="3">
        <v>45665</v>
      </c>
      <c r="C251" s="3">
        <v>45696</v>
      </c>
      <c r="D251" t="s">
        <v>878</v>
      </c>
      <c r="E251" t="s">
        <v>46</v>
      </c>
      <c r="F251" t="s">
        <v>100</v>
      </c>
      <c r="G251" t="s">
        <v>35</v>
      </c>
      <c r="H251" t="s">
        <v>36</v>
      </c>
      <c r="I251" t="s">
        <v>37</v>
      </c>
      <c r="J251" t="s">
        <v>51</v>
      </c>
      <c r="K251" t="s">
        <v>67</v>
      </c>
      <c r="L251" t="s">
        <v>879</v>
      </c>
      <c r="M251" t="s">
        <v>60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42</v>
      </c>
      <c r="U251" t="s">
        <v>43</v>
      </c>
      <c r="V251" t="str">
        <f t="shared" si="30"/>
        <v/>
      </c>
      <c r="W251" t="str">
        <f t="shared" si="31"/>
        <v/>
      </c>
      <c r="X251">
        <f t="shared" si="32"/>
        <v>0.84852144912701888</v>
      </c>
      <c r="Y251">
        <f t="shared" si="33"/>
        <v>8928.9279999999999</v>
      </c>
      <c r="Z251">
        <f t="shared" si="34"/>
        <v>3294.5479999999998</v>
      </c>
      <c r="AA251">
        <f t="shared" si="35"/>
        <v>0.36897464062875185</v>
      </c>
      <c r="AB251">
        <f t="shared" si="36"/>
        <v>31</v>
      </c>
      <c r="AC251" t="str">
        <f t="shared" si="37"/>
        <v>January</v>
      </c>
      <c r="AD251">
        <f t="shared" si="38"/>
        <v>2025</v>
      </c>
      <c r="AE251" t="str">
        <f t="shared" si="39"/>
        <v>CLEAN</v>
      </c>
    </row>
    <row r="252" spans="1:31">
      <c r="A252" t="s">
        <v>880</v>
      </c>
      <c r="B252" s="3">
        <v>45343</v>
      </c>
      <c r="C252" s="3">
        <v>45349</v>
      </c>
      <c r="D252" t="s">
        <v>881</v>
      </c>
      <c r="E252" t="s">
        <v>63</v>
      </c>
      <c r="F252" t="s">
        <v>47</v>
      </c>
      <c r="G252" t="s">
        <v>48</v>
      </c>
      <c r="H252" t="s">
        <v>109</v>
      </c>
      <c r="I252" t="s">
        <v>110</v>
      </c>
      <c r="J252" t="s">
        <v>51</v>
      </c>
      <c r="K252" t="s">
        <v>67</v>
      </c>
      <c r="L252" t="s">
        <v>882</v>
      </c>
      <c r="M252" t="s">
        <v>69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121</v>
      </c>
      <c r="U252" t="s">
        <v>113</v>
      </c>
      <c r="V252" t="str">
        <f t="shared" si="30"/>
        <v/>
      </c>
      <c r="W252" t="str">
        <f t="shared" si="31"/>
        <v/>
      </c>
      <c r="X252">
        <f t="shared" si="32"/>
        <v>0.3698572418644821</v>
      </c>
      <c r="Y252">
        <f t="shared" si="33"/>
        <v>14338.904999999999</v>
      </c>
      <c r="Z252">
        <f t="shared" si="34"/>
        <v>2441.2549999999992</v>
      </c>
      <c r="AA252">
        <f t="shared" si="35"/>
        <v>0.17025393501107647</v>
      </c>
      <c r="AB252">
        <f t="shared" si="36"/>
        <v>6</v>
      </c>
      <c r="AC252" t="str">
        <f t="shared" si="37"/>
        <v>February</v>
      </c>
      <c r="AD252">
        <f t="shared" si="38"/>
        <v>2024</v>
      </c>
      <c r="AE252" t="str">
        <f t="shared" si="39"/>
        <v>CLEAN</v>
      </c>
    </row>
    <row r="253" spans="1:31">
      <c r="A253" t="s">
        <v>883</v>
      </c>
      <c r="B253" s="3">
        <v>45753</v>
      </c>
      <c r="C253" s="3">
        <v>45934</v>
      </c>
      <c r="D253" t="s">
        <v>884</v>
      </c>
      <c r="E253" t="s">
        <v>72</v>
      </c>
      <c r="F253" t="s">
        <v>100</v>
      </c>
      <c r="G253" t="s">
        <v>73</v>
      </c>
      <c r="H253" t="s">
        <v>190</v>
      </c>
      <c r="I253" t="s">
        <v>191</v>
      </c>
      <c r="J253" t="s">
        <v>51</v>
      </c>
      <c r="K253" t="s">
        <v>52</v>
      </c>
      <c r="L253" t="s">
        <v>885</v>
      </c>
      <c r="M253" t="s">
        <v>41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42</v>
      </c>
      <c r="U253" t="s">
        <v>43</v>
      </c>
      <c r="V253" t="str">
        <f t="shared" si="30"/>
        <v/>
      </c>
      <c r="W253" t="str">
        <f t="shared" si="31"/>
        <v/>
      </c>
      <c r="X253">
        <f t="shared" si="32"/>
        <v>-1.0661353799231277</v>
      </c>
      <c r="Y253">
        <f t="shared" si="33"/>
        <v>6132.96</v>
      </c>
      <c r="Z253">
        <f t="shared" si="34"/>
        <v>1251.8599999999997</v>
      </c>
      <c r="AA253">
        <f t="shared" si="35"/>
        <v>0.20412003339333692</v>
      </c>
      <c r="AB253">
        <f t="shared" si="36"/>
        <v>181</v>
      </c>
      <c r="AC253" t="str">
        <f t="shared" si="37"/>
        <v>April</v>
      </c>
      <c r="AD253">
        <f t="shared" si="38"/>
        <v>2025</v>
      </c>
      <c r="AE253" t="str">
        <f t="shared" si="39"/>
        <v>CLEAN</v>
      </c>
    </row>
    <row r="254" spans="1:31">
      <c r="A254" t="s">
        <v>886</v>
      </c>
      <c r="B254" s="3">
        <v>45833</v>
      </c>
      <c r="C254" s="3">
        <v>45836</v>
      </c>
      <c r="D254" t="s">
        <v>887</v>
      </c>
      <c r="E254" t="s">
        <v>63</v>
      </c>
      <c r="F254" t="s">
        <v>100</v>
      </c>
      <c r="G254" t="s">
        <v>35</v>
      </c>
      <c r="H254" t="s">
        <v>248</v>
      </c>
      <c r="I254" t="s">
        <v>249</v>
      </c>
      <c r="J254" t="s">
        <v>38</v>
      </c>
      <c r="K254" t="s">
        <v>134</v>
      </c>
      <c r="L254" t="s">
        <v>888</v>
      </c>
      <c r="M254" t="s">
        <v>60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121</v>
      </c>
      <c r="U254" t="s">
        <v>113</v>
      </c>
      <c r="V254" t="str">
        <f t="shared" si="30"/>
        <v/>
      </c>
      <c r="W254" t="str">
        <f t="shared" si="31"/>
        <v/>
      </c>
      <c r="X254">
        <f t="shared" si="32"/>
        <v>0.84852144912701888</v>
      </c>
      <c r="Y254">
        <f t="shared" si="33"/>
        <v>2329.4720000000002</v>
      </c>
      <c r="Z254">
        <f t="shared" si="34"/>
        <v>725.85200000000032</v>
      </c>
      <c r="AA254">
        <f t="shared" si="35"/>
        <v>0.31159507390515973</v>
      </c>
      <c r="AB254">
        <f t="shared" si="36"/>
        <v>3</v>
      </c>
      <c r="AC254" t="str">
        <f t="shared" si="37"/>
        <v>June</v>
      </c>
      <c r="AD254">
        <f t="shared" si="38"/>
        <v>2025</v>
      </c>
      <c r="AE254" t="str">
        <f t="shared" si="39"/>
        <v>CLEAN</v>
      </c>
    </row>
    <row r="255" spans="1:31">
      <c r="A255" t="s">
        <v>889</v>
      </c>
      <c r="B255" s="3">
        <v>45547</v>
      </c>
      <c r="C255" s="3">
        <v>45548</v>
      </c>
      <c r="D255" t="s">
        <v>890</v>
      </c>
      <c r="E255" t="s">
        <v>124</v>
      </c>
      <c r="F255" t="s">
        <v>47</v>
      </c>
      <c r="G255" t="s">
        <v>35</v>
      </c>
      <c r="H255" t="s">
        <v>36</v>
      </c>
      <c r="I255" t="s">
        <v>37</v>
      </c>
      <c r="J255" t="s">
        <v>84</v>
      </c>
      <c r="K255" t="s">
        <v>181</v>
      </c>
      <c r="L255" t="s">
        <v>891</v>
      </c>
      <c r="M255" t="s">
        <v>54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112</v>
      </c>
      <c r="U255" t="s">
        <v>78</v>
      </c>
      <c r="V255" t="str">
        <f t="shared" si="30"/>
        <v/>
      </c>
      <c r="W255" t="str">
        <f t="shared" si="31"/>
        <v/>
      </c>
      <c r="X255">
        <f t="shared" si="32"/>
        <v>-0.58747117266059101</v>
      </c>
      <c r="Y255">
        <f t="shared" si="33"/>
        <v>4746.9029999999993</v>
      </c>
      <c r="Z255">
        <f t="shared" si="34"/>
        <v>1921.5229999999992</v>
      </c>
      <c r="AA255">
        <f t="shared" si="35"/>
        <v>0.40479508428969363</v>
      </c>
      <c r="AB255">
        <f t="shared" si="36"/>
        <v>1</v>
      </c>
      <c r="AC255" t="str">
        <f t="shared" si="37"/>
        <v>September</v>
      </c>
      <c r="AD255">
        <f t="shared" si="38"/>
        <v>2024</v>
      </c>
      <c r="AE255" t="str">
        <f t="shared" si="39"/>
        <v>WARNING</v>
      </c>
    </row>
    <row r="256" spans="1:31">
      <c r="A256" t="s">
        <v>892</v>
      </c>
      <c r="B256" s="3">
        <v>45658</v>
      </c>
      <c r="C256" s="3">
        <v>45660</v>
      </c>
      <c r="D256" t="s">
        <v>893</v>
      </c>
      <c r="E256" t="s">
        <v>72</v>
      </c>
      <c r="F256" t="s">
        <v>34</v>
      </c>
      <c r="G256" t="s">
        <v>73</v>
      </c>
      <c r="H256" t="s">
        <v>82</v>
      </c>
      <c r="I256" t="s">
        <v>83</v>
      </c>
      <c r="J256" t="s">
        <v>84</v>
      </c>
      <c r="K256" t="s">
        <v>85</v>
      </c>
      <c r="L256" t="s">
        <v>894</v>
      </c>
      <c r="M256" t="s">
        <v>54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42</v>
      </c>
      <c r="U256" t="s">
        <v>113</v>
      </c>
      <c r="V256" t="str">
        <f t="shared" si="30"/>
        <v/>
      </c>
      <c r="W256" t="str">
        <f t="shared" si="31"/>
        <v/>
      </c>
      <c r="X256">
        <f t="shared" si="32"/>
        <v>0.84852144912701888</v>
      </c>
      <c r="Y256">
        <f t="shared" si="33"/>
        <v>5603.08</v>
      </c>
      <c r="Z256">
        <f t="shared" si="34"/>
        <v>2470.56</v>
      </c>
      <c r="AA256">
        <f t="shared" si="35"/>
        <v>0.44092891766671188</v>
      </c>
      <c r="AB256">
        <f t="shared" si="36"/>
        <v>2</v>
      </c>
      <c r="AC256" t="str">
        <f t="shared" si="37"/>
        <v>January</v>
      </c>
      <c r="AD256">
        <f t="shared" si="38"/>
        <v>2025</v>
      </c>
      <c r="AE256" t="str">
        <f t="shared" si="39"/>
        <v>CLEAN</v>
      </c>
    </row>
    <row r="257" spans="1:31">
      <c r="A257" t="s">
        <v>895</v>
      </c>
      <c r="B257" s="3">
        <v>45692</v>
      </c>
      <c r="C257" s="3">
        <v>45932</v>
      </c>
      <c r="D257" t="s">
        <v>896</v>
      </c>
      <c r="E257" t="s">
        <v>57</v>
      </c>
      <c r="F257" t="s">
        <v>100</v>
      </c>
      <c r="G257" t="s">
        <v>73</v>
      </c>
      <c r="H257" t="s">
        <v>74</v>
      </c>
      <c r="I257" t="s">
        <v>75</v>
      </c>
      <c r="J257" t="s">
        <v>84</v>
      </c>
      <c r="K257" t="s">
        <v>181</v>
      </c>
      <c r="L257" t="s">
        <v>897</v>
      </c>
      <c r="M257" t="s">
        <v>60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42</v>
      </c>
      <c r="U257" t="s">
        <v>43</v>
      </c>
      <c r="V257" t="str">
        <f t="shared" si="30"/>
        <v/>
      </c>
      <c r="W257" t="str">
        <f t="shared" si="31"/>
        <v/>
      </c>
      <c r="X257">
        <f t="shared" si="32"/>
        <v>-1.0661353799231277</v>
      </c>
      <c r="Y257">
        <f t="shared" si="33"/>
        <v>12810</v>
      </c>
      <c r="Z257">
        <f t="shared" si="34"/>
        <v>3475.8799999999992</v>
      </c>
      <c r="AA257">
        <f t="shared" si="35"/>
        <v>0.27134113973458229</v>
      </c>
      <c r="AB257">
        <f t="shared" si="36"/>
        <v>240</v>
      </c>
      <c r="AC257" t="str">
        <f t="shared" si="37"/>
        <v>February</v>
      </c>
      <c r="AD257">
        <f t="shared" si="38"/>
        <v>2025</v>
      </c>
      <c r="AE257" t="str">
        <f t="shared" si="39"/>
        <v>CLEAN</v>
      </c>
    </row>
    <row r="258" spans="1:31">
      <c r="A258" t="s">
        <v>898</v>
      </c>
      <c r="B258" s="3">
        <v>45601</v>
      </c>
      <c r="C258" s="3">
        <v>45599</v>
      </c>
      <c r="D258" t="s">
        <v>899</v>
      </c>
      <c r="E258" t="s">
        <v>72</v>
      </c>
      <c r="F258" t="s">
        <v>34</v>
      </c>
      <c r="G258" t="s">
        <v>48</v>
      </c>
      <c r="H258" t="s">
        <v>109</v>
      </c>
      <c r="I258" t="s">
        <v>110</v>
      </c>
      <c r="J258" t="s">
        <v>51</v>
      </c>
      <c r="K258" t="s">
        <v>52</v>
      </c>
      <c r="L258" t="s">
        <v>900</v>
      </c>
      <c r="M258" t="s">
        <v>60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42</v>
      </c>
      <c r="U258" t="s">
        <v>43</v>
      </c>
      <c r="V258" t="str">
        <f t="shared" si="30"/>
        <v/>
      </c>
      <c r="W258" t="str">
        <f t="shared" si="31"/>
        <v>Invalid Shipping Record</v>
      </c>
      <c r="X258">
        <f t="shared" si="32"/>
        <v>-0.58747117266059101</v>
      </c>
      <c r="Y258">
        <f t="shared" si="33"/>
        <v>19328.215500000002</v>
      </c>
      <c r="Z258">
        <f t="shared" si="34"/>
        <v>7288.7155000000021</v>
      </c>
      <c r="AA258">
        <f t="shared" si="35"/>
        <v>0.3771023507058891</v>
      </c>
      <c r="AB258" t="e">
        <f t="shared" si="36"/>
        <v>#NUM!</v>
      </c>
      <c r="AC258" t="str">
        <f t="shared" si="37"/>
        <v>November</v>
      </c>
      <c r="AD258">
        <f t="shared" si="38"/>
        <v>2024</v>
      </c>
      <c r="AE258" t="str">
        <f t="shared" si="39"/>
        <v>INVALID</v>
      </c>
    </row>
    <row r="259" spans="1:31">
      <c r="A259" t="s">
        <v>901</v>
      </c>
      <c r="B259" s="3">
        <v>45878</v>
      </c>
      <c r="C259" s="3">
        <v>45881</v>
      </c>
      <c r="D259" t="s">
        <v>902</v>
      </c>
      <c r="E259" t="s">
        <v>172</v>
      </c>
      <c r="F259" t="s">
        <v>100</v>
      </c>
      <c r="G259" t="s">
        <v>64</v>
      </c>
      <c r="H259" t="s">
        <v>185</v>
      </c>
      <c r="I259" t="s">
        <v>186</v>
      </c>
      <c r="J259" t="s">
        <v>84</v>
      </c>
      <c r="K259" t="s">
        <v>85</v>
      </c>
      <c r="L259" t="s">
        <v>903</v>
      </c>
      <c r="M259" t="s">
        <v>41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42</v>
      </c>
      <c r="U259" t="s">
        <v>78</v>
      </c>
      <c r="V259" t="str">
        <f t="shared" ref="V259:V322" si="40">IF(AND(N259&gt;0,O259&gt;0,Q259&gt;0,R259&gt;=0,S259&lt;&gt;""),IF(OR(P259&lt;0,ABS(P259-AVERAGE($P:$P))&gt;2*_xlfn.STDEV.P($P:$P)),"Invalid Discount",""),"")</f>
        <v/>
      </c>
      <c r="W259" t="str">
        <f t="shared" ref="W259:W322" si="41">IF(AND(B259&lt;&gt;"",C259&lt;&gt;""),IF(C259&lt;B259,"Invalid Shipping Record",""),"")</f>
        <v/>
      </c>
      <c r="X259">
        <f t="shared" ref="X259:X322" si="42">(P259-AVERAGE($P:$P))/_xlfn.STDEV.P($P:$P)</f>
        <v>-1.0661353799231277</v>
      </c>
      <c r="Y259">
        <f t="shared" ref="Y259:Y322" si="43">N259*O259*(1-P259)</f>
        <v>6474.54</v>
      </c>
      <c r="Z259">
        <f t="shared" ref="Z259:Z322" si="44">Y259-R259</f>
        <v>1378.63</v>
      </c>
      <c r="AA259">
        <f t="shared" ref="AA259:AA322" si="45">IF(Y259=0,0,Z259/Y259)</f>
        <v>0.21293095725719513</v>
      </c>
      <c r="AB259">
        <f t="shared" ref="AB259:AB322" si="46">DATEDIF(B259,C259,"d")</f>
        <v>3</v>
      </c>
      <c r="AC259" t="str">
        <f t="shared" ref="AC259:AC322" si="47">TEXT(B259,"mmmm")</f>
        <v>August</v>
      </c>
      <c r="AD259">
        <f t="shared" ref="AD259:AD322" si="48">YEAR(B259)</f>
        <v>2025</v>
      </c>
      <c r="AE259" t="str">
        <f t="shared" ref="AE259:AE322" si="49">IF(OR(V259="Invalid Discount",W259="Invalid Shipping Record"),"INVALID",IF(U259="Cancelled","WARNING","CLEAN"))</f>
        <v>WARNING</v>
      </c>
    </row>
    <row r="260" spans="1:31">
      <c r="A260" t="s">
        <v>904</v>
      </c>
      <c r="B260" s="3">
        <v>45656</v>
      </c>
      <c r="C260" s="3">
        <v>45661</v>
      </c>
      <c r="D260" t="s">
        <v>905</v>
      </c>
      <c r="E260" t="s">
        <v>142</v>
      </c>
      <c r="F260" t="s">
        <v>100</v>
      </c>
      <c r="G260" t="s">
        <v>64</v>
      </c>
      <c r="H260" t="s">
        <v>259</v>
      </c>
      <c r="I260" t="s">
        <v>260</v>
      </c>
      <c r="J260" t="s">
        <v>51</v>
      </c>
      <c r="K260" t="s">
        <v>52</v>
      </c>
      <c r="L260" t="s">
        <v>906</v>
      </c>
      <c r="M260" t="s">
        <v>54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42</v>
      </c>
      <c r="U260" t="s">
        <v>43</v>
      </c>
      <c r="V260" t="str">
        <f t="shared" si="40"/>
        <v/>
      </c>
      <c r="W260" t="str">
        <f t="shared" si="41"/>
        <v/>
      </c>
      <c r="X260">
        <f t="shared" si="42"/>
        <v>1.3271856563895552</v>
      </c>
      <c r="Y260">
        <f t="shared" si="43"/>
        <v>5580.1050000000005</v>
      </c>
      <c r="Z260">
        <f t="shared" si="44"/>
        <v>1273.0950000000003</v>
      </c>
      <c r="AA260">
        <f t="shared" si="45"/>
        <v>0.22814893268137429</v>
      </c>
      <c r="AB260">
        <f t="shared" si="46"/>
        <v>5</v>
      </c>
      <c r="AC260" t="str">
        <f t="shared" si="47"/>
        <v>December</v>
      </c>
      <c r="AD260">
        <f t="shared" si="48"/>
        <v>2024</v>
      </c>
      <c r="AE260" t="str">
        <f t="shared" si="49"/>
        <v>CLEAN</v>
      </c>
    </row>
    <row r="261" spans="1:31">
      <c r="A261" t="s">
        <v>907</v>
      </c>
      <c r="B261" s="3">
        <v>45464</v>
      </c>
      <c r="C261" s="3">
        <v>45472</v>
      </c>
      <c r="D261" t="s">
        <v>908</v>
      </c>
      <c r="E261" t="s">
        <v>89</v>
      </c>
      <c r="F261" t="s">
        <v>34</v>
      </c>
      <c r="G261" t="s">
        <v>64</v>
      </c>
      <c r="H261" t="s">
        <v>259</v>
      </c>
      <c r="I261" t="s">
        <v>260</v>
      </c>
      <c r="J261" t="s">
        <v>84</v>
      </c>
      <c r="K261" t="s">
        <v>286</v>
      </c>
      <c r="L261" t="s">
        <v>909</v>
      </c>
      <c r="M261" t="s">
        <v>69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42</v>
      </c>
      <c r="U261" t="s">
        <v>43</v>
      </c>
      <c r="V261" t="str">
        <f t="shared" si="40"/>
        <v/>
      </c>
      <c r="W261" t="str">
        <f t="shared" si="41"/>
        <v/>
      </c>
      <c r="X261">
        <f t="shared" si="42"/>
        <v>0.84852144912701888</v>
      </c>
      <c r="Y261">
        <f t="shared" si="43"/>
        <v>18265.088</v>
      </c>
      <c r="Z261">
        <f t="shared" si="44"/>
        <v>7827.9480000000003</v>
      </c>
      <c r="AA261">
        <f t="shared" si="45"/>
        <v>0.42857433810338064</v>
      </c>
      <c r="AB261">
        <f t="shared" si="46"/>
        <v>8</v>
      </c>
      <c r="AC261" t="str">
        <f t="shared" si="47"/>
        <v>June</v>
      </c>
      <c r="AD261">
        <f t="shared" si="48"/>
        <v>2024</v>
      </c>
      <c r="AE261" t="str">
        <f t="shared" si="49"/>
        <v>CLEAN</v>
      </c>
    </row>
    <row r="262" spans="1:31">
      <c r="A262" t="s">
        <v>910</v>
      </c>
      <c r="B262" s="3">
        <v>45923</v>
      </c>
      <c r="C262" s="3">
        <v>45927</v>
      </c>
      <c r="D262" t="s">
        <v>911</v>
      </c>
      <c r="E262" t="s">
        <v>99</v>
      </c>
      <c r="F262" t="s">
        <v>100</v>
      </c>
      <c r="G262" t="s">
        <v>48</v>
      </c>
      <c r="H262" t="s">
        <v>109</v>
      </c>
      <c r="I262" t="s">
        <v>110</v>
      </c>
      <c r="J262" t="s">
        <v>38</v>
      </c>
      <c r="K262" t="s">
        <v>163</v>
      </c>
      <c r="L262" t="s">
        <v>912</v>
      </c>
      <c r="M262" t="s">
        <v>54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165</v>
      </c>
      <c r="U262" t="s">
        <v>113</v>
      </c>
      <c r="V262" t="str">
        <f t="shared" si="40"/>
        <v/>
      </c>
      <c r="W262" t="str">
        <f t="shared" si="41"/>
        <v/>
      </c>
      <c r="X262">
        <f t="shared" si="42"/>
        <v>1.3271856563895552</v>
      </c>
      <c r="Y262">
        <f t="shared" si="43"/>
        <v>15209.880000000001</v>
      </c>
      <c r="Z262">
        <f t="shared" si="44"/>
        <v>4318.7300000000014</v>
      </c>
      <c r="AA262">
        <f t="shared" si="45"/>
        <v>0.28394241111698454</v>
      </c>
      <c r="AB262">
        <f t="shared" si="46"/>
        <v>4</v>
      </c>
      <c r="AC262" t="str">
        <f t="shared" si="47"/>
        <v>September</v>
      </c>
      <c r="AD262">
        <f t="shared" si="48"/>
        <v>2025</v>
      </c>
      <c r="AE262" t="str">
        <f t="shared" si="49"/>
        <v>CLEAN</v>
      </c>
    </row>
    <row r="263" spans="1:31">
      <c r="A263" t="s">
        <v>913</v>
      </c>
      <c r="B263" s="3">
        <v>45826</v>
      </c>
      <c r="C263" s="3">
        <v>45832</v>
      </c>
      <c r="D263" t="s">
        <v>914</v>
      </c>
      <c r="E263" t="s">
        <v>142</v>
      </c>
      <c r="F263" t="s">
        <v>100</v>
      </c>
      <c r="G263" t="s">
        <v>35</v>
      </c>
      <c r="H263" t="s">
        <v>36</v>
      </c>
      <c r="I263" t="s">
        <v>37</v>
      </c>
      <c r="J263" t="s">
        <v>38</v>
      </c>
      <c r="K263" t="s">
        <v>101</v>
      </c>
      <c r="L263" t="s">
        <v>915</v>
      </c>
      <c r="M263" t="s">
        <v>69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165</v>
      </c>
      <c r="U263" t="s">
        <v>78</v>
      </c>
      <c r="V263" t="str">
        <f t="shared" si="40"/>
        <v/>
      </c>
      <c r="W263" t="str">
        <f t="shared" si="41"/>
        <v/>
      </c>
      <c r="X263">
        <f t="shared" si="42"/>
        <v>0.84852144912701888</v>
      </c>
      <c r="Y263">
        <f t="shared" si="43"/>
        <v>1648.1760000000004</v>
      </c>
      <c r="Z263">
        <f t="shared" si="44"/>
        <v>660.26600000000042</v>
      </c>
      <c r="AA263">
        <f t="shared" si="45"/>
        <v>0.40060406170214846</v>
      </c>
      <c r="AB263">
        <f t="shared" si="46"/>
        <v>6</v>
      </c>
      <c r="AC263" t="str">
        <f t="shared" si="47"/>
        <v>June</v>
      </c>
      <c r="AD263">
        <f t="shared" si="48"/>
        <v>2025</v>
      </c>
      <c r="AE263" t="str">
        <f t="shared" si="49"/>
        <v>WARNING</v>
      </c>
    </row>
    <row r="264" spans="1:31">
      <c r="A264" t="s">
        <v>916</v>
      </c>
      <c r="B264" s="3">
        <v>45803</v>
      </c>
      <c r="C264" s="3">
        <v>45809</v>
      </c>
      <c r="D264" t="s">
        <v>645</v>
      </c>
      <c r="E264" t="s">
        <v>63</v>
      </c>
      <c r="F264" t="s">
        <v>47</v>
      </c>
      <c r="G264" t="s">
        <v>35</v>
      </c>
      <c r="H264" t="s">
        <v>362</v>
      </c>
      <c r="I264" t="s">
        <v>363</v>
      </c>
      <c r="J264" t="s">
        <v>84</v>
      </c>
      <c r="K264" t="s">
        <v>181</v>
      </c>
      <c r="L264" t="s">
        <v>917</v>
      </c>
      <c r="M264" t="s">
        <v>54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121</v>
      </c>
      <c r="U264" t="s">
        <v>113</v>
      </c>
      <c r="V264" t="str">
        <f t="shared" si="40"/>
        <v/>
      </c>
      <c r="W264" t="str">
        <f t="shared" si="41"/>
        <v/>
      </c>
      <c r="X264">
        <f t="shared" si="42"/>
        <v>-1.0661353799231277</v>
      </c>
      <c r="Y264">
        <f t="shared" si="43"/>
        <v>13399.44</v>
      </c>
      <c r="Z264">
        <f t="shared" si="44"/>
        <v>4818.09</v>
      </c>
      <c r="AA264">
        <f t="shared" si="45"/>
        <v>0.3595739821962709</v>
      </c>
      <c r="AB264">
        <f t="shared" si="46"/>
        <v>6</v>
      </c>
      <c r="AC264" t="str">
        <f t="shared" si="47"/>
        <v>May</v>
      </c>
      <c r="AD264">
        <f t="shared" si="48"/>
        <v>2025</v>
      </c>
      <c r="AE264" t="str">
        <f t="shared" si="49"/>
        <v>CLEAN</v>
      </c>
    </row>
    <row r="265" spans="1:31">
      <c r="A265" t="s">
        <v>918</v>
      </c>
      <c r="B265" s="3">
        <v>45875</v>
      </c>
      <c r="C265" s="3">
        <v>45879</v>
      </c>
      <c r="D265" t="s">
        <v>919</v>
      </c>
      <c r="E265" t="s">
        <v>151</v>
      </c>
      <c r="F265" t="s">
        <v>47</v>
      </c>
      <c r="G265" t="s">
        <v>35</v>
      </c>
      <c r="H265" t="s">
        <v>362</v>
      </c>
      <c r="I265" t="s">
        <v>363</v>
      </c>
      <c r="J265" t="s">
        <v>38</v>
      </c>
      <c r="K265" t="s">
        <v>163</v>
      </c>
      <c r="L265" t="s">
        <v>920</v>
      </c>
      <c r="M265" t="s">
        <v>41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121</v>
      </c>
      <c r="U265" t="s">
        <v>113</v>
      </c>
      <c r="V265" t="str">
        <f t="shared" si="40"/>
        <v/>
      </c>
      <c r="W265" t="str">
        <f t="shared" si="41"/>
        <v/>
      </c>
      <c r="X265">
        <f t="shared" si="42"/>
        <v>-0.10880696539805437</v>
      </c>
      <c r="Y265">
        <f t="shared" si="43"/>
        <v>32743.844999999998</v>
      </c>
      <c r="Z265">
        <f t="shared" si="44"/>
        <v>10291.794999999998</v>
      </c>
      <c r="AA265">
        <f t="shared" si="45"/>
        <v>0.314312353970647</v>
      </c>
      <c r="AB265">
        <f t="shared" si="46"/>
        <v>4</v>
      </c>
      <c r="AC265" t="str">
        <f t="shared" si="47"/>
        <v>August</v>
      </c>
      <c r="AD265">
        <f t="shared" si="48"/>
        <v>2025</v>
      </c>
      <c r="AE265" t="str">
        <f t="shared" si="49"/>
        <v>CLEAN</v>
      </c>
    </row>
    <row r="266" spans="1:31">
      <c r="A266" t="s">
        <v>921</v>
      </c>
      <c r="B266" s="3">
        <v>45428</v>
      </c>
      <c r="C266" s="3">
        <v>45433</v>
      </c>
      <c r="D266" t="s">
        <v>922</v>
      </c>
      <c r="E266" t="s">
        <v>172</v>
      </c>
      <c r="F266" t="s">
        <v>47</v>
      </c>
      <c r="G266" t="s">
        <v>48</v>
      </c>
      <c r="H266" t="s">
        <v>155</v>
      </c>
      <c r="I266" t="s">
        <v>156</v>
      </c>
      <c r="J266" t="s">
        <v>84</v>
      </c>
      <c r="K266" t="s">
        <v>90</v>
      </c>
      <c r="L266" t="s">
        <v>923</v>
      </c>
      <c r="M266" t="s">
        <v>69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42</v>
      </c>
      <c r="U266" t="s">
        <v>43</v>
      </c>
      <c r="V266" t="str">
        <f t="shared" si="40"/>
        <v/>
      </c>
      <c r="W266" t="str">
        <f t="shared" si="41"/>
        <v/>
      </c>
      <c r="X266">
        <f t="shared" si="42"/>
        <v>-1.0661353799231277</v>
      </c>
      <c r="Y266">
        <f t="shared" si="43"/>
        <v>6012.28</v>
      </c>
      <c r="Z266">
        <f t="shared" si="44"/>
        <v>2084.64</v>
      </c>
      <c r="AA266">
        <f t="shared" si="45"/>
        <v>0.34673035853286938</v>
      </c>
      <c r="AB266">
        <f t="shared" si="46"/>
        <v>5</v>
      </c>
      <c r="AC266" t="str">
        <f t="shared" si="47"/>
        <v>May</v>
      </c>
      <c r="AD266">
        <f t="shared" si="48"/>
        <v>2024</v>
      </c>
      <c r="AE266" t="str">
        <f t="shared" si="49"/>
        <v>CLEAN</v>
      </c>
    </row>
    <row r="267" spans="1:31">
      <c r="A267" t="s">
        <v>924</v>
      </c>
      <c r="B267" s="3">
        <v>45610</v>
      </c>
      <c r="C267" s="3">
        <v>45618</v>
      </c>
      <c r="D267" t="s">
        <v>925</v>
      </c>
      <c r="E267" t="s">
        <v>124</v>
      </c>
      <c r="F267" t="s">
        <v>100</v>
      </c>
      <c r="G267" t="s">
        <v>48</v>
      </c>
      <c r="H267" t="s">
        <v>155</v>
      </c>
      <c r="I267" t="s">
        <v>156</v>
      </c>
      <c r="J267" t="s">
        <v>51</v>
      </c>
      <c r="K267" t="s">
        <v>168</v>
      </c>
      <c r="L267" t="s">
        <v>926</v>
      </c>
      <c r="M267" t="s">
        <v>54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112</v>
      </c>
      <c r="U267" t="s">
        <v>78</v>
      </c>
      <c r="V267" t="str">
        <f t="shared" si="40"/>
        <v/>
      </c>
      <c r="W267" t="str">
        <f t="shared" si="41"/>
        <v/>
      </c>
      <c r="X267">
        <f t="shared" si="42"/>
        <v>0.3698572418644821</v>
      </c>
      <c r="Y267">
        <f t="shared" si="43"/>
        <v>495.0145</v>
      </c>
      <c r="Z267">
        <f t="shared" si="44"/>
        <v>209.8845</v>
      </c>
      <c r="AA267">
        <f t="shared" si="45"/>
        <v>0.42399667080459258</v>
      </c>
      <c r="AB267">
        <f t="shared" si="46"/>
        <v>8</v>
      </c>
      <c r="AC267" t="str">
        <f t="shared" si="47"/>
        <v>November</v>
      </c>
      <c r="AD267">
        <f t="shared" si="48"/>
        <v>2024</v>
      </c>
      <c r="AE267" t="str">
        <f t="shared" si="49"/>
        <v>WARNING</v>
      </c>
    </row>
    <row r="268" spans="1:31">
      <c r="A268" t="s">
        <v>927</v>
      </c>
      <c r="B268" s="3">
        <v>45780</v>
      </c>
      <c r="C268" s="3">
        <v>45787</v>
      </c>
      <c r="D268" t="s">
        <v>928</v>
      </c>
      <c r="E268" t="s">
        <v>89</v>
      </c>
      <c r="F268" t="s">
        <v>105</v>
      </c>
      <c r="G268" t="s">
        <v>73</v>
      </c>
      <c r="H268" t="s">
        <v>74</v>
      </c>
      <c r="I268" t="s">
        <v>75</v>
      </c>
      <c r="J268" t="s">
        <v>38</v>
      </c>
      <c r="K268" t="s">
        <v>134</v>
      </c>
      <c r="L268" t="s">
        <v>929</v>
      </c>
      <c r="M268" t="s">
        <v>41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42</v>
      </c>
      <c r="U268" t="s">
        <v>43</v>
      </c>
      <c r="V268" t="str">
        <f t="shared" si="40"/>
        <v/>
      </c>
      <c r="W268" t="str">
        <f t="shared" si="41"/>
        <v/>
      </c>
      <c r="X268">
        <f t="shared" si="42"/>
        <v>-1.0661353799231277</v>
      </c>
      <c r="Y268">
        <f t="shared" si="43"/>
        <v>13017.72</v>
      </c>
      <c r="Z268">
        <f t="shared" si="44"/>
        <v>2847.1499999999996</v>
      </c>
      <c r="AA268">
        <f t="shared" si="45"/>
        <v>0.21871341525244051</v>
      </c>
      <c r="AB268">
        <f t="shared" si="46"/>
        <v>7</v>
      </c>
      <c r="AC268" t="str">
        <f t="shared" si="47"/>
        <v>May</v>
      </c>
      <c r="AD268">
        <f t="shared" si="48"/>
        <v>2025</v>
      </c>
      <c r="AE268" t="str">
        <f t="shared" si="49"/>
        <v>CLEAN</v>
      </c>
    </row>
    <row r="269" spans="1:31">
      <c r="A269" t="s">
        <v>930</v>
      </c>
      <c r="B269" s="3">
        <v>45805</v>
      </c>
      <c r="C269" s="3">
        <v>45812</v>
      </c>
      <c r="D269" t="s">
        <v>931</v>
      </c>
      <c r="E269" t="s">
        <v>172</v>
      </c>
      <c r="F269" t="s">
        <v>100</v>
      </c>
      <c r="G269" t="s">
        <v>48</v>
      </c>
      <c r="H269" t="s">
        <v>240</v>
      </c>
      <c r="I269" t="s">
        <v>241</v>
      </c>
      <c r="J269" t="s">
        <v>51</v>
      </c>
      <c r="K269" t="s">
        <v>67</v>
      </c>
      <c r="L269" t="s">
        <v>932</v>
      </c>
      <c r="M269" t="s">
        <v>60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42</v>
      </c>
      <c r="U269" t="s">
        <v>43</v>
      </c>
      <c r="V269" t="str">
        <f t="shared" si="40"/>
        <v/>
      </c>
      <c r="W269" t="str">
        <f t="shared" si="41"/>
        <v/>
      </c>
      <c r="X269">
        <f t="shared" si="42"/>
        <v>1.3271856563895552</v>
      </c>
      <c r="Y269">
        <f t="shared" si="43"/>
        <v>785.40000000000009</v>
      </c>
      <c r="Z269">
        <f t="shared" si="44"/>
        <v>228.18000000000006</v>
      </c>
      <c r="AA269">
        <f t="shared" si="45"/>
        <v>0.29052711993888469</v>
      </c>
      <c r="AB269">
        <f t="shared" si="46"/>
        <v>7</v>
      </c>
      <c r="AC269" t="str">
        <f t="shared" si="47"/>
        <v>May</v>
      </c>
      <c r="AD269">
        <f t="shared" si="48"/>
        <v>2025</v>
      </c>
      <c r="AE269" t="str">
        <f t="shared" si="49"/>
        <v>CLEAN</v>
      </c>
    </row>
    <row r="270" spans="1:31">
      <c r="A270" t="s">
        <v>933</v>
      </c>
      <c r="B270" s="3">
        <v>45886</v>
      </c>
      <c r="C270" s="3">
        <v>45886</v>
      </c>
      <c r="D270" t="s">
        <v>934</v>
      </c>
      <c r="E270" t="s">
        <v>138</v>
      </c>
      <c r="F270" t="s">
        <v>105</v>
      </c>
      <c r="G270" t="s">
        <v>35</v>
      </c>
      <c r="H270" t="s">
        <v>132</v>
      </c>
      <c r="I270" t="s">
        <v>133</v>
      </c>
      <c r="J270" t="s">
        <v>84</v>
      </c>
      <c r="K270" t="s">
        <v>85</v>
      </c>
      <c r="L270" t="s">
        <v>935</v>
      </c>
      <c r="M270" t="s">
        <v>60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42</v>
      </c>
      <c r="U270" t="s">
        <v>43</v>
      </c>
      <c r="V270" t="str">
        <f t="shared" si="40"/>
        <v/>
      </c>
      <c r="W270" t="str">
        <f t="shared" si="41"/>
        <v/>
      </c>
      <c r="X270">
        <f t="shared" si="42"/>
        <v>1.3271856563895552</v>
      </c>
      <c r="Y270">
        <f t="shared" si="43"/>
        <v>3319.05</v>
      </c>
      <c r="Z270">
        <f t="shared" si="44"/>
        <v>1194.4500000000003</v>
      </c>
      <c r="AA270">
        <f t="shared" si="45"/>
        <v>0.35987707325891449</v>
      </c>
      <c r="AB270">
        <f t="shared" si="46"/>
        <v>0</v>
      </c>
      <c r="AC270" t="str">
        <f t="shared" si="47"/>
        <v>August</v>
      </c>
      <c r="AD270">
        <f t="shared" si="48"/>
        <v>2025</v>
      </c>
      <c r="AE270" t="str">
        <f t="shared" si="49"/>
        <v>CLEAN</v>
      </c>
    </row>
    <row r="271" spans="1:31">
      <c r="A271" t="s">
        <v>936</v>
      </c>
      <c r="B271" s="3">
        <v>45932</v>
      </c>
      <c r="C271" s="3">
        <v>45993</v>
      </c>
      <c r="D271" t="s">
        <v>937</v>
      </c>
      <c r="E271" t="s">
        <v>128</v>
      </c>
      <c r="F271" t="s">
        <v>47</v>
      </c>
      <c r="G271" t="s">
        <v>73</v>
      </c>
      <c r="H271" t="s">
        <v>36</v>
      </c>
      <c r="I271" t="s">
        <v>119</v>
      </c>
      <c r="J271" t="s">
        <v>51</v>
      </c>
      <c r="K271" t="s">
        <v>52</v>
      </c>
      <c r="L271" t="s">
        <v>938</v>
      </c>
      <c r="M271" t="s">
        <v>54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42</v>
      </c>
      <c r="U271" t="s">
        <v>43</v>
      </c>
      <c r="V271" t="str">
        <f t="shared" si="40"/>
        <v/>
      </c>
      <c r="W271" t="str">
        <f t="shared" si="41"/>
        <v/>
      </c>
      <c r="X271">
        <f t="shared" si="42"/>
        <v>-1.0661353799231277</v>
      </c>
      <c r="Y271">
        <f t="shared" si="43"/>
        <v>1925.86</v>
      </c>
      <c r="Z271">
        <f t="shared" si="44"/>
        <v>603.9699999999998</v>
      </c>
      <c r="AA271">
        <f t="shared" si="45"/>
        <v>0.31361054282242729</v>
      </c>
      <c r="AB271">
        <f t="shared" si="46"/>
        <v>61</v>
      </c>
      <c r="AC271" t="str">
        <f t="shared" si="47"/>
        <v>October</v>
      </c>
      <c r="AD271">
        <f t="shared" si="48"/>
        <v>2025</v>
      </c>
      <c r="AE271" t="str">
        <f t="shared" si="49"/>
        <v>CLEAN</v>
      </c>
    </row>
    <row r="272" spans="1:31">
      <c r="A272" t="s">
        <v>939</v>
      </c>
      <c r="B272" s="3">
        <v>45627</v>
      </c>
      <c r="C272" s="3">
        <v>45304</v>
      </c>
      <c r="D272" t="s">
        <v>940</v>
      </c>
      <c r="E272" t="s">
        <v>99</v>
      </c>
      <c r="F272" t="s">
        <v>100</v>
      </c>
      <c r="G272" t="s">
        <v>35</v>
      </c>
      <c r="H272" t="s">
        <v>146</v>
      </c>
      <c r="I272" t="s">
        <v>147</v>
      </c>
      <c r="J272" t="s">
        <v>84</v>
      </c>
      <c r="K272" t="s">
        <v>286</v>
      </c>
      <c r="L272" t="s">
        <v>941</v>
      </c>
      <c r="M272" t="s">
        <v>54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42</v>
      </c>
      <c r="U272" t="s">
        <v>43</v>
      </c>
      <c r="V272" t="str">
        <f t="shared" si="40"/>
        <v/>
      </c>
      <c r="W272" t="str">
        <f t="shared" si="41"/>
        <v>Invalid Shipping Record</v>
      </c>
      <c r="X272">
        <f t="shared" si="42"/>
        <v>-1.0661353799231277</v>
      </c>
      <c r="Y272">
        <f t="shared" si="43"/>
        <v>2482.3200000000002</v>
      </c>
      <c r="Z272">
        <f t="shared" si="44"/>
        <v>962.11000000000013</v>
      </c>
      <c r="AA272">
        <f t="shared" si="45"/>
        <v>0.38758500112797706</v>
      </c>
      <c r="AB272" t="e">
        <f t="shared" si="46"/>
        <v>#NUM!</v>
      </c>
      <c r="AC272" t="str">
        <f t="shared" si="47"/>
        <v>December</v>
      </c>
      <c r="AD272">
        <f t="shared" si="48"/>
        <v>2024</v>
      </c>
      <c r="AE272" t="str">
        <f t="shared" si="49"/>
        <v>INVALID</v>
      </c>
    </row>
    <row r="273" spans="1:31">
      <c r="A273" t="s">
        <v>942</v>
      </c>
      <c r="B273" s="3">
        <v>45647</v>
      </c>
      <c r="C273" s="3">
        <v>45651</v>
      </c>
      <c r="D273" t="s">
        <v>943</v>
      </c>
      <c r="E273" t="s">
        <v>99</v>
      </c>
      <c r="F273" t="s">
        <v>34</v>
      </c>
      <c r="G273" t="s">
        <v>64</v>
      </c>
      <c r="H273" t="s">
        <v>65</v>
      </c>
      <c r="I273" t="s">
        <v>66</v>
      </c>
      <c r="J273" t="s">
        <v>38</v>
      </c>
      <c r="K273" t="s">
        <v>163</v>
      </c>
      <c r="L273" t="s">
        <v>944</v>
      </c>
      <c r="M273" t="s">
        <v>69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165</v>
      </c>
      <c r="U273" t="s">
        <v>78</v>
      </c>
      <c r="V273" t="str">
        <f t="shared" si="40"/>
        <v/>
      </c>
      <c r="W273" t="str">
        <f t="shared" si="41"/>
        <v/>
      </c>
      <c r="X273">
        <f t="shared" si="42"/>
        <v>-1.0661353799231277</v>
      </c>
      <c r="Y273">
        <f t="shared" si="43"/>
        <v>11674.25</v>
      </c>
      <c r="Z273">
        <f t="shared" si="44"/>
        <v>2053.0599999999995</v>
      </c>
      <c r="AA273">
        <f t="shared" si="45"/>
        <v>0.17586226095894808</v>
      </c>
      <c r="AB273">
        <f t="shared" si="46"/>
        <v>4</v>
      </c>
      <c r="AC273" t="str">
        <f t="shared" si="47"/>
        <v>December</v>
      </c>
      <c r="AD273">
        <f t="shared" si="48"/>
        <v>2024</v>
      </c>
      <c r="AE273" t="str">
        <f t="shared" si="49"/>
        <v>WARNING</v>
      </c>
    </row>
    <row r="274" spans="1:31">
      <c r="A274" t="s">
        <v>945</v>
      </c>
      <c r="B274" s="3">
        <v>45522</v>
      </c>
      <c r="C274" s="3">
        <v>45528</v>
      </c>
      <c r="D274" t="s">
        <v>946</v>
      </c>
      <c r="E274" t="s">
        <v>63</v>
      </c>
      <c r="F274" t="s">
        <v>34</v>
      </c>
      <c r="G274" t="s">
        <v>64</v>
      </c>
      <c r="H274" t="s">
        <v>94</v>
      </c>
      <c r="I274" t="s">
        <v>95</v>
      </c>
      <c r="J274" t="s">
        <v>51</v>
      </c>
      <c r="K274" t="s">
        <v>76</v>
      </c>
      <c r="L274" t="s">
        <v>947</v>
      </c>
      <c r="M274" t="s">
        <v>60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42</v>
      </c>
      <c r="U274" t="s">
        <v>43</v>
      </c>
      <c r="V274" t="str">
        <f t="shared" si="40"/>
        <v/>
      </c>
      <c r="W274" t="str">
        <f t="shared" si="41"/>
        <v/>
      </c>
      <c r="X274">
        <f t="shared" si="42"/>
        <v>-0.10880696539805437</v>
      </c>
      <c r="Y274">
        <f t="shared" si="43"/>
        <v>3510.4230000000002</v>
      </c>
      <c r="Z274">
        <f t="shared" si="44"/>
        <v>1318.9230000000002</v>
      </c>
      <c r="AA274">
        <f t="shared" si="45"/>
        <v>0.37571625983535323</v>
      </c>
      <c r="AB274">
        <f t="shared" si="46"/>
        <v>6</v>
      </c>
      <c r="AC274" t="str">
        <f t="shared" si="47"/>
        <v>August</v>
      </c>
      <c r="AD274">
        <f t="shared" si="48"/>
        <v>2024</v>
      </c>
      <c r="AE274" t="str">
        <f t="shared" si="49"/>
        <v>CLEAN</v>
      </c>
    </row>
    <row r="275" spans="1:31">
      <c r="A275" t="s">
        <v>948</v>
      </c>
      <c r="B275" s="3">
        <v>45701</v>
      </c>
      <c r="C275" s="3">
        <v>45701</v>
      </c>
      <c r="D275" t="s">
        <v>949</v>
      </c>
      <c r="E275" t="s">
        <v>57</v>
      </c>
      <c r="F275" t="s">
        <v>34</v>
      </c>
      <c r="G275" t="s">
        <v>48</v>
      </c>
      <c r="H275" t="s">
        <v>155</v>
      </c>
      <c r="I275" t="s">
        <v>156</v>
      </c>
      <c r="J275" t="s">
        <v>38</v>
      </c>
      <c r="K275" t="s">
        <v>39</v>
      </c>
      <c r="L275" t="s">
        <v>950</v>
      </c>
      <c r="M275" t="s">
        <v>41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42</v>
      </c>
      <c r="U275" t="s">
        <v>113</v>
      </c>
      <c r="V275" t="str">
        <f t="shared" si="40"/>
        <v/>
      </c>
      <c r="W275" t="str">
        <f t="shared" si="41"/>
        <v/>
      </c>
      <c r="X275">
        <f t="shared" si="42"/>
        <v>-1.0661353799231277</v>
      </c>
      <c r="Y275">
        <f t="shared" si="43"/>
        <v>22694.670000000002</v>
      </c>
      <c r="Z275">
        <f t="shared" si="44"/>
        <v>7289.3100000000013</v>
      </c>
      <c r="AA275">
        <f t="shared" si="45"/>
        <v>0.32119039404406413</v>
      </c>
      <c r="AB275">
        <f t="shared" si="46"/>
        <v>0</v>
      </c>
      <c r="AC275" t="str">
        <f t="shared" si="47"/>
        <v>February</v>
      </c>
      <c r="AD275">
        <f t="shared" si="48"/>
        <v>2025</v>
      </c>
      <c r="AE275" t="str">
        <f t="shared" si="49"/>
        <v>CLEAN</v>
      </c>
    </row>
    <row r="276" spans="1:31">
      <c r="A276" t="s">
        <v>951</v>
      </c>
      <c r="B276" s="3">
        <v>45389</v>
      </c>
      <c r="C276" s="3">
        <v>45396</v>
      </c>
      <c r="D276" t="s">
        <v>952</v>
      </c>
      <c r="E276" t="s">
        <v>151</v>
      </c>
      <c r="F276" t="s">
        <v>34</v>
      </c>
      <c r="G276" t="s">
        <v>64</v>
      </c>
      <c r="H276" t="s">
        <v>195</v>
      </c>
      <c r="I276" t="s">
        <v>196</v>
      </c>
      <c r="J276" t="s">
        <v>84</v>
      </c>
      <c r="K276" t="s">
        <v>90</v>
      </c>
      <c r="L276" t="s">
        <v>953</v>
      </c>
      <c r="M276" t="s">
        <v>69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165</v>
      </c>
      <c r="U276" t="s">
        <v>113</v>
      </c>
      <c r="V276" t="str">
        <f t="shared" si="40"/>
        <v/>
      </c>
      <c r="W276" t="str">
        <f t="shared" si="41"/>
        <v/>
      </c>
      <c r="X276">
        <f t="shared" si="42"/>
        <v>0.3698572418644821</v>
      </c>
      <c r="Y276">
        <f t="shared" si="43"/>
        <v>21658.221000000001</v>
      </c>
      <c r="Z276">
        <f t="shared" si="44"/>
        <v>6167.5310000000009</v>
      </c>
      <c r="AA276">
        <f t="shared" si="45"/>
        <v>0.28476627881856043</v>
      </c>
      <c r="AB276">
        <f t="shared" si="46"/>
        <v>7</v>
      </c>
      <c r="AC276" t="str">
        <f t="shared" si="47"/>
        <v>April</v>
      </c>
      <c r="AD276">
        <f t="shared" si="48"/>
        <v>2024</v>
      </c>
      <c r="AE276" t="str">
        <f t="shared" si="49"/>
        <v>CLEAN</v>
      </c>
    </row>
    <row r="277" spans="1:31">
      <c r="A277" t="s">
        <v>954</v>
      </c>
      <c r="B277" s="3">
        <v>45337</v>
      </c>
      <c r="C277" s="3">
        <v>45344</v>
      </c>
      <c r="D277" t="s">
        <v>955</v>
      </c>
      <c r="E277" t="s">
        <v>124</v>
      </c>
      <c r="F277" t="s">
        <v>47</v>
      </c>
      <c r="G277" t="s">
        <v>48</v>
      </c>
      <c r="H277" t="s">
        <v>109</v>
      </c>
      <c r="I277" t="s">
        <v>110</v>
      </c>
      <c r="J277" t="s">
        <v>51</v>
      </c>
      <c r="K277" t="s">
        <v>67</v>
      </c>
      <c r="L277" t="s">
        <v>956</v>
      </c>
      <c r="M277" t="s">
        <v>54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42</v>
      </c>
      <c r="U277" t="s">
        <v>43</v>
      </c>
      <c r="V277" t="str">
        <f t="shared" si="40"/>
        <v/>
      </c>
      <c r="W277" t="str">
        <f t="shared" si="41"/>
        <v/>
      </c>
      <c r="X277">
        <f t="shared" si="42"/>
        <v>-1.0661353799231277</v>
      </c>
      <c r="Y277">
        <f t="shared" si="43"/>
        <v>980.51</v>
      </c>
      <c r="Z277">
        <f t="shared" si="44"/>
        <v>319.59000000000003</v>
      </c>
      <c r="AA277">
        <f t="shared" si="45"/>
        <v>0.32594262169687205</v>
      </c>
      <c r="AB277">
        <f t="shared" si="46"/>
        <v>7</v>
      </c>
      <c r="AC277" t="str">
        <f t="shared" si="47"/>
        <v>February</v>
      </c>
      <c r="AD277">
        <f t="shared" si="48"/>
        <v>2024</v>
      </c>
      <c r="AE277" t="str">
        <f t="shared" si="49"/>
        <v>CLEAN</v>
      </c>
    </row>
    <row r="278" spans="1:31">
      <c r="A278" t="s">
        <v>957</v>
      </c>
      <c r="B278" s="3">
        <v>45313</v>
      </c>
      <c r="C278" s="3">
        <v>45314</v>
      </c>
      <c r="D278" t="s">
        <v>958</v>
      </c>
      <c r="E278" t="s">
        <v>138</v>
      </c>
      <c r="F278" t="s">
        <v>47</v>
      </c>
      <c r="G278" t="s">
        <v>215</v>
      </c>
      <c r="H278" t="s">
        <v>176</v>
      </c>
      <c r="I278" t="s">
        <v>177</v>
      </c>
      <c r="J278" t="s">
        <v>51</v>
      </c>
      <c r="K278" t="s">
        <v>76</v>
      </c>
      <c r="L278" t="s">
        <v>959</v>
      </c>
      <c r="M278" t="s">
        <v>41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42</v>
      </c>
      <c r="U278" t="s">
        <v>43</v>
      </c>
      <c r="V278" t="str">
        <f t="shared" si="40"/>
        <v>Invalid Discount</v>
      </c>
      <c r="W278" t="str">
        <f t="shared" si="41"/>
        <v/>
      </c>
      <c r="X278">
        <f t="shared" si="42"/>
        <v>-2.4063951602582305</v>
      </c>
      <c r="Y278">
        <f t="shared" si="43"/>
        <v>23198.065200000005</v>
      </c>
      <c r="Z278">
        <f t="shared" si="44"/>
        <v>14784.535200000004</v>
      </c>
      <c r="AA278">
        <f t="shared" si="45"/>
        <v>0.63731759836591895</v>
      </c>
      <c r="AB278">
        <f t="shared" si="46"/>
        <v>1</v>
      </c>
      <c r="AC278" t="str">
        <f t="shared" si="47"/>
        <v>January</v>
      </c>
      <c r="AD278">
        <f t="shared" si="48"/>
        <v>2024</v>
      </c>
      <c r="AE278" t="str">
        <f t="shared" si="49"/>
        <v>INVALID</v>
      </c>
    </row>
    <row r="279" spans="1:31">
      <c r="A279" t="s">
        <v>960</v>
      </c>
      <c r="B279" s="3">
        <v>45812</v>
      </c>
      <c r="C279" s="3">
        <v>45812</v>
      </c>
      <c r="D279" t="s">
        <v>810</v>
      </c>
      <c r="E279" t="s">
        <v>57</v>
      </c>
      <c r="F279" t="s">
        <v>100</v>
      </c>
      <c r="G279" t="s">
        <v>35</v>
      </c>
      <c r="H279" t="s">
        <v>248</v>
      </c>
      <c r="I279" t="s">
        <v>249</v>
      </c>
      <c r="J279" t="s">
        <v>84</v>
      </c>
      <c r="K279" t="s">
        <v>85</v>
      </c>
      <c r="L279" t="s">
        <v>961</v>
      </c>
      <c r="M279" t="s">
        <v>41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121</v>
      </c>
      <c r="U279" t="s">
        <v>78</v>
      </c>
      <c r="V279" t="str">
        <f t="shared" si="40"/>
        <v/>
      </c>
      <c r="W279" t="str">
        <f t="shared" si="41"/>
        <v/>
      </c>
      <c r="X279">
        <f t="shared" si="42"/>
        <v>0.3698572418644821</v>
      </c>
      <c r="Y279">
        <f t="shared" si="43"/>
        <v>1813.6704999999999</v>
      </c>
      <c r="Z279">
        <f t="shared" si="44"/>
        <v>811.1004999999999</v>
      </c>
      <c r="AA279">
        <f t="shared" si="45"/>
        <v>0.4472149158295291</v>
      </c>
      <c r="AB279">
        <f t="shared" si="46"/>
        <v>0</v>
      </c>
      <c r="AC279" t="str">
        <f t="shared" si="47"/>
        <v>June</v>
      </c>
      <c r="AD279">
        <f t="shared" si="48"/>
        <v>2025</v>
      </c>
      <c r="AE279" t="str">
        <f t="shared" si="49"/>
        <v>WARNING</v>
      </c>
    </row>
    <row r="280" spans="1:31">
      <c r="A280" t="s">
        <v>962</v>
      </c>
      <c r="B280" s="3">
        <v>45723</v>
      </c>
      <c r="C280" s="3">
        <v>45730</v>
      </c>
      <c r="D280" t="s">
        <v>963</v>
      </c>
      <c r="E280" t="s">
        <v>124</v>
      </c>
      <c r="F280" t="s">
        <v>47</v>
      </c>
      <c r="G280" t="s">
        <v>35</v>
      </c>
      <c r="H280" t="s">
        <v>362</v>
      </c>
      <c r="I280" t="s">
        <v>363</v>
      </c>
      <c r="J280" t="s">
        <v>84</v>
      </c>
      <c r="K280" t="s">
        <v>85</v>
      </c>
      <c r="L280" t="s">
        <v>964</v>
      </c>
      <c r="M280" t="s">
        <v>54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42</v>
      </c>
      <c r="U280" t="s">
        <v>113</v>
      </c>
      <c r="V280" t="str">
        <f t="shared" si="40"/>
        <v/>
      </c>
      <c r="W280" t="str">
        <f t="shared" si="41"/>
        <v/>
      </c>
      <c r="X280">
        <f t="shared" si="42"/>
        <v>-0.58747117266059101</v>
      </c>
      <c r="Y280">
        <f t="shared" si="43"/>
        <v>3780.6579999999999</v>
      </c>
      <c r="Z280">
        <f t="shared" si="44"/>
        <v>1632.348</v>
      </c>
      <c r="AA280">
        <f t="shared" si="45"/>
        <v>0.43176293650470365</v>
      </c>
      <c r="AB280">
        <f t="shared" si="46"/>
        <v>7</v>
      </c>
      <c r="AC280" t="str">
        <f t="shared" si="47"/>
        <v>March</v>
      </c>
      <c r="AD280">
        <f t="shared" si="48"/>
        <v>2025</v>
      </c>
      <c r="AE280" t="str">
        <f t="shared" si="49"/>
        <v>CLEAN</v>
      </c>
    </row>
    <row r="281" spans="1:31">
      <c r="A281" t="s">
        <v>965</v>
      </c>
      <c r="B281" s="3">
        <v>45539</v>
      </c>
      <c r="C281" s="3">
        <v>45392</v>
      </c>
      <c r="D281" t="s">
        <v>966</v>
      </c>
      <c r="E281" t="s">
        <v>151</v>
      </c>
      <c r="F281" t="s">
        <v>47</v>
      </c>
      <c r="G281" t="s">
        <v>73</v>
      </c>
      <c r="H281" t="s">
        <v>74</v>
      </c>
      <c r="I281" t="s">
        <v>75</v>
      </c>
      <c r="J281" t="s">
        <v>38</v>
      </c>
      <c r="K281" t="s">
        <v>134</v>
      </c>
      <c r="L281" t="s">
        <v>967</v>
      </c>
      <c r="M281" t="s">
        <v>60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42</v>
      </c>
      <c r="U281" t="s">
        <v>43</v>
      </c>
      <c r="V281" t="str">
        <f t="shared" si="40"/>
        <v/>
      </c>
      <c r="W281" t="str">
        <f t="shared" si="41"/>
        <v>Invalid Shipping Record</v>
      </c>
      <c r="X281">
        <f t="shared" si="42"/>
        <v>-0.58747117266059101</v>
      </c>
      <c r="Y281">
        <f t="shared" si="43"/>
        <v>4141.1639999999998</v>
      </c>
      <c r="Z281">
        <f t="shared" si="44"/>
        <v>1386.9939999999997</v>
      </c>
      <c r="AA281">
        <f t="shared" si="45"/>
        <v>0.33492853700070796</v>
      </c>
      <c r="AB281" t="e">
        <f t="shared" si="46"/>
        <v>#NUM!</v>
      </c>
      <c r="AC281" t="str">
        <f t="shared" si="47"/>
        <v>September</v>
      </c>
      <c r="AD281">
        <f t="shared" si="48"/>
        <v>2024</v>
      </c>
      <c r="AE281" t="str">
        <f t="shared" si="49"/>
        <v>INVALID</v>
      </c>
    </row>
    <row r="282" spans="1:31">
      <c r="A282" t="s">
        <v>968</v>
      </c>
      <c r="B282" s="3">
        <v>45649</v>
      </c>
      <c r="C282" s="3">
        <v>45652</v>
      </c>
      <c r="D282" t="s">
        <v>969</v>
      </c>
      <c r="E282" t="s">
        <v>99</v>
      </c>
      <c r="F282" t="s">
        <v>34</v>
      </c>
      <c r="G282" t="s">
        <v>64</v>
      </c>
      <c r="H282" t="s">
        <v>185</v>
      </c>
      <c r="I282" t="s">
        <v>186</v>
      </c>
      <c r="J282" t="s">
        <v>84</v>
      </c>
      <c r="K282" t="s">
        <v>90</v>
      </c>
      <c r="L282" t="s">
        <v>970</v>
      </c>
      <c r="M282" t="s">
        <v>69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42</v>
      </c>
      <c r="U282" t="s">
        <v>43</v>
      </c>
      <c r="V282" t="str">
        <f t="shared" si="40"/>
        <v/>
      </c>
      <c r="W282" t="str">
        <f t="shared" si="41"/>
        <v/>
      </c>
      <c r="X282">
        <f t="shared" si="42"/>
        <v>-1.0661353799231277</v>
      </c>
      <c r="Y282">
        <f t="shared" si="43"/>
        <v>8943.0299999999988</v>
      </c>
      <c r="Z282">
        <f t="shared" si="44"/>
        <v>3777.6499999999987</v>
      </c>
      <c r="AA282">
        <f t="shared" si="45"/>
        <v>0.42241276167026154</v>
      </c>
      <c r="AB282">
        <f t="shared" si="46"/>
        <v>3</v>
      </c>
      <c r="AC282" t="str">
        <f t="shared" si="47"/>
        <v>December</v>
      </c>
      <c r="AD282">
        <f t="shared" si="48"/>
        <v>2024</v>
      </c>
      <c r="AE282" t="str">
        <f t="shared" si="49"/>
        <v>CLEAN</v>
      </c>
    </row>
    <row r="283" spans="1:31">
      <c r="A283" t="s">
        <v>971</v>
      </c>
      <c r="B283" s="3">
        <v>45863</v>
      </c>
      <c r="C283" s="3">
        <v>45865</v>
      </c>
      <c r="D283" t="s">
        <v>972</v>
      </c>
      <c r="E283" t="s">
        <v>276</v>
      </c>
      <c r="F283" t="s">
        <v>34</v>
      </c>
      <c r="G283" t="s">
        <v>48</v>
      </c>
      <c r="H283" t="s">
        <v>240</v>
      </c>
      <c r="I283" t="s">
        <v>241</v>
      </c>
      <c r="J283" t="s">
        <v>38</v>
      </c>
      <c r="K283" t="s">
        <v>163</v>
      </c>
      <c r="L283" t="s">
        <v>973</v>
      </c>
      <c r="M283" t="s">
        <v>41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42</v>
      </c>
      <c r="U283" t="s">
        <v>43</v>
      </c>
      <c r="V283" t="str">
        <f t="shared" si="40"/>
        <v/>
      </c>
      <c r="W283" t="str">
        <f t="shared" si="41"/>
        <v/>
      </c>
      <c r="X283">
        <f t="shared" si="42"/>
        <v>0.84852144912701888</v>
      </c>
      <c r="Y283">
        <f t="shared" si="43"/>
        <v>16504.223999999998</v>
      </c>
      <c r="Z283">
        <f t="shared" si="44"/>
        <v>5241.5139999999992</v>
      </c>
      <c r="AA283">
        <f t="shared" si="45"/>
        <v>0.31758621308096641</v>
      </c>
      <c r="AB283">
        <f t="shared" si="46"/>
        <v>2</v>
      </c>
      <c r="AC283" t="str">
        <f t="shared" si="47"/>
        <v>July</v>
      </c>
      <c r="AD283">
        <f t="shared" si="48"/>
        <v>2025</v>
      </c>
      <c r="AE283" t="str">
        <f t="shared" si="49"/>
        <v>CLEAN</v>
      </c>
    </row>
    <row r="284" spans="1:31">
      <c r="A284" t="s">
        <v>974</v>
      </c>
      <c r="B284" s="3">
        <v>45566</v>
      </c>
      <c r="C284" s="3">
        <v>45332</v>
      </c>
      <c r="D284" t="s">
        <v>975</v>
      </c>
      <c r="E284" t="s">
        <v>33</v>
      </c>
      <c r="F284" t="s">
        <v>105</v>
      </c>
      <c r="G284" t="s">
        <v>48</v>
      </c>
      <c r="H284" t="s">
        <v>176</v>
      </c>
      <c r="I284" t="s">
        <v>177</v>
      </c>
      <c r="J284" t="s">
        <v>51</v>
      </c>
      <c r="K284" t="s">
        <v>52</v>
      </c>
      <c r="L284" t="s">
        <v>976</v>
      </c>
      <c r="M284" t="s">
        <v>41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42</v>
      </c>
      <c r="U284" t="s">
        <v>43</v>
      </c>
      <c r="V284" t="str">
        <f t="shared" si="40"/>
        <v/>
      </c>
      <c r="W284" t="str">
        <f t="shared" si="41"/>
        <v>Invalid Shipping Record</v>
      </c>
      <c r="X284">
        <f t="shared" si="42"/>
        <v>-1.0661353799231277</v>
      </c>
      <c r="Y284">
        <f t="shared" si="43"/>
        <v>4596</v>
      </c>
      <c r="Z284">
        <f t="shared" si="44"/>
        <v>1375.67</v>
      </c>
      <c r="AA284">
        <f t="shared" si="45"/>
        <v>0.29931897302001742</v>
      </c>
      <c r="AB284" t="e">
        <f t="shared" si="46"/>
        <v>#NUM!</v>
      </c>
      <c r="AC284" t="str">
        <f t="shared" si="47"/>
        <v>October</v>
      </c>
      <c r="AD284">
        <f t="shared" si="48"/>
        <v>2024</v>
      </c>
      <c r="AE284" t="str">
        <f t="shared" si="49"/>
        <v>INVALID</v>
      </c>
    </row>
    <row r="285" spans="1:31">
      <c r="A285" t="s">
        <v>977</v>
      </c>
      <c r="B285" s="3">
        <v>45729</v>
      </c>
      <c r="C285" s="3">
        <v>45736</v>
      </c>
      <c r="D285" t="s">
        <v>978</v>
      </c>
      <c r="E285" t="s">
        <v>81</v>
      </c>
      <c r="F285" t="s">
        <v>34</v>
      </c>
      <c r="G285" t="s">
        <v>73</v>
      </c>
      <c r="H285" t="s">
        <v>74</v>
      </c>
      <c r="I285" t="s">
        <v>75</v>
      </c>
      <c r="J285" t="s">
        <v>51</v>
      </c>
      <c r="K285" t="s">
        <v>67</v>
      </c>
      <c r="L285" t="s">
        <v>979</v>
      </c>
      <c r="M285" t="s">
        <v>60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42</v>
      </c>
      <c r="U285" t="s">
        <v>43</v>
      </c>
      <c r="V285" t="str">
        <f t="shared" si="40"/>
        <v/>
      </c>
      <c r="W285" t="str">
        <f t="shared" si="41"/>
        <v/>
      </c>
      <c r="X285">
        <f t="shared" si="42"/>
        <v>-1.0661353799231277</v>
      </c>
      <c r="Y285">
        <f t="shared" si="43"/>
        <v>1814.01</v>
      </c>
      <c r="Z285">
        <f t="shared" si="44"/>
        <v>780.54</v>
      </c>
      <c r="AA285">
        <f t="shared" si="45"/>
        <v>0.43028428729720342</v>
      </c>
      <c r="AB285">
        <f t="shared" si="46"/>
        <v>7</v>
      </c>
      <c r="AC285" t="str">
        <f t="shared" si="47"/>
        <v>March</v>
      </c>
      <c r="AD285">
        <f t="shared" si="48"/>
        <v>2025</v>
      </c>
      <c r="AE285" t="str">
        <f t="shared" si="49"/>
        <v>CLEAN</v>
      </c>
    </row>
    <row r="286" spans="1:31">
      <c r="A286" t="s">
        <v>980</v>
      </c>
      <c r="B286" s="3">
        <v>45516</v>
      </c>
      <c r="C286" s="3">
        <v>45640</v>
      </c>
      <c r="D286" t="s">
        <v>981</v>
      </c>
      <c r="E286" t="s">
        <v>33</v>
      </c>
      <c r="F286" t="s">
        <v>34</v>
      </c>
      <c r="G286" t="s">
        <v>48</v>
      </c>
      <c r="H286" t="s">
        <v>49</v>
      </c>
      <c r="I286" t="s">
        <v>50</v>
      </c>
      <c r="J286" t="s">
        <v>51</v>
      </c>
      <c r="K286" t="s">
        <v>52</v>
      </c>
      <c r="L286" t="s">
        <v>982</v>
      </c>
      <c r="M286" t="s">
        <v>54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42</v>
      </c>
      <c r="U286" t="s">
        <v>113</v>
      </c>
      <c r="V286" t="str">
        <f t="shared" si="40"/>
        <v/>
      </c>
      <c r="W286" t="str">
        <f t="shared" si="41"/>
        <v/>
      </c>
      <c r="X286">
        <f t="shared" si="42"/>
        <v>-1.0661353799231277</v>
      </c>
      <c r="Y286">
        <f t="shared" si="43"/>
        <v>4730.76</v>
      </c>
      <c r="Z286">
        <f t="shared" si="44"/>
        <v>1591.0300000000002</v>
      </c>
      <c r="AA286">
        <f t="shared" si="45"/>
        <v>0.33631594077907145</v>
      </c>
      <c r="AB286">
        <f t="shared" si="46"/>
        <v>124</v>
      </c>
      <c r="AC286" t="str">
        <f t="shared" si="47"/>
        <v>August</v>
      </c>
      <c r="AD286">
        <f t="shared" si="48"/>
        <v>2024</v>
      </c>
      <c r="AE286" t="str">
        <f t="shared" si="49"/>
        <v>CLEAN</v>
      </c>
    </row>
    <row r="287" spans="1:31">
      <c r="A287" t="s">
        <v>983</v>
      </c>
      <c r="B287" s="3">
        <v>45884</v>
      </c>
      <c r="C287" s="3">
        <v>45889</v>
      </c>
      <c r="D287" t="s">
        <v>984</v>
      </c>
      <c r="E287" t="s">
        <v>89</v>
      </c>
      <c r="F287" t="s">
        <v>105</v>
      </c>
      <c r="G287" t="s">
        <v>35</v>
      </c>
      <c r="H287" t="s">
        <v>36</v>
      </c>
      <c r="I287" t="s">
        <v>37</v>
      </c>
      <c r="J287" t="s">
        <v>38</v>
      </c>
      <c r="K287" t="s">
        <v>134</v>
      </c>
      <c r="L287" t="s">
        <v>985</v>
      </c>
      <c r="M287" t="s">
        <v>69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42</v>
      </c>
      <c r="U287" t="s">
        <v>43</v>
      </c>
      <c r="V287" t="str">
        <f t="shared" si="40"/>
        <v/>
      </c>
      <c r="W287" t="str">
        <f t="shared" si="41"/>
        <v/>
      </c>
      <c r="X287">
        <f t="shared" si="42"/>
        <v>-1.0661353799231277</v>
      </c>
      <c r="Y287">
        <f t="shared" si="43"/>
        <v>36735.93</v>
      </c>
      <c r="Z287">
        <f t="shared" si="44"/>
        <v>5915.09</v>
      </c>
      <c r="AA287">
        <f t="shared" si="45"/>
        <v>0.16101647624001897</v>
      </c>
      <c r="AB287">
        <f t="shared" si="46"/>
        <v>5</v>
      </c>
      <c r="AC287" t="str">
        <f t="shared" si="47"/>
        <v>August</v>
      </c>
      <c r="AD287">
        <f t="shared" si="48"/>
        <v>2025</v>
      </c>
      <c r="AE287" t="str">
        <f t="shared" si="49"/>
        <v>CLEAN</v>
      </c>
    </row>
    <row r="288" spans="1:31">
      <c r="A288" t="s">
        <v>986</v>
      </c>
      <c r="B288" s="3">
        <v>45350</v>
      </c>
      <c r="C288" s="3">
        <v>45325</v>
      </c>
      <c r="D288" t="s">
        <v>987</v>
      </c>
      <c r="E288" t="s">
        <v>124</v>
      </c>
      <c r="F288" t="s">
        <v>47</v>
      </c>
      <c r="G288" t="s">
        <v>35</v>
      </c>
      <c r="H288" t="s">
        <v>362</v>
      </c>
      <c r="I288" t="s">
        <v>363</v>
      </c>
      <c r="J288" t="s">
        <v>51</v>
      </c>
      <c r="K288" t="s">
        <v>67</v>
      </c>
      <c r="L288" t="s">
        <v>988</v>
      </c>
      <c r="M288" t="s">
        <v>60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121</v>
      </c>
      <c r="U288" t="s">
        <v>113</v>
      </c>
      <c r="V288" t="str">
        <f t="shared" si="40"/>
        <v/>
      </c>
      <c r="W288" t="str">
        <f t="shared" si="41"/>
        <v>Invalid Shipping Record</v>
      </c>
      <c r="X288">
        <f t="shared" si="42"/>
        <v>-0.10880696539805437</v>
      </c>
      <c r="Y288">
        <f t="shared" si="43"/>
        <v>4421.3399999999992</v>
      </c>
      <c r="Z288">
        <f t="shared" si="44"/>
        <v>1931.3599999999992</v>
      </c>
      <c r="AA288">
        <f t="shared" si="45"/>
        <v>0.43682684435035524</v>
      </c>
      <c r="AB288" t="e">
        <f t="shared" si="46"/>
        <v>#NUM!</v>
      </c>
      <c r="AC288" t="str">
        <f t="shared" si="47"/>
        <v>February</v>
      </c>
      <c r="AD288">
        <f t="shared" si="48"/>
        <v>2024</v>
      </c>
      <c r="AE288" t="str">
        <f t="shared" si="49"/>
        <v>INVALID</v>
      </c>
    </row>
    <row r="289" spans="1:31">
      <c r="A289" t="s">
        <v>989</v>
      </c>
      <c r="B289" s="3">
        <v>45421</v>
      </c>
      <c r="C289" s="3">
        <v>45542</v>
      </c>
      <c r="D289" t="s">
        <v>990</v>
      </c>
      <c r="E289" t="s">
        <v>89</v>
      </c>
      <c r="F289" t="s">
        <v>47</v>
      </c>
      <c r="G289" t="s">
        <v>64</v>
      </c>
      <c r="H289" t="s">
        <v>259</v>
      </c>
      <c r="I289" t="s">
        <v>260</v>
      </c>
      <c r="J289" t="s">
        <v>84</v>
      </c>
      <c r="K289" t="s">
        <v>90</v>
      </c>
      <c r="L289" t="s">
        <v>991</v>
      </c>
      <c r="M289" t="s">
        <v>69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42</v>
      </c>
      <c r="U289" t="s">
        <v>78</v>
      </c>
      <c r="V289" t="str">
        <f t="shared" si="40"/>
        <v/>
      </c>
      <c r="W289" t="str">
        <f t="shared" si="41"/>
        <v/>
      </c>
      <c r="X289">
        <f t="shared" si="42"/>
        <v>0.3698572418644821</v>
      </c>
      <c r="Y289">
        <f t="shared" si="43"/>
        <v>6516.9329999999991</v>
      </c>
      <c r="Z289">
        <f t="shared" si="44"/>
        <v>2005.3929999999991</v>
      </c>
      <c r="AA289">
        <f t="shared" si="45"/>
        <v>0.30772036477895343</v>
      </c>
      <c r="AB289">
        <f t="shared" si="46"/>
        <v>121</v>
      </c>
      <c r="AC289" t="str">
        <f t="shared" si="47"/>
        <v>May</v>
      </c>
      <c r="AD289">
        <f t="shared" si="48"/>
        <v>2024</v>
      </c>
      <c r="AE289" t="str">
        <f t="shared" si="49"/>
        <v>WARNING</v>
      </c>
    </row>
    <row r="290" spans="1:31">
      <c r="A290" t="s">
        <v>992</v>
      </c>
      <c r="B290" s="3">
        <v>45467</v>
      </c>
      <c r="C290" s="3">
        <v>45467</v>
      </c>
      <c r="D290" t="s">
        <v>993</v>
      </c>
      <c r="E290" t="s">
        <v>151</v>
      </c>
      <c r="F290" t="s">
        <v>47</v>
      </c>
      <c r="G290" t="s">
        <v>48</v>
      </c>
      <c r="H290" t="s">
        <v>155</v>
      </c>
      <c r="I290" t="s">
        <v>156</v>
      </c>
      <c r="J290" t="s">
        <v>38</v>
      </c>
      <c r="K290" t="s">
        <v>163</v>
      </c>
      <c r="L290" t="s">
        <v>994</v>
      </c>
      <c r="M290" t="s">
        <v>54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42</v>
      </c>
      <c r="U290" t="s">
        <v>43</v>
      </c>
      <c r="V290" t="str">
        <f t="shared" si="40"/>
        <v/>
      </c>
      <c r="W290" t="str">
        <f t="shared" si="41"/>
        <v/>
      </c>
      <c r="X290">
        <f t="shared" si="42"/>
        <v>0.3698572418644821</v>
      </c>
      <c r="Y290">
        <f t="shared" si="43"/>
        <v>7411.829999999999</v>
      </c>
      <c r="Z290">
        <f t="shared" si="44"/>
        <v>2507.1999999999989</v>
      </c>
      <c r="AA290">
        <f t="shared" si="45"/>
        <v>0.3382700358750807</v>
      </c>
      <c r="AB290">
        <f t="shared" si="46"/>
        <v>0</v>
      </c>
      <c r="AC290" t="str">
        <f t="shared" si="47"/>
        <v>June</v>
      </c>
      <c r="AD290">
        <f t="shared" si="48"/>
        <v>2024</v>
      </c>
      <c r="AE290" t="str">
        <f t="shared" si="49"/>
        <v>CLEAN</v>
      </c>
    </row>
    <row r="291" spans="1:31">
      <c r="A291" t="s">
        <v>995</v>
      </c>
      <c r="B291" s="3">
        <v>45827</v>
      </c>
      <c r="C291" s="3">
        <v>45835</v>
      </c>
      <c r="D291" t="s">
        <v>996</v>
      </c>
      <c r="E291" t="s">
        <v>33</v>
      </c>
      <c r="F291" t="s">
        <v>105</v>
      </c>
      <c r="G291" t="s">
        <v>64</v>
      </c>
      <c r="H291" t="s">
        <v>259</v>
      </c>
      <c r="I291" t="s">
        <v>260</v>
      </c>
      <c r="J291" t="s">
        <v>51</v>
      </c>
      <c r="K291" t="s">
        <v>168</v>
      </c>
      <c r="L291" t="s">
        <v>997</v>
      </c>
      <c r="M291" t="s">
        <v>60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42</v>
      </c>
      <c r="U291" t="s">
        <v>43</v>
      </c>
      <c r="V291" t="str">
        <f t="shared" si="40"/>
        <v/>
      </c>
      <c r="W291" t="str">
        <f t="shared" si="41"/>
        <v/>
      </c>
      <c r="X291">
        <f t="shared" si="42"/>
        <v>-0.58747117266059101</v>
      </c>
      <c r="Y291">
        <f t="shared" si="43"/>
        <v>8258.7109999999993</v>
      </c>
      <c r="Z291">
        <f t="shared" si="44"/>
        <v>1239.7409999999991</v>
      </c>
      <c r="AA291">
        <f t="shared" si="45"/>
        <v>0.15011313508851432</v>
      </c>
      <c r="AB291">
        <f t="shared" si="46"/>
        <v>8</v>
      </c>
      <c r="AC291" t="str">
        <f t="shared" si="47"/>
        <v>June</v>
      </c>
      <c r="AD291">
        <f t="shared" si="48"/>
        <v>2025</v>
      </c>
      <c r="AE291" t="str">
        <f t="shared" si="49"/>
        <v>CLEAN</v>
      </c>
    </row>
    <row r="292" spans="1:31">
      <c r="A292" t="s">
        <v>998</v>
      </c>
      <c r="B292" s="3">
        <v>45891</v>
      </c>
      <c r="C292" s="3">
        <v>45895</v>
      </c>
      <c r="D292" t="s">
        <v>999</v>
      </c>
      <c r="E292" t="s">
        <v>172</v>
      </c>
      <c r="F292" t="s">
        <v>105</v>
      </c>
      <c r="G292" t="s">
        <v>48</v>
      </c>
      <c r="H292" t="s">
        <v>240</v>
      </c>
      <c r="I292" t="s">
        <v>241</v>
      </c>
      <c r="J292" t="s">
        <v>51</v>
      </c>
      <c r="K292" t="s">
        <v>52</v>
      </c>
      <c r="L292" t="s">
        <v>1000</v>
      </c>
      <c r="M292" t="s">
        <v>69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42</v>
      </c>
      <c r="U292" t="s">
        <v>43</v>
      </c>
      <c r="V292" t="str">
        <f t="shared" si="40"/>
        <v/>
      </c>
      <c r="W292" t="str">
        <f t="shared" si="41"/>
        <v/>
      </c>
      <c r="X292">
        <f t="shared" si="42"/>
        <v>-0.10880696539805437</v>
      </c>
      <c r="Y292">
        <f t="shared" si="43"/>
        <v>1658.3670000000002</v>
      </c>
      <c r="Z292">
        <f t="shared" si="44"/>
        <v>687.24700000000018</v>
      </c>
      <c r="AA292">
        <f t="shared" si="45"/>
        <v>0.41441188832146331</v>
      </c>
      <c r="AB292">
        <f t="shared" si="46"/>
        <v>4</v>
      </c>
      <c r="AC292" t="str">
        <f t="shared" si="47"/>
        <v>August</v>
      </c>
      <c r="AD292">
        <f t="shared" si="48"/>
        <v>2025</v>
      </c>
      <c r="AE292" t="str">
        <f t="shared" si="49"/>
        <v>CLEAN</v>
      </c>
    </row>
    <row r="293" spans="1:31">
      <c r="A293" t="s">
        <v>1001</v>
      </c>
      <c r="B293" s="3">
        <v>45416</v>
      </c>
      <c r="C293" s="3">
        <v>45392</v>
      </c>
      <c r="D293" t="s">
        <v>1002</v>
      </c>
      <c r="E293" t="s">
        <v>124</v>
      </c>
      <c r="F293" t="s">
        <v>105</v>
      </c>
      <c r="G293" t="s">
        <v>35</v>
      </c>
      <c r="H293" t="s">
        <v>36</v>
      </c>
      <c r="I293" t="s">
        <v>37</v>
      </c>
      <c r="J293" t="s">
        <v>38</v>
      </c>
      <c r="K293" t="s">
        <v>163</v>
      </c>
      <c r="L293" t="s">
        <v>1003</v>
      </c>
      <c r="M293" t="s">
        <v>69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42</v>
      </c>
      <c r="U293" t="s">
        <v>43</v>
      </c>
      <c r="V293" t="str">
        <f t="shared" si="40"/>
        <v/>
      </c>
      <c r="W293" t="str">
        <f t="shared" si="41"/>
        <v>Invalid Shipping Record</v>
      </c>
      <c r="X293">
        <f t="shared" si="42"/>
        <v>1.3271856563895552</v>
      </c>
      <c r="Y293">
        <f t="shared" si="43"/>
        <v>9685.98</v>
      </c>
      <c r="Z293">
        <f t="shared" si="44"/>
        <v>1955.9399999999996</v>
      </c>
      <c r="AA293">
        <f t="shared" si="45"/>
        <v>0.20193516815025425</v>
      </c>
      <c r="AB293" t="e">
        <f t="shared" si="46"/>
        <v>#NUM!</v>
      </c>
      <c r="AC293" t="str">
        <f t="shared" si="47"/>
        <v>May</v>
      </c>
      <c r="AD293">
        <f t="shared" si="48"/>
        <v>2024</v>
      </c>
      <c r="AE293" t="str">
        <f t="shared" si="49"/>
        <v>INVALID</v>
      </c>
    </row>
    <row r="294" spans="1:31">
      <c r="A294" t="s">
        <v>1004</v>
      </c>
      <c r="B294" s="3">
        <v>45716</v>
      </c>
      <c r="C294" s="3">
        <v>45719</v>
      </c>
      <c r="D294" t="s">
        <v>1005</v>
      </c>
      <c r="E294" t="s">
        <v>276</v>
      </c>
      <c r="F294" t="s">
        <v>105</v>
      </c>
      <c r="G294" t="s">
        <v>35</v>
      </c>
      <c r="H294" t="s">
        <v>248</v>
      </c>
      <c r="I294" t="s">
        <v>249</v>
      </c>
      <c r="J294" t="s">
        <v>38</v>
      </c>
      <c r="K294" t="s">
        <v>58</v>
      </c>
      <c r="L294" t="s">
        <v>1006</v>
      </c>
      <c r="M294" t="s">
        <v>54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121</v>
      </c>
      <c r="U294" t="s">
        <v>78</v>
      </c>
      <c r="V294" t="str">
        <f t="shared" si="40"/>
        <v/>
      </c>
      <c r="W294" t="str">
        <f t="shared" si="41"/>
        <v/>
      </c>
      <c r="X294">
        <f t="shared" si="42"/>
        <v>-1.0661353799231277</v>
      </c>
      <c r="Y294">
        <f t="shared" si="43"/>
        <v>33740.549999999996</v>
      </c>
      <c r="Z294">
        <f t="shared" si="44"/>
        <v>9118.6599999999962</v>
      </c>
      <c r="AA294">
        <f t="shared" si="45"/>
        <v>0.2702581908119458</v>
      </c>
      <c r="AB294">
        <f t="shared" si="46"/>
        <v>3</v>
      </c>
      <c r="AC294" t="str">
        <f t="shared" si="47"/>
        <v>February</v>
      </c>
      <c r="AD294">
        <f t="shared" si="48"/>
        <v>2025</v>
      </c>
      <c r="AE294" t="str">
        <f t="shared" si="49"/>
        <v>WARNING</v>
      </c>
    </row>
    <row r="295" spans="1:31">
      <c r="A295" t="s">
        <v>1007</v>
      </c>
      <c r="B295" s="3">
        <v>45476</v>
      </c>
      <c r="C295" s="3">
        <v>45362</v>
      </c>
      <c r="D295" t="s">
        <v>1008</v>
      </c>
      <c r="E295" t="s">
        <v>63</v>
      </c>
      <c r="F295" t="s">
        <v>105</v>
      </c>
      <c r="G295" t="s">
        <v>64</v>
      </c>
      <c r="H295" t="s">
        <v>65</v>
      </c>
      <c r="I295" t="s">
        <v>66</v>
      </c>
      <c r="J295" t="s">
        <v>84</v>
      </c>
      <c r="K295" t="s">
        <v>181</v>
      </c>
      <c r="L295" t="s">
        <v>1009</v>
      </c>
      <c r="M295" t="s">
        <v>60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42</v>
      </c>
      <c r="U295" t="s">
        <v>43</v>
      </c>
      <c r="V295" t="str">
        <f t="shared" si="40"/>
        <v>Invalid Discount</v>
      </c>
      <c r="W295" t="str">
        <f t="shared" si="41"/>
        <v>Invalid Shipping Record</v>
      </c>
      <c r="X295">
        <f t="shared" si="42"/>
        <v>5.1564993144898486</v>
      </c>
      <c r="Y295">
        <f t="shared" si="43"/>
        <v>3081.0569999999998</v>
      </c>
      <c r="Z295">
        <f t="shared" si="44"/>
        <v>-3459.9830000000002</v>
      </c>
      <c r="AA295">
        <f t="shared" si="45"/>
        <v>-1.1229857156164267</v>
      </c>
      <c r="AB295" t="e">
        <f t="shared" si="46"/>
        <v>#NUM!</v>
      </c>
      <c r="AC295" t="str">
        <f t="shared" si="47"/>
        <v>July</v>
      </c>
      <c r="AD295">
        <f t="shared" si="48"/>
        <v>2024</v>
      </c>
      <c r="AE295" t="str">
        <f t="shared" si="49"/>
        <v>INVALID</v>
      </c>
    </row>
    <row r="296" spans="1:31">
      <c r="A296" t="s">
        <v>1010</v>
      </c>
      <c r="B296" s="3">
        <v>45854</v>
      </c>
      <c r="C296" s="3">
        <v>45860</v>
      </c>
      <c r="D296" t="s">
        <v>1011</v>
      </c>
      <c r="E296" t="s">
        <v>124</v>
      </c>
      <c r="F296" t="s">
        <v>34</v>
      </c>
      <c r="G296" t="s">
        <v>48</v>
      </c>
      <c r="H296" t="s">
        <v>49</v>
      </c>
      <c r="I296" t="s">
        <v>50</v>
      </c>
      <c r="J296" t="s">
        <v>84</v>
      </c>
      <c r="K296" t="s">
        <v>181</v>
      </c>
      <c r="L296" t="s">
        <v>1012</v>
      </c>
      <c r="M296" t="s">
        <v>41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42</v>
      </c>
      <c r="U296" t="s">
        <v>113</v>
      </c>
      <c r="V296" t="str">
        <f t="shared" si="40"/>
        <v/>
      </c>
      <c r="W296" t="str">
        <f t="shared" si="41"/>
        <v/>
      </c>
      <c r="X296">
        <f t="shared" si="42"/>
        <v>1.3271856563895552</v>
      </c>
      <c r="Y296">
        <f t="shared" si="43"/>
        <v>18716.985000000001</v>
      </c>
      <c r="Z296">
        <f t="shared" si="44"/>
        <v>6434.5550000000003</v>
      </c>
      <c r="AA296">
        <f t="shared" si="45"/>
        <v>0.34378159730319813</v>
      </c>
      <c r="AB296">
        <f t="shared" si="46"/>
        <v>6</v>
      </c>
      <c r="AC296" t="str">
        <f t="shared" si="47"/>
        <v>July</v>
      </c>
      <c r="AD296">
        <f t="shared" si="48"/>
        <v>2025</v>
      </c>
      <c r="AE296" t="str">
        <f t="shared" si="49"/>
        <v>CLEAN</v>
      </c>
    </row>
    <row r="297" spans="1:31">
      <c r="A297" t="s">
        <v>1013</v>
      </c>
      <c r="B297" s="3">
        <v>45833</v>
      </c>
      <c r="C297" s="3">
        <v>45836</v>
      </c>
      <c r="D297" t="s">
        <v>1014</v>
      </c>
      <c r="E297" t="s">
        <v>99</v>
      </c>
      <c r="F297" t="s">
        <v>47</v>
      </c>
      <c r="G297" t="s">
        <v>48</v>
      </c>
      <c r="H297" t="s">
        <v>176</v>
      </c>
      <c r="I297" t="s">
        <v>177</v>
      </c>
      <c r="J297" t="s">
        <v>38</v>
      </c>
      <c r="K297" t="s">
        <v>163</v>
      </c>
      <c r="L297" t="s">
        <v>1015</v>
      </c>
      <c r="M297" t="s">
        <v>69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42</v>
      </c>
      <c r="U297" t="s">
        <v>43</v>
      </c>
      <c r="V297" t="str">
        <f t="shared" si="40"/>
        <v/>
      </c>
      <c r="W297" t="str">
        <f t="shared" si="41"/>
        <v/>
      </c>
      <c r="X297">
        <f t="shared" si="42"/>
        <v>-0.10880696539805437</v>
      </c>
      <c r="Y297">
        <f t="shared" si="43"/>
        <v>9385.3350000000009</v>
      </c>
      <c r="Z297">
        <f t="shared" si="44"/>
        <v>3556.795000000001</v>
      </c>
      <c r="AA297">
        <f t="shared" si="45"/>
        <v>0.37897368607513748</v>
      </c>
      <c r="AB297">
        <f t="shared" si="46"/>
        <v>3</v>
      </c>
      <c r="AC297" t="str">
        <f t="shared" si="47"/>
        <v>June</v>
      </c>
      <c r="AD297">
        <f t="shared" si="48"/>
        <v>2025</v>
      </c>
      <c r="AE297" t="str">
        <f t="shared" si="49"/>
        <v>CLEAN</v>
      </c>
    </row>
    <row r="298" spans="1:31">
      <c r="A298" t="s">
        <v>1016</v>
      </c>
      <c r="B298" s="3">
        <v>45801</v>
      </c>
      <c r="C298" s="3">
        <v>45803</v>
      </c>
      <c r="D298" t="s">
        <v>1017</v>
      </c>
      <c r="E298" t="s">
        <v>99</v>
      </c>
      <c r="F298" t="s">
        <v>105</v>
      </c>
      <c r="G298" t="s">
        <v>35</v>
      </c>
      <c r="H298" t="s">
        <v>248</v>
      </c>
      <c r="I298" t="s">
        <v>249</v>
      </c>
      <c r="J298" t="s">
        <v>51</v>
      </c>
      <c r="K298" t="s">
        <v>67</v>
      </c>
      <c r="L298" t="s">
        <v>1018</v>
      </c>
      <c r="M298" t="s">
        <v>54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42</v>
      </c>
      <c r="U298" t="s">
        <v>43</v>
      </c>
      <c r="V298" t="str">
        <f t="shared" si="40"/>
        <v/>
      </c>
      <c r="W298" t="str">
        <f t="shared" si="41"/>
        <v/>
      </c>
      <c r="X298">
        <f t="shared" si="42"/>
        <v>0.3698572418644821</v>
      </c>
      <c r="Y298">
        <f t="shared" si="43"/>
        <v>17826.591</v>
      </c>
      <c r="Z298">
        <f t="shared" si="44"/>
        <v>6971.241</v>
      </c>
      <c r="AA298">
        <f t="shared" si="45"/>
        <v>0.39105855965394615</v>
      </c>
      <c r="AB298">
        <f t="shared" si="46"/>
        <v>2</v>
      </c>
      <c r="AC298" t="str">
        <f t="shared" si="47"/>
        <v>May</v>
      </c>
      <c r="AD298">
        <f t="shared" si="48"/>
        <v>2025</v>
      </c>
      <c r="AE298" t="str">
        <f t="shared" si="49"/>
        <v>CLEAN</v>
      </c>
    </row>
    <row r="299" spans="1:31">
      <c r="A299" t="s">
        <v>1019</v>
      </c>
      <c r="B299" s="3">
        <v>45594</v>
      </c>
      <c r="C299" s="3">
        <v>45602</v>
      </c>
      <c r="D299" t="s">
        <v>1020</v>
      </c>
      <c r="E299" t="s">
        <v>142</v>
      </c>
      <c r="F299" t="s">
        <v>100</v>
      </c>
      <c r="G299" t="s">
        <v>64</v>
      </c>
      <c r="H299" t="s">
        <v>259</v>
      </c>
      <c r="I299" t="s">
        <v>260</v>
      </c>
      <c r="J299" t="s">
        <v>84</v>
      </c>
      <c r="K299" t="s">
        <v>90</v>
      </c>
      <c r="L299" t="s">
        <v>1021</v>
      </c>
      <c r="M299" t="s">
        <v>54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42</v>
      </c>
      <c r="U299" t="s">
        <v>43</v>
      </c>
      <c r="V299" t="str">
        <f t="shared" si="40"/>
        <v/>
      </c>
      <c r="W299" t="str">
        <f t="shared" si="41"/>
        <v/>
      </c>
      <c r="X299">
        <f t="shared" si="42"/>
        <v>0.3698572418644821</v>
      </c>
      <c r="Y299">
        <f t="shared" si="43"/>
        <v>5966.5920000000006</v>
      </c>
      <c r="Z299">
        <f t="shared" si="44"/>
        <v>1971.8720000000008</v>
      </c>
      <c r="AA299">
        <f t="shared" si="45"/>
        <v>0.33048547646629778</v>
      </c>
      <c r="AB299">
        <f t="shared" si="46"/>
        <v>8</v>
      </c>
      <c r="AC299" t="str">
        <f t="shared" si="47"/>
        <v>October</v>
      </c>
      <c r="AD299">
        <f t="shared" si="48"/>
        <v>2024</v>
      </c>
      <c r="AE299" t="str">
        <f t="shared" si="49"/>
        <v>CLEAN</v>
      </c>
    </row>
    <row r="300" spans="1:31">
      <c r="A300" t="s">
        <v>1022</v>
      </c>
      <c r="B300" s="3">
        <v>45680</v>
      </c>
      <c r="C300" s="3">
        <v>45683</v>
      </c>
      <c r="D300" t="s">
        <v>1023</v>
      </c>
      <c r="E300" t="s">
        <v>57</v>
      </c>
      <c r="F300" t="s">
        <v>34</v>
      </c>
      <c r="G300" t="s">
        <v>64</v>
      </c>
      <c r="H300" t="s">
        <v>195</v>
      </c>
      <c r="I300" t="s">
        <v>196</v>
      </c>
      <c r="J300" t="s">
        <v>84</v>
      </c>
      <c r="K300" t="s">
        <v>90</v>
      </c>
      <c r="L300" t="s">
        <v>1024</v>
      </c>
      <c r="M300" t="s">
        <v>60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165</v>
      </c>
      <c r="U300" t="s">
        <v>113</v>
      </c>
      <c r="V300" t="str">
        <f t="shared" si="40"/>
        <v/>
      </c>
      <c r="W300" t="str">
        <f t="shared" si="41"/>
        <v/>
      </c>
      <c r="X300">
        <f t="shared" si="42"/>
        <v>0.84852144912701888</v>
      </c>
      <c r="Y300">
        <f t="shared" si="43"/>
        <v>1951.5440000000003</v>
      </c>
      <c r="Z300">
        <f t="shared" si="44"/>
        <v>341.59400000000028</v>
      </c>
      <c r="AA300">
        <f t="shared" si="45"/>
        <v>0.17503781621116421</v>
      </c>
      <c r="AB300">
        <f t="shared" si="46"/>
        <v>3</v>
      </c>
      <c r="AC300" t="str">
        <f t="shared" si="47"/>
        <v>January</v>
      </c>
      <c r="AD300">
        <f t="shared" si="48"/>
        <v>2025</v>
      </c>
      <c r="AE300" t="str">
        <f t="shared" si="49"/>
        <v>CLEAN</v>
      </c>
    </row>
    <row r="301" spans="1:31">
      <c r="A301" t="s">
        <v>1025</v>
      </c>
      <c r="B301" s="3">
        <v>45602</v>
      </c>
      <c r="C301" s="3">
        <v>45608</v>
      </c>
      <c r="D301" t="s">
        <v>1026</v>
      </c>
      <c r="E301" t="s">
        <v>128</v>
      </c>
      <c r="F301" t="s">
        <v>47</v>
      </c>
      <c r="G301" t="s">
        <v>73</v>
      </c>
      <c r="H301" t="s">
        <v>190</v>
      </c>
      <c r="I301" t="s">
        <v>191</v>
      </c>
      <c r="J301" t="s">
        <v>84</v>
      </c>
      <c r="K301" t="s">
        <v>85</v>
      </c>
      <c r="L301" t="s">
        <v>1027</v>
      </c>
      <c r="M301" t="s">
        <v>69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42</v>
      </c>
      <c r="U301" t="s">
        <v>43</v>
      </c>
      <c r="V301" t="str">
        <f t="shared" si="40"/>
        <v/>
      </c>
      <c r="W301" t="str">
        <f t="shared" si="41"/>
        <v/>
      </c>
      <c r="X301">
        <f t="shared" si="42"/>
        <v>-0.10880696539805437</v>
      </c>
      <c r="Y301">
        <f t="shared" si="43"/>
        <v>10830.015000000001</v>
      </c>
      <c r="Z301">
        <f t="shared" si="44"/>
        <v>3774.7050000000008</v>
      </c>
      <c r="AA301">
        <f t="shared" si="45"/>
        <v>0.34854106850267524</v>
      </c>
      <c r="AB301">
        <f t="shared" si="46"/>
        <v>6</v>
      </c>
      <c r="AC301" t="str">
        <f t="shared" si="47"/>
        <v>November</v>
      </c>
      <c r="AD301">
        <f t="shared" si="48"/>
        <v>2024</v>
      </c>
      <c r="AE301" t="str">
        <f t="shared" si="49"/>
        <v>CLEAN</v>
      </c>
    </row>
    <row r="302" spans="1:31">
      <c r="A302" t="s">
        <v>1028</v>
      </c>
      <c r="B302" s="3">
        <v>45397</v>
      </c>
      <c r="C302" s="3">
        <v>45405</v>
      </c>
      <c r="D302" t="s">
        <v>1029</v>
      </c>
      <c r="E302" t="s">
        <v>172</v>
      </c>
      <c r="F302" t="s">
        <v>47</v>
      </c>
      <c r="G302" t="s">
        <v>35</v>
      </c>
      <c r="H302" t="s">
        <v>132</v>
      </c>
      <c r="I302" t="s">
        <v>133</v>
      </c>
      <c r="J302" t="s">
        <v>84</v>
      </c>
      <c r="K302" t="s">
        <v>85</v>
      </c>
      <c r="L302" t="s">
        <v>1030</v>
      </c>
      <c r="M302" t="s">
        <v>41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42</v>
      </c>
      <c r="U302" t="s">
        <v>43</v>
      </c>
      <c r="V302" t="str">
        <f t="shared" si="40"/>
        <v/>
      </c>
      <c r="W302" t="str">
        <f t="shared" si="41"/>
        <v/>
      </c>
      <c r="X302">
        <f t="shared" si="42"/>
        <v>-0.10880696539805437</v>
      </c>
      <c r="Y302">
        <f t="shared" si="43"/>
        <v>31539.293999999998</v>
      </c>
      <c r="Z302">
        <f t="shared" si="44"/>
        <v>9439.1539999999986</v>
      </c>
      <c r="AA302">
        <f t="shared" si="45"/>
        <v>0.29928234918638313</v>
      </c>
      <c r="AB302">
        <f t="shared" si="46"/>
        <v>8</v>
      </c>
      <c r="AC302" t="str">
        <f t="shared" si="47"/>
        <v>April</v>
      </c>
      <c r="AD302">
        <f t="shared" si="48"/>
        <v>2024</v>
      </c>
      <c r="AE302" t="str">
        <f t="shared" si="49"/>
        <v>CLEAN</v>
      </c>
    </row>
    <row r="303" spans="1:31">
      <c r="A303" t="s">
        <v>1031</v>
      </c>
      <c r="B303" s="3">
        <v>45805</v>
      </c>
      <c r="C303" s="3">
        <v>45809</v>
      </c>
      <c r="D303" t="s">
        <v>1032</v>
      </c>
      <c r="E303" t="s">
        <v>57</v>
      </c>
      <c r="F303" t="s">
        <v>105</v>
      </c>
      <c r="G303" t="s">
        <v>48</v>
      </c>
      <c r="H303" t="s">
        <v>155</v>
      </c>
      <c r="I303" t="s">
        <v>156</v>
      </c>
      <c r="J303" t="s">
        <v>84</v>
      </c>
      <c r="K303" t="s">
        <v>181</v>
      </c>
      <c r="L303" t="s">
        <v>1033</v>
      </c>
      <c r="M303" t="s">
        <v>54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42</v>
      </c>
      <c r="U303" t="s">
        <v>43</v>
      </c>
      <c r="V303" t="str">
        <f t="shared" si="40"/>
        <v/>
      </c>
      <c r="W303" t="str">
        <f t="shared" si="41"/>
        <v/>
      </c>
      <c r="X303">
        <f t="shared" si="42"/>
        <v>-0.58747117266059101</v>
      </c>
      <c r="Y303">
        <f t="shared" si="43"/>
        <v>6285.6179999999995</v>
      </c>
      <c r="Z303">
        <f t="shared" si="44"/>
        <v>2580.2379999999994</v>
      </c>
      <c r="AA303">
        <f t="shared" si="45"/>
        <v>0.41049869718458865</v>
      </c>
      <c r="AB303">
        <f t="shared" si="46"/>
        <v>4</v>
      </c>
      <c r="AC303" t="str">
        <f t="shared" si="47"/>
        <v>May</v>
      </c>
      <c r="AD303">
        <f t="shared" si="48"/>
        <v>2025</v>
      </c>
      <c r="AE303" t="str">
        <f t="shared" si="49"/>
        <v>CLEAN</v>
      </c>
    </row>
    <row r="304" spans="1:31">
      <c r="A304" t="s">
        <v>1034</v>
      </c>
      <c r="B304" s="3">
        <v>45812</v>
      </c>
      <c r="C304" s="3">
        <v>45820</v>
      </c>
      <c r="D304" t="s">
        <v>1035</v>
      </c>
      <c r="E304" t="s">
        <v>89</v>
      </c>
      <c r="F304" t="s">
        <v>34</v>
      </c>
      <c r="G304" t="s">
        <v>73</v>
      </c>
      <c r="H304" t="s">
        <v>200</v>
      </c>
      <c r="I304" t="s">
        <v>201</v>
      </c>
      <c r="J304" t="s">
        <v>624</v>
      </c>
      <c r="K304" t="s">
        <v>134</v>
      </c>
      <c r="L304" t="s">
        <v>1036</v>
      </c>
      <c r="M304" t="s">
        <v>54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42</v>
      </c>
      <c r="U304" t="s">
        <v>43</v>
      </c>
      <c r="V304" t="str">
        <f t="shared" si="40"/>
        <v/>
      </c>
      <c r="W304" t="str">
        <f t="shared" si="41"/>
        <v/>
      </c>
      <c r="X304">
        <f t="shared" si="42"/>
        <v>1.3271856563895552</v>
      </c>
      <c r="Y304">
        <f t="shared" si="43"/>
        <v>4054.92</v>
      </c>
      <c r="Z304">
        <f t="shared" si="44"/>
        <v>1630.0900000000001</v>
      </c>
      <c r="AA304">
        <f t="shared" si="45"/>
        <v>0.40200299882611745</v>
      </c>
      <c r="AB304">
        <f t="shared" si="46"/>
        <v>8</v>
      </c>
      <c r="AC304" t="str">
        <f t="shared" si="47"/>
        <v>June</v>
      </c>
      <c r="AD304">
        <f t="shared" si="48"/>
        <v>2025</v>
      </c>
      <c r="AE304" t="str">
        <f t="shared" si="49"/>
        <v>CLEAN</v>
      </c>
    </row>
    <row r="305" spans="1:31">
      <c r="A305" t="s">
        <v>1037</v>
      </c>
      <c r="B305" s="3">
        <v>45466</v>
      </c>
      <c r="C305" s="3">
        <v>45471</v>
      </c>
      <c r="D305" t="s">
        <v>1038</v>
      </c>
      <c r="E305" t="s">
        <v>172</v>
      </c>
      <c r="F305" t="s">
        <v>105</v>
      </c>
      <c r="G305" t="s">
        <v>73</v>
      </c>
      <c r="H305" t="s">
        <v>190</v>
      </c>
      <c r="I305" t="s">
        <v>191</v>
      </c>
      <c r="J305" t="s">
        <v>51</v>
      </c>
      <c r="K305" t="s">
        <v>76</v>
      </c>
      <c r="L305" t="s">
        <v>1039</v>
      </c>
      <c r="M305" t="s">
        <v>69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121</v>
      </c>
      <c r="U305" t="s">
        <v>113</v>
      </c>
      <c r="V305" t="str">
        <f t="shared" si="40"/>
        <v/>
      </c>
      <c r="W305" t="str">
        <f t="shared" si="41"/>
        <v/>
      </c>
      <c r="X305">
        <f t="shared" si="42"/>
        <v>-0.10880696539805437</v>
      </c>
      <c r="Y305">
        <f t="shared" si="43"/>
        <v>2363.652</v>
      </c>
      <c r="Z305">
        <f t="shared" si="44"/>
        <v>487.55200000000013</v>
      </c>
      <c r="AA305">
        <f t="shared" si="45"/>
        <v>0.20627063544041174</v>
      </c>
      <c r="AB305">
        <f t="shared" si="46"/>
        <v>5</v>
      </c>
      <c r="AC305" t="str">
        <f t="shared" si="47"/>
        <v>June</v>
      </c>
      <c r="AD305">
        <f t="shared" si="48"/>
        <v>2024</v>
      </c>
      <c r="AE305" t="str">
        <f t="shared" si="49"/>
        <v>CLEAN</v>
      </c>
    </row>
    <row r="306" spans="1:31">
      <c r="A306" t="s">
        <v>1040</v>
      </c>
      <c r="B306" s="3">
        <v>45446</v>
      </c>
      <c r="C306" s="3">
        <v>45364</v>
      </c>
      <c r="D306" t="s">
        <v>1041</v>
      </c>
      <c r="E306" t="s">
        <v>33</v>
      </c>
      <c r="F306" t="s">
        <v>34</v>
      </c>
      <c r="G306" t="s">
        <v>35</v>
      </c>
      <c r="H306" t="s">
        <v>132</v>
      </c>
      <c r="I306" t="s">
        <v>133</v>
      </c>
      <c r="J306" t="s">
        <v>51</v>
      </c>
      <c r="K306" t="s">
        <v>67</v>
      </c>
      <c r="L306" t="s">
        <v>1042</v>
      </c>
      <c r="M306" t="s">
        <v>69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42</v>
      </c>
      <c r="U306" t="s">
        <v>43</v>
      </c>
      <c r="V306" t="str">
        <f t="shared" si="40"/>
        <v/>
      </c>
      <c r="W306" t="str">
        <f t="shared" si="41"/>
        <v>Invalid Shipping Record</v>
      </c>
      <c r="X306">
        <f t="shared" si="42"/>
        <v>-0.10880696539805437</v>
      </c>
      <c r="Y306">
        <f t="shared" si="43"/>
        <v>12976.470000000001</v>
      </c>
      <c r="Z306">
        <f t="shared" si="44"/>
        <v>2956.4900000000016</v>
      </c>
      <c r="AA306">
        <f t="shared" si="45"/>
        <v>0.22783468847845378</v>
      </c>
      <c r="AB306" t="e">
        <f t="shared" si="46"/>
        <v>#NUM!</v>
      </c>
      <c r="AC306" t="str">
        <f t="shared" si="47"/>
        <v>June</v>
      </c>
      <c r="AD306">
        <f t="shared" si="48"/>
        <v>2024</v>
      </c>
      <c r="AE306" t="str">
        <f t="shared" si="49"/>
        <v>INVALID</v>
      </c>
    </row>
    <row r="307" spans="1:31">
      <c r="A307" t="s">
        <v>1043</v>
      </c>
      <c r="B307" s="3">
        <v>45413</v>
      </c>
      <c r="C307" s="3">
        <v>45327</v>
      </c>
      <c r="D307" t="s">
        <v>1044</v>
      </c>
      <c r="E307" t="s">
        <v>72</v>
      </c>
      <c r="F307" t="s">
        <v>34</v>
      </c>
      <c r="G307" t="s">
        <v>48</v>
      </c>
      <c r="H307" t="s">
        <v>176</v>
      </c>
      <c r="I307" t="s">
        <v>177</v>
      </c>
      <c r="J307" t="s">
        <v>51</v>
      </c>
      <c r="K307" t="s">
        <v>76</v>
      </c>
      <c r="L307" t="s">
        <v>1045</v>
      </c>
      <c r="M307" t="s">
        <v>60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42</v>
      </c>
      <c r="U307" t="s">
        <v>78</v>
      </c>
      <c r="V307" t="str">
        <f t="shared" si="40"/>
        <v>Invalid Discount</v>
      </c>
      <c r="W307" t="str">
        <f t="shared" si="41"/>
        <v>Invalid Shipping Record</v>
      </c>
      <c r="X307">
        <f t="shared" si="42"/>
        <v>4.1991708999647752</v>
      </c>
      <c r="Y307">
        <f t="shared" si="43"/>
        <v>7480.9080000000004</v>
      </c>
      <c r="Z307">
        <f t="shared" si="44"/>
        <v>-2371.0019999999995</v>
      </c>
      <c r="AA307">
        <f t="shared" si="45"/>
        <v>-0.31694040349112695</v>
      </c>
      <c r="AB307" t="e">
        <f t="shared" si="46"/>
        <v>#NUM!</v>
      </c>
      <c r="AC307" t="str">
        <f t="shared" si="47"/>
        <v>May</v>
      </c>
      <c r="AD307">
        <f t="shared" si="48"/>
        <v>2024</v>
      </c>
      <c r="AE307" t="str">
        <f t="shared" si="49"/>
        <v>INVALID</v>
      </c>
    </row>
    <row r="308" spans="1:31">
      <c r="A308" t="s">
        <v>1046</v>
      </c>
      <c r="B308" s="3">
        <v>45708</v>
      </c>
      <c r="C308" s="3">
        <v>45711</v>
      </c>
      <c r="D308" t="s">
        <v>1047</v>
      </c>
      <c r="E308" t="s">
        <v>138</v>
      </c>
      <c r="F308" t="s">
        <v>34</v>
      </c>
      <c r="G308" t="s">
        <v>35</v>
      </c>
      <c r="H308" t="s">
        <v>36</v>
      </c>
      <c r="I308" t="s">
        <v>37</v>
      </c>
      <c r="J308" t="s">
        <v>84</v>
      </c>
      <c r="K308" t="s">
        <v>181</v>
      </c>
      <c r="L308" t="s">
        <v>1048</v>
      </c>
      <c r="M308" t="s">
        <v>41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42</v>
      </c>
      <c r="U308" t="s">
        <v>43</v>
      </c>
      <c r="V308" t="str">
        <f t="shared" si="40"/>
        <v/>
      </c>
      <c r="W308" t="str">
        <f t="shared" si="41"/>
        <v/>
      </c>
      <c r="X308">
        <f t="shared" si="42"/>
        <v>-1.0661353799231277</v>
      </c>
      <c r="Y308">
        <f t="shared" si="43"/>
        <v>14692.44</v>
      </c>
      <c r="Z308">
        <f t="shared" si="44"/>
        <v>4610.25</v>
      </c>
      <c r="AA308">
        <f t="shared" si="45"/>
        <v>0.31378382351740075</v>
      </c>
      <c r="AB308">
        <f t="shared" si="46"/>
        <v>3</v>
      </c>
      <c r="AC308" t="str">
        <f t="shared" si="47"/>
        <v>February</v>
      </c>
      <c r="AD308">
        <f t="shared" si="48"/>
        <v>2025</v>
      </c>
      <c r="AE308" t="str">
        <f t="shared" si="49"/>
        <v>CLEAN</v>
      </c>
    </row>
    <row r="309" spans="1:31">
      <c r="A309" t="s">
        <v>1049</v>
      </c>
      <c r="B309" s="3">
        <v>45850</v>
      </c>
      <c r="C309" s="3">
        <v>45857</v>
      </c>
      <c r="D309" t="s">
        <v>1050</v>
      </c>
      <c r="E309" t="s">
        <v>72</v>
      </c>
      <c r="F309" t="s">
        <v>100</v>
      </c>
      <c r="G309" t="s">
        <v>35</v>
      </c>
      <c r="H309" t="s">
        <v>146</v>
      </c>
      <c r="I309" t="s">
        <v>147</v>
      </c>
      <c r="J309" t="s">
        <v>51</v>
      </c>
      <c r="K309" t="s">
        <v>52</v>
      </c>
      <c r="L309" t="s">
        <v>1051</v>
      </c>
      <c r="M309" t="s">
        <v>60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1052</v>
      </c>
      <c r="U309" t="s">
        <v>78</v>
      </c>
      <c r="V309" t="str">
        <f t="shared" si="40"/>
        <v/>
      </c>
      <c r="W309" t="str">
        <f t="shared" si="41"/>
        <v/>
      </c>
      <c r="X309">
        <f t="shared" si="42"/>
        <v>0.84852144912701888</v>
      </c>
      <c r="Y309">
        <f t="shared" si="43"/>
        <v>29469.888000000003</v>
      </c>
      <c r="Z309">
        <f t="shared" si="44"/>
        <v>10534.378000000004</v>
      </c>
      <c r="AA309">
        <f t="shared" si="45"/>
        <v>0.3574624375905332</v>
      </c>
      <c r="AB309">
        <f t="shared" si="46"/>
        <v>7</v>
      </c>
      <c r="AC309" t="str">
        <f t="shared" si="47"/>
        <v>July</v>
      </c>
      <c r="AD309">
        <f t="shared" si="48"/>
        <v>2025</v>
      </c>
      <c r="AE309" t="str">
        <f t="shared" si="49"/>
        <v>WARNING</v>
      </c>
    </row>
    <row r="310" spans="1:31">
      <c r="A310" t="s">
        <v>1053</v>
      </c>
      <c r="B310" s="3">
        <v>45821</v>
      </c>
      <c r="C310" s="3">
        <v>45827</v>
      </c>
      <c r="D310" t="s">
        <v>1054</v>
      </c>
      <c r="E310" t="s">
        <v>151</v>
      </c>
      <c r="F310" t="s">
        <v>34</v>
      </c>
      <c r="G310" t="s">
        <v>35</v>
      </c>
      <c r="H310" t="s">
        <v>36</v>
      </c>
      <c r="I310" t="s">
        <v>37</v>
      </c>
      <c r="J310" t="s">
        <v>51</v>
      </c>
      <c r="K310" t="s">
        <v>52</v>
      </c>
      <c r="L310" t="s">
        <v>1055</v>
      </c>
      <c r="M310" t="s">
        <v>60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42</v>
      </c>
      <c r="U310" t="s">
        <v>43</v>
      </c>
      <c r="V310" t="str">
        <f t="shared" si="40"/>
        <v/>
      </c>
      <c r="W310" t="str">
        <f t="shared" si="41"/>
        <v/>
      </c>
      <c r="X310">
        <f t="shared" si="42"/>
        <v>0.84852144912701888</v>
      </c>
      <c r="Y310">
        <f t="shared" si="43"/>
        <v>2341.0240000000003</v>
      </c>
      <c r="Z310">
        <f t="shared" si="44"/>
        <v>775.53400000000033</v>
      </c>
      <c r="AA310">
        <f t="shared" si="45"/>
        <v>0.33127981601213835</v>
      </c>
      <c r="AB310">
        <f t="shared" si="46"/>
        <v>6</v>
      </c>
      <c r="AC310" t="str">
        <f t="shared" si="47"/>
        <v>June</v>
      </c>
      <c r="AD310">
        <f t="shared" si="48"/>
        <v>2025</v>
      </c>
      <c r="AE310" t="str">
        <f t="shared" si="49"/>
        <v>CLEAN</v>
      </c>
    </row>
    <row r="311" spans="1:31">
      <c r="A311" t="s">
        <v>1056</v>
      </c>
      <c r="B311" s="3">
        <v>45493</v>
      </c>
      <c r="C311" s="3">
        <v>45495</v>
      </c>
      <c r="D311" t="s">
        <v>1057</v>
      </c>
      <c r="E311" t="s">
        <v>72</v>
      </c>
      <c r="F311" t="s">
        <v>34</v>
      </c>
      <c r="G311" t="s">
        <v>64</v>
      </c>
      <c r="H311" t="s">
        <v>259</v>
      </c>
      <c r="I311" t="s">
        <v>260</v>
      </c>
      <c r="J311" t="s">
        <v>51</v>
      </c>
      <c r="K311" t="s">
        <v>52</v>
      </c>
      <c r="L311" t="s">
        <v>1058</v>
      </c>
      <c r="M311" t="s">
        <v>60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42</v>
      </c>
      <c r="U311" t="s">
        <v>78</v>
      </c>
      <c r="V311" t="str">
        <f t="shared" si="40"/>
        <v/>
      </c>
      <c r="W311" t="str">
        <f t="shared" si="41"/>
        <v/>
      </c>
      <c r="X311">
        <f t="shared" si="42"/>
        <v>-0.10880696539805437</v>
      </c>
      <c r="Y311">
        <f t="shared" si="43"/>
        <v>12982.599</v>
      </c>
      <c r="Z311">
        <f t="shared" si="44"/>
        <v>5736.2390000000005</v>
      </c>
      <c r="AA311">
        <f t="shared" si="45"/>
        <v>0.441840574448922</v>
      </c>
      <c r="AB311">
        <f t="shared" si="46"/>
        <v>2</v>
      </c>
      <c r="AC311" t="str">
        <f t="shared" si="47"/>
        <v>July</v>
      </c>
      <c r="AD311">
        <f t="shared" si="48"/>
        <v>2024</v>
      </c>
      <c r="AE311" t="str">
        <f t="shared" si="49"/>
        <v>WARNING</v>
      </c>
    </row>
    <row r="312" spans="1:31">
      <c r="A312" t="s">
        <v>1059</v>
      </c>
      <c r="B312" s="3">
        <v>45477</v>
      </c>
      <c r="C312" s="3">
        <v>45481</v>
      </c>
      <c r="D312" t="s">
        <v>1060</v>
      </c>
      <c r="E312" t="s">
        <v>151</v>
      </c>
      <c r="F312" t="s">
        <v>47</v>
      </c>
      <c r="G312" t="s">
        <v>64</v>
      </c>
      <c r="H312" t="s">
        <v>259</v>
      </c>
      <c r="I312" t="s">
        <v>260</v>
      </c>
      <c r="J312" t="s">
        <v>84</v>
      </c>
      <c r="K312" t="s">
        <v>286</v>
      </c>
      <c r="L312" t="s">
        <v>1061</v>
      </c>
      <c r="M312" t="s">
        <v>60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42</v>
      </c>
      <c r="U312" t="s">
        <v>43</v>
      </c>
      <c r="V312" t="str">
        <f t="shared" si="40"/>
        <v/>
      </c>
      <c r="W312" t="str">
        <f t="shared" si="41"/>
        <v/>
      </c>
      <c r="X312">
        <f t="shared" si="42"/>
        <v>-1.0661353799231277</v>
      </c>
      <c r="Y312">
        <f t="shared" si="43"/>
        <v>16274</v>
      </c>
      <c r="Z312">
        <f t="shared" si="44"/>
        <v>6849.75</v>
      </c>
      <c r="AA312">
        <f t="shared" si="45"/>
        <v>0.42090143787636719</v>
      </c>
      <c r="AB312">
        <f t="shared" si="46"/>
        <v>4</v>
      </c>
      <c r="AC312" t="str">
        <f t="shared" si="47"/>
        <v>July</v>
      </c>
      <c r="AD312">
        <f t="shared" si="48"/>
        <v>2024</v>
      </c>
      <c r="AE312" t="str">
        <f t="shared" si="49"/>
        <v>CLEAN</v>
      </c>
    </row>
    <row r="313" spans="1:31">
      <c r="A313" t="s">
        <v>1062</v>
      </c>
      <c r="B313" s="3">
        <v>45409</v>
      </c>
      <c r="C313" s="3">
        <v>45414</v>
      </c>
      <c r="D313" t="s">
        <v>1063</v>
      </c>
      <c r="E313" t="s">
        <v>46</v>
      </c>
      <c r="F313" t="s">
        <v>100</v>
      </c>
      <c r="G313" t="s">
        <v>64</v>
      </c>
      <c r="H313" t="s">
        <v>185</v>
      </c>
      <c r="I313" t="s">
        <v>186</v>
      </c>
      <c r="J313" t="s">
        <v>38</v>
      </c>
      <c r="K313" t="s">
        <v>163</v>
      </c>
      <c r="L313" t="s">
        <v>1064</v>
      </c>
      <c r="M313" t="s">
        <v>41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42</v>
      </c>
      <c r="U313" t="s">
        <v>43</v>
      </c>
      <c r="V313" t="str">
        <f t="shared" si="40"/>
        <v/>
      </c>
      <c r="W313" t="str">
        <f t="shared" si="41"/>
        <v/>
      </c>
      <c r="X313">
        <f t="shared" si="42"/>
        <v>-0.10880696539805437</v>
      </c>
      <c r="Y313">
        <f t="shared" si="43"/>
        <v>2493.1799999999998</v>
      </c>
      <c r="Z313">
        <f t="shared" si="44"/>
        <v>729.17999999999984</v>
      </c>
      <c r="AA313">
        <f t="shared" si="45"/>
        <v>0.29246985777200196</v>
      </c>
      <c r="AB313">
        <f t="shared" si="46"/>
        <v>5</v>
      </c>
      <c r="AC313" t="str">
        <f t="shared" si="47"/>
        <v>April</v>
      </c>
      <c r="AD313">
        <f t="shared" si="48"/>
        <v>2024</v>
      </c>
      <c r="AE313" t="str">
        <f t="shared" si="49"/>
        <v>CLEAN</v>
      </c>
    </row>
    <row r="314" spans="1:31">
      <c r="A314" t="s">
        <v>1065</v>
      </c>
      <c r="B314" s="3">
        <v>45504</v>
      </c>
      <c r="C314" s="3">
        <v>45508</v>
      </c>
      <c r="D314" t="s">
        <v>1066</v>
      </c>
      <c r="E314" t="s">
        <v>33</v>
      </c>
      <c r="F314" t="s">
        <v>47</v>
      </c>
      <c r="G314" t="s">
        <v>48</v>
      </c>
      <c r="H314" t="s">
        <v>176</v>
      </c>
      <c r="I314" t="s">
        <v>177</v>
      </c>
      <c r="J314" t="s">
        <v>84</v>
      </c>
      <c r="K314" t="s">
        <v>181</v>
      </c>
      <c r="L314" t="s">
        <v>1067</v>
      </c>
      <c r="M314" t="s">
        <v>69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42</v>
      </c>
      <c r="U314" t="s">
        <v>78</v>
      </c>
      <c r="V314" t="str">
        <f t="shared" si="40"/>
        <v/>
      </c>
      <c r="W314" t="str">
        <f t="shared" si="41"/>
        <v/>
      </c>
      <c r="X314">
        <f t="shared" si="42"/>
        <v>-1.0661353799231277</v>
      </c>
      <c r="Y314">
        <f t="shared" si="43"/>
        <v>20917.919999999998</v>
      </c>
      <c r="Z314">
        <f t="shared" si="44"/>
        <v>10870.589999999998</v>
      </c>
      <c r="AA314">
        <f t="shared" si="45"/>
        <v>0.5196783427797792</v>
      </c>
      <c r="AB314">
        <f t="shared" si="46"/>
        <v>4</v>
      </c>
      <c r="AC314" t="str">
        <f t="shared" si="47"/>
        <v>July</v>
      </c>
      <c r="AD314">
        <f t="shared" si="48"/>
        <v>2024</v>
      </c>
      <c r="AE314" t="str">
        <f t="shared" si="49"/>
        <v>WARNING</v>
      </c>
    </row>
    <row r="315" spans="1:31">
      <c r="A315" t="s">
        <v>1068</v>
      </c>
      <c r="B315" s="3">
        <v>45807</v>
      </c>
      <c r="C315" s="3">
        <v>45808</v>
      </c>
      <c r="D315" t="s">
        <v>1069</v>
      </c>
      <c r="E315" t="s">
        <v>128</v>
      </c>
      <c r="F315" t="s">
        <v>100</v>
      </c>
      <c r="G315" t="s">
        <v>35</v>
      </c>
      <c r="H315" t="s">
        <v>146</v>
      </c>
      <c r="I315" t="s">
        <v>147</v>
      </c>
      <c r="J315" t="s">
        <v>84</v>
      </c>
      <c r="K315" t="s">
        <v>181</v>
      </c>
      <c r="L315" t="s">
        <v>1070</v>
      </c>
      <c r="M315" t="s">
        <v>60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112</v>
      </c>
      <c r="U315" t="s">
        <v>78</v>
      </c>
      <c r="V315" t="str">
        <f t="shared" si="40"/>
        <v/>
      </c>
      <c r="W315" t="str">
        <f t="shared" si="41"/>
        <v/>
      </c>
      <c r="X315">
        <f t="shared" si="42"/>
        <v>1.3271856563895552</v>
      </c>
      <c r="Y315">
        <f t="shared" si="43"/>
        <v>12488.579999999998</v>
      </c>
      <c r="Z315">
        <f t="shared" si="44"/>
        <v>1771.1799999999985</v>
      </c>
      <c r="AA315">
        <f t="shared" si="45"/>
        <v>0.14182397037933847</v>
      </c>
      <c r="AB315">
        <f t="shared" si="46"/>
        <v>1</v>
      </c>
      <c r="AC315" t="str">
        <f t="shared" si="47"/>
        <v>May</v>
      </c>
      <c r="AD315">
        <f t="shared" si="48"/>
        <v>2025</v>
      </c>
      <c r="AE315" t="str">
        <f t="shared" si="49"/>
        <v>WARNING</v>
      </c>
    </row>
    <row r="316" spans="1:31">
      <c r="A316" t="s">
        <v>1071</v>
      </c>
      <c r="B316" s="3">
        <v>45795</v>
      </c>
      <c r="C316" s="3">
        <v>45797</v>
      </c>
      <c r="D316" t="s">
        <v>1072</v>
      </c>
      <c r="E316" t="s">
        <v>57</v>
      </c>
      <c r="F316" t="s">
        <v>100</v>
      </c>
      <c r="G316" t="s">
        <v>73</v>
      </c>
      <c r="H316" t="s">
        <v>82</v>
      </c>
      <c r="I316" t="s">
        <v>83</v>
      </c>
      <c r="J316" t="s">
        <v>38</v>
      </c>
      <c r="K316" t="s">
        <v>101</v>
      </c>
      <c r="L316" t="s">
        <v>1073</v>
      </c>
      <c r="M316" t="s">
        <v>69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165</v>
      </c>
      <c r="U316" t="s">
        <v>113</v>
      </c>
      <c r="V316" t="str">
        <f t="shared" si="40"/>
        <v/>
      </c>
      <c r="W316" t="str">
        <f t="shared" si="41"/>
        <v/>
      </c>
      <c r="X316">
        <f t="shared" si="42"/>
        <v>0.3698572418644821</v>
      </c>
      <c r="Y316">
        <f t="shared" si="43"/>
        <v>6485.3639999999996</v>
      </c>
      <c r="Z316">
        <f t="shared" si="44"/>
        <v>1109.1939999999995</v>
      </c>
      <c r="AA316">
        <f t="shared" si="45"/>
        <v>0.17103033846673826</v>
      </c>
      <c r="AB316">
        <f t="shared" si="46"/>
        <v>2</v>
      </c>
      <c r="AC316" t="str">
        <f t="shared" si="47"/>
        <v>May</v>
      </c>
      <c r="AD316">
        <f t="shared" si="48"/>
        <v>2025</v>
      </c>
      <c r="AE316" t="str">
        <f t="shared" si="49"/>
        <v>CLEAN</v>
      </c>
    </row>
    <row r="317" spans="1:31">
      <c r="A317" t="s">
        <v>1074</v>
      </c>
      <c r="B317" s="3">
        <v>45475</v>
      </c>
      <c r="C317" s="3">
        <v>45481</v>
      </c>
      <c r="D317" t="s">
        <v>1075</v>
      </c>
      <c r="E317" t="s">
        <v>151</v>
      </c>
      <c r="F317" t="s">
        <v>34</v>
      </c>
      <c r="G317" t="s">
        <v>35</v>
      </c>
      <c r="H317" t="s">
        <v>362</v>
      </c>
      <c r="I317" t="s">
        <v>363</v>
      </c>
      <c r="J317" t="s">
        <v>38</v>
      </c>
      <c r="K317" t="s">
        <v>39</v>
      </c>
      <c r="L317" t="s">
        <v>1076</v>
      </c>
      <c r="M317" t="s">
        <v>69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121</v>
      </c>
      <c r="U317" t="s">
        <v>113</v>
      </c>
      <c r="V317" t="str">
        <f t="shared" si="40"/>
        <v/>
      </c>
      <c r="W317" t="str">
        <f t="shared" si="41"/>
        <v/>
      </c>
      <c r="X317">
        <f t="shared" si="42"/>
        <v>-0.58747117266059101</v>
      </c>
      <c r="Y317">
        <f t="shared" si="43"/>
        <v>29500.920000000002</v>
      </c>
      <c r="Z317">
        <f t="shared" si="44"/>
        <v>11511.240000000002</v>
      </c>
      <c r="AA317">
        <f t="shared" si="45"/>
        <v>0.39019935649464493</v>
      </c>
      <c r="AB317">
        <f t="shared" si="46"/>
        <v>6</v>
      </c>
      <c r="AC317" t="str">
        <f t="shared" si="47"/>
        <v>July</v>
      </c>
      <c r="AD317">
        <f t="shared" si="48"/>
        <v>2024</v>
      </c>
      <c r="AE317" t="str">
        <f t="shared" si="49"/>
        <v>CLEAN</v>
      </c>
    </row>
    <row r="318" spans="1:31">
      <c r="A318" t="s">
        <v>1077</v>
      </c>
      <c r="B318" s="3">
        <v>45338</v>
      </c>
      <c r="C318" s="3">
        <v>45340</v>
      </c>
      <c r="D318" t="s">
        <v>1078</v>
      </c>
      <c r="E318" t="s">
        <v>33</v>
      </c>
      <c r="F318" t="s">
        <v>100</v>
      </c>
      <c r="G318" t="s">
        <v>35</v>
      </c>
      <c r="H318" t="s">
        <v>132</v>
      </c>
      <c r="I318" t="s">
        <v>133</v>
      </c>
      <c r="J318" t="s">
        <v>38</v>
      </c>
      <c r="K318" t="s">
        <v>101</v>
      </c>
      <c r="L318" t="s">
        <v>1079</v>
      </c>
      <c r="M318" t="s">
        <v>69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42</v>
      </c>
      <c r="U318" t="s">
        <v>78</v>
      </c>
      <c r="V318" t="str">
        <f t="shared" si="40"/>
        <v/>
      </c>
      <c r="W318" t="str">
        <f t="shared" si="41"/>
        <v/>
      </c>
      <c r="X318">
        <f t="shared" si="42"/>
        <v>0.84852144912701888</v>
      </c>
      <c r="Y318">
        <f t="shared" si="43"/>
        <v>3116.0480000000002</v>
      </c>
      <c r="Z318">
        <f t="shared" si="44"/>
        <v>1159.4180000000001</v>
      </c>
      <c r="AA318">
        <f t="shared" si="45"/>
        <v>0.37207963420332424</v>
      </c>
      <c r="AB318">
        <f t="shared" si="46"/>
        <v>2</v>
      </c>
      <c r="AC318" t="str">
        <f t="shared" si="47"/>
        <v>February</v>
      </c>
      <c r="AD318">
        <f t="shared" si="48"/>
        <v>2024</v>
      </c>
      <c r="AE318" t="str">
        <f t="shared" si="49"/>
        <v>WARNING</v>
      </c>
    </row>
    <row r="319" spans="1:31">
      <c r="A319" t="s">
        <v>1080</v>
      </c>
      <c r="B319" s="3">
        <v>45898</v>
      </c>
      <c r="C319" s="3">
        <v>45904</v>
      </c>
      <c r="D319" t="s">
        <v>1081</v>
      </c>
      <c r="E319" t="s">
        <v>89</v>
      </c>
      <c r="F319" t="s">
        <v>100</v>
      </c>
      <c r="G319" t="s">
        <v>64</v>
      </c>
      <c r="H319" t="s">
        <v>195</v>
      </c>
      <c r="I319" t="s">
        <v>196</v>
      </c>
      <c r="J319" t="s">
        <v>51</v>
      </c>
      <c r="K319" t="s">
        <v>52</v>
      </c>
      <c r="L319" t="s">
        <v>1082</v>
      </c>
      <c r="M319" t="s">
        <v>60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42</v>
      </c>
      <c r="U319" t="s">
        <v>43</v>
      </c>
      <c r="V319" t="str">
        <f t="shared" si="40"/>
        <v/>
      </c>
      <c r="W319" t="str">
        <f t="shared" si="41"/>
        <v/>
      </c>
      <c r="X319">
        <f t="shared" si="42"/>
        <v>0.3698572418644821</v>
      </c>
      <c r="Y319">
        <f t="shared" si="43"/>
        <v>22926.820499999998</v>
      </c>
      <c r="Z319">
        <f t="shared" si="44"/>
        <v>8305.2304999999978</v>
      </c>
      <c r="AA319">
        <f t="shared" si="45"/>
        <v>0.36224955396671765</v>
      </c>
      <c r="AB319">
        <f t="shared" si="46"/>
        <v>6</v>
      </c>
      <c r="AC319" t="str">
        <f t="shared" si="47"/>
        <v>August</v>
      </c>
      <c r="AD319">
        <f t="shared" si="48"/>
        <v>2025</v>
      </c>
      <c r="AE319" t="str">
        <f t="shared" si="49"/>
        <v>CLEAN</v>
      </c>
    </row>
    <row r="320" spans="1:31">
      <c r="A320" t="s">
        <v>1083</v>
      </c>
      <c r="B320" s="3">
        <v>45407</v>
      </c>
      <c r="C320" s="3">
        <v>45412</v>
      </c>
      <c r="D320" t="s">
        <v>1084</v>
      </c>
      <c r="E320" t="s">
        <v>46</v>
      </c>
      <c r="F320" t="s">
        <v>47</v>
      </c>
      <c r="G320" t="s">
        <v>64</v>
      </c>
      <c r="H320" t="s">
        <v>185</v>
      </c>
      <c r="I320" t="s">
        <v>186</v>
      </c>
      <c r="J320" t="s">
        <v>84</v>
      </c>
      <c r="K320" t="s">
        <v>181</v>
      </c>
      <c r="L320" t="s">
        <v>1085</v>
      </c>
      <c r="M320" t="s">
        <v>69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42</v>
      </c>
      <c r="U320" t="s">
        <v>43</v>
      </c>
      <c r="V320" t="str">
        <f t="shared" si="40"/>
        <v/>
      </c>
      <c r="W320" t="str">
        <f t="shared" si="41"/>
        <v/>
      </c>
      <c r="X320">
        <f t="shared" si="42"/>
        <v>-0.10880696539805437</v>
      </c>
      <c r="Y320">
        <f t="shared" si="43"/>
        <v>11203.542000000001</v>
      </c>
      <c r="Z320">
        <f t="shared" si="44"/>
        <v>2750.612000000001</v>
      </c>
      <c r="AA320">
        <f t="shared" si="45"/>
        <v>0.24551271374713468</v>
      </c>
      <c r="AB320">
        <f t="shared" si="46"/>
        <v>5</v>
      </c>
      <c r="AC320" t="str">
        <f t="shared" si="47"/>
        <v>April</v>
      </c>
      <c r="AD320">
        <f t="shared" si="48"/>
        <v>2024</v>
      </c>
      <c r="AE320" t="str">
        <f t="shared" si="49"/>
        <v>CLEAN</v>
      </c>
    </row>
    <row r="321" spans="1:31">
      <c r="A321" t="s">
        <v>1086</v>
      </c>
      <c r="B321" s="3">
        <v>45525</v>
      </c>
      <c r="C321" s="3">
        <v>45529</v>
      </c>
      <c r="D321" t="s">
        <v>1087</v>
      </c>
      <c r="E321" t="s">
        <v>172</v>
      </c>
      <c r="F321" t="s">
        <v>34</v>
      </c>
      <c r="G321" t="s">
        <v>73</v>
      </c>
      <c r="H321" t="s">
        <v>190</v>
      </c>
      <c r="I321" t="s">
        <v>191</v>
      </c>
      <c r="J321" t="s">
        <v>38</v>
      </c>
      <c r="K321" t="s">
        <v>163</v>
      </c>
      <c r="L321" t="s">
        <v>1088</v>
      </c>
      <c r="M321" t="s">
        <v>60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42</v>
      </c>
      <c r="U321" t="s">
        <v>43</v>
      </c>
      <c r="V321" t="str">
        <f t="shared" si="40"/>
        <v/>
      </c>
      <c r="W321" t="str">
        <f t="shared" si="41"/>
        <v/>
      </c>
      <c r="X321">
        <f t="shared" si="42"/>
        <v>-1.0661353799231277</v>
      </c>
      <c r="Y321">
        <f t="shared" si="43"/>
        <v>270.27999999999997</v>
      </c>
      <c r="Z321">
        <f t="shared" si="44"/>
        <v>113.93999999999997</v>
      </c>
      <c r="AA321">
        <f t="shared" si="45"/>
        <v>0.42156282373834536</v>
      </c>
      <c r="AB321">
        <f t="shared" si="46"/>
        <v>4</v>
      </c>
      <c r="AC321" t="str">
        <f t="shared" si="47"/>
        <v>August</v>
      </c>
      <c r="AD321">
        <f t="shared" si="48"/>
        <v>2024</v>
      </c>
      <c r="AE321" t="str">
        <f t="shared" si="49"/>
        <v>CLEAN</v>
      </c>
    </row>
    <row r="322" spans="1:31">
      <c r="A322" t="s">
        <v>1089</v>
      </c>
      <c r="B322" s="3">
        <v>45394</v>
      </c>
      <c r="C322" s="3">
        <v>45455</v>
      </c>
      <c r="D322" t="s">
        <v>1090</v>
      </c>
      <c r="E322" t="s">
        <v>138</v>
      </c>
      <c r="F322" t="s">
        <v>105</v>
      </c>
      <c r="G322" t="s">
        <v>48</v>
      </c>
      <c r="H322" t="s">
        <v>109</v>
      </c>
      <c r="I322" t="s">
        <v>110</v>
      </c>
      <c r="J322" t="s">
        <v>38</v>
      </c>
      <c r="K322" t="s">
        <v>58</v>
      </c>
      <c r="L322" t="s">
        <v>1091</v>
      </c>
      <c r="M322" t="s">
        <v>41</v>
      </c>
      <c r="N322">
        <v>3</v>
      </c>
      <c r="O322">
        <v>876.14</v>
      </c>
      <c r="P322" t="s">
        <v>475</v>
      </c>
      <c r="Q322">
        <v>2628.42</v>
      </c>
      <c r="R322">
        <v>1541.54</v>
      </c>
      <c r="S322">
        <v>1086.8800000000001</v>
      </c>
      <c r="T322" t="s">
        <v>121</v>
      </c>
      <c r="U322" t="s">
        <v>113</v>
      </c>
      <c r="V322" t="str">
        <f t="shared" si="40"/>
        <v>Invalid Discount</v>
      </c>
      <c r="W322" t="str">
        <f t="shared" si="41"/>
        <v/>
      </c>
      <c r="X322">
        <f t="shared" si="42"/>
        <v>5.6351635217523848</v>
      </c>
      <c r="Y322">
        <f t="shared" si="43"/>
        <v>788.52600000000018</v>
      </c>
      <c r="Z322">
        <f t="shared" si="44"/>
        <v>-753.01399999999978</v>
      </c>
      <c r="AA322">
        <f t="shared" si="45"/>
        <v>-0.95496407220560842</v>
      </c>
      <c r="AB322">
        <f t="shared" si="46"/>
        <v>61</v>
      </c>
      <c r="AC322" t="str">
        <f t="shared" si="47"/>
        <v>April</v>
      </c>
      <c r="AD322">
        <f t="shared" si="48"/>
        <v>2024</v>
      </c>
      <c r="AE322" t="str">
        <f t="shared" si="49"/>
        <v>INVALID</v>
      </c>
    </row>
    <row r="323" spans="1:31">
      <c r="A323" t="s">
        <v>1092</v>
      </c>
      <c r="B323" s="3">
        <v>45466</v>
      </c>
      <c r="C323" s="3">
        <v>45473</v>
      </c>
      <c r="D323" t="s">
        <v>1093</v>
      </c>
      <c r="E323" t="s">
        <v>89</v>
      </c>
      <c r="F323" t="s">
        <v>47</v>
      </c>
      <c r="G323" t="s">
        <v>73</v>
      </c>
      <c r="H323" t="s">
        <v>200</v>
      </c>
      <c r="I323" t="s">
        <v>201</v>
      </c>
      <c r="J323" t="s">
        <v>84</v>
      </c>
      <c r="K323" t="s">
        <v>85</v>
      </c>
      <c r="L323" t="s">
        <v>1094</v>
      </c>
      <c r="M323" t="s">
        <v>54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165</v>
      </c>
      <c r="U323" t="s">
        <v>78</v>
      </c>
      <c r="V323" t="str">
        <f t="shared" ref="V323:V386" si="50">IF(AND(N323&gt;0,O323&gt;0,Q323&gt;0,R323&gt;=0,S323&lt;&gt;""),IF(OR(P323&lt;0,ABS(P323-AVERAGE($P:$P))&gt;2*_xlfn.STDEV.P($P:$P)),"Invalid Discount",""),"")</f>
        <v/>
      </c>
      <c r="W323" t="str">
        <f t="shared" ref="W323:W386" si="51">IF(AND(B323&lt;&gt;"",C323&lt;&gt;""),IF(C323&lt;B323,"Invalid Shipping Record",""),"")</f>
        <v/>
      </c>
      <c r="X323">
        <f t="shared" ref="X323:X386" si="52">(P323-AVERAGE($P:$P))/_xlfn.STDEV.P($P:$P)</f>
        <v>-1.0661353799231277</v>
      </c>
      <c r="Y323">
        <f t="shared" ref="Y323:Y386" si="53">N323*O323*(1-P323)</f>
        <v>2699.28</v>
      </c>
      <c r="Z323">
        <f t="shared" ref="Z323:Z386" si="54">Y323-R323</f>
        <v>939.52000000000021</v>
      </c>
      <c r="AA323">
        <f t="shared" ref="AA323:AA386" si="55">IF(Y323=0,0,Z323/Y323)</f>
        <v>0.34806318722029583</v>
      </c>
      <c r="AB323">
        <f t="shared" ref="AB323:AB386" si="56">DATEDIF(B323,C323,"d")</f>
        <v>7</v>
      </c>
      <c r="AC323" t="str">
        <f t="shared" ref="AC323:AC386" si="57">TEXT(B323,"mmmm")</f>
        <v>June</v>
      </c>
      <c r="AD323">
        <f t="shared" ref="AD323:AD386" si="58">YEAR(B323)</f>
        <v>2024</v>
      </c>
      <c r="AE323" t="str">
        <f t="shared" ref="AE323:AE386" si="59">IF(OR(V323="Invalid Discount",W323="Invalid Shipping Record"),"INVALID",IF(U323="Cancelled","WARNING","CLEAN"))</f>
        <v>WARNING</v>
      </c>
    </row>
    <row r="324" spans="1:31">
      <c r="A324" t="s">
        <v>1095</v>
      </c>
      <c r="B324" s="3">
        <v>45608</v>
      </c>
      <c r="C324" s="3">
        <v>45608</v>
      </c>
      <c r="D324" t="s">
        <v>1096</v>
      </c>
      <c r="E324" t="s">
        <v>57</v>
      </c>
      <c r="F324" t="s">
        <v>34</v>
      </c>
      <c r="G324" t="s">
        <v>35</v>
      </c>
      <c r="H324" t="s">
        <v>146</v>
      </c>
      <c r="I324" t="s">
        <v>147</v>
      </c>
      <c r="J324" t="s">
        <v>84</v>
      </c>
      <c r="K324" t="s">
        <v>181</v>
      </c>
      <c r="L324" t="s">
        <v>1097</v>
      </c>
      <c r="M324" t="s">
        <v>41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42</v>
      </c>
      <c r="U324" t="s">
        <v>43</v>
      </c>
      <c r="V324" t="str">
        <f t="shared" si="50"/>
        <v/>
      </c>
      <c r="W324" t="str">
        <f t="shared" si="51"/>
        <v/>
      </c>
      <c r="X324">
        <f t="shared" si="52"/>
        <v>0.3698572418644821</v>
      </c>
      <c r="Y324">
        <f t="shared" si="53"/>
        <v>6984.3480000000009</v>
      </c>
      <c r="Z324">
        <f t="shared" si="54"/>
        <v>2960.7180000000008</v>
      </c>
      <c r="AA324">
        <f t="shared" si="55"/>
        <v>0.42390757161584736</v>
      </c>
      <c r="AB324">
        <f t="shared" si="56"/>
        <v>0</v>
      </c>
      <c r="AC324" t="str">
        <f t="shared" si="57"/>
        <v>November</v>
      </c>
      <c r="AD324">
        <f t="shared" si="58"/>
        <v>2024</v>
      </c>
      <c r="AE324" t="str">
        <f t="shared" si="59"/>
        <v>CLEAN</v>
      </c>
    </row>
    <row r="325" spans="1:31">
      <c r="A325" t="s">
        <v>1098</v>
      </c>
      <c r="B325" s="3">
        <v>45347</v>
      </c>
      <c r="C325" s="3">
        <v>45351</v>
      </c>
      <c r="D325" t="s">
        <v>1099</v>
      </c>
      <c r="E325" t="s">
        <v>57</v>
      </c>
      <c r="F325" t="s">
        <v>47</v>
      </c>
      <c r="G325" t="s">
        <v>73</v>
      </c>
      <c r="H325" t="s">
        <v>200</v>
      </c>
      <c r="I325" t="s">
        <v>201</v>
      </c>
      <c r="J325" t="s">
        <v>51</v>
      </c>
      <c r="K325" t="s">
        <v>67</v>
      </c>
      <c r="L325" t="s">
        <v>160</v>
      </c>
      <c r="M325" t="s">
        <v>69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42</v>
      </c>
      <c r="U325" t="s">
        <v>43</v>
      </c>
      <c r="V325" t="str">
        <f t="shared" si="50"/>
        <v/>
      </c>
      <c r="W325" t="str">
        <f t="shared" si="51"/>
        <v/>
      </c>
      <c r="X325">
        <f t="shared" si="52"/>
        <v>0.3698572418644821</v>
      </c>
      <c r="Y325">
        <f t="shared" si="53"/>
        <v>10185.669</v>
      </c>
      <c r="Z325">
        <f t="shared" si="54"/>
        <v>3706.3589999999995</v>
      </c>
      <c r="AA325">
        <f t="shared" si="55"/>
        <v>0.36387978050337189</v>
      </c>
      <c r="AB325">
        <f t="shared" si="56"/>
        <v>4</v>
      </c>
      <c r="AC325" t="str">
        <f t="shared" si="57"/>
        <v>February</v>
      </c>
      <c r="AD325">
        <f t="shared" si="58"/>
        <v>2024</v>
      </c>
      <c r="AE325" t="str">
        <f t="shared" si="59"/>
        <v>CLEAN</v>
      </c>
    </row>
    <row r="326" spans="1:31">
      <c r="A326" t="s">
        <v>1100</v>
      </c>
      <c r="B326" s="3">
        <v>45869</v>
      </c>
      <c r="C326" s="3">
        <v>45871</v>
      </c>
      <c r="D326" t="s">
        <v>1101</v>
      </c>
      <c r="E326" t="s">
        <v>151</v>
      </c>
      <c r="F326" t="s">
        <v>105</v>
      </c>
      <c r="G326" t="s">
        <v>64</v>
      </c>
      <c r="H326" t="s">
        <v>94</v>
      </c>
      <c r="I326" t="s">
        <v>95</v>
      </c>
      <c r="J326" t="s">
        <v>38</v>
      </c>
      <c r="K326" t="s">
        <v>101</v>
      </c>
      <c r="L326" t="s">
        <v>1102</v>
      </c>
      <c r="M326" t="s">
        <v>54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42</v>
      </c>
      <c r="U326" t="s">
        <v>113</v>
      </c>
      <c r="V326" t="str">
        <f t="shared" si="50"/>
        <v/>
      </c>
      <c r="W326" t="str">
        <f t="shared" si="51"/>
        <v/>
      </c>
      <c r="X326">
        <f t="shared" si="52"/>
        <v>0.3698572418644821</v>
      </c>
      <c r="Y326">
        <f t="shared" si="53"/>
        <v>1655.6980000000001</v>
      </c>
      <c r="Z326">
        <f t="shared" si="54"/>
        <v>300.89800000000014</v>
      </c>
      <c r="AA326">
        <f t="shared" si="55"/>
        <v>0.1817348332848141</v>
      </c>
      <c r="AB326">
        <f t="shared" si="56"/>
        <v>2</v>
      </c>
      <c r="AC326" t="str">
        <f t="shared" si="57"/>
        <v>July</v>
      </c>
      <c r="AD326">
        <f t="shared" si="58"/>
        <v>2025</v>
      </c>
      <c r="AE326" t="str">
        <f t="shared" si="59"/>
        <v>CLEAN</v>
      </c>
    </row>
    <row r="327" spans="1:31">
      <c r="A327" t="s">
        <v>1103</v>
      </c>
      <c r="B327" s="3">
        <v>45916</v>
      </c>
      <c r="C327" s="3">
        <v>45922</v>
      </c>
      <c r="D327" t="s">
        <v>1104</v>
      </c>
      <c r="E327" t="s">
        <v>142</v>
      </c>
      <c r="F327" t="s">
        <v>105</v>
      </c>
      <c r="G327" t="s">
        <v>48</v>
      </c>
      <c r="H327" t="s">
        <v>109</v>
      </c>
      <c r="I327" t="s">
        <v>110</v>
      </c>
      <c r="J327" t="s">
        <v>84</v>
      </c>
      <c r="K327" t="s">
        <v>90</v>
      </c>
      <c r="L327" t="s">
        <v>1105</v>
      </c>
      <c r="M327" t="s">
        <v>41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42</v>
      </c>
      <c r="U327" t="s">
        <v>43</v>
      </c>
      <c r="V327" t="str">
        <f t="shared" si="50"/>
        <v/>
      </c>
      <c r="W327" t="str">
        <f t="shared" si="51"/>
        <v/>
      </c>
      <c r="X327">
        <f t="shared" si="52"/>
        <v>0.3698572418644821</v>
      </c>
      <c r="Y327">
        <f t="shared" si="53"/>
        <v>15602.6</v>
      </c>
      <c r="Z327">
        <f t="shared" si="54"/>
        <v>3694.08</v>
      </c>
      <c r="AA327">
        <f t="shared" si="55"/>
        <v>0.236760539910015</v>
      </c>
      <c r="AB327">
        <f t="shared" si="56"/>
        <v>6</v>
      </c>
      <c r="AC327" t="str">
        <f t="shared" si="57"/>
        <v>September</v>
      </c>
      <c r="AD327">
        <f t="shared" si="58"/>
        <v>2025</v>
      </c>
      <c r="AE327" t="str">
        <f t="shared" si="59"/>
        <v>CLEAN</v>
      </c>
    </row>
    <row r="328" spans="1:31">
      <c r="A328" t="s">
        <v>1106</v>
      </c>
      <c r="B328" s="3">
        <v>45860</v>
      </c>
      <c r="C328" s="3">
        <v>45860</v>
      </c>
      <c r="D328" t="s">
        <v>1107</v>
      </c>
      <c r="E328" t="s">
        <v>142</v>
      </c>
      <c r="F328" t="s">
        <v>100</v>
      </c>
      <c r="G328" t="s">
        <v>48</v>
      </c>
      <c r="H328" t="s">
        <v>240</v>
      </c>
      <c r="I328" t="s">
        <v>241</v>
      </c>
      <c r="J328" t="s">
        <v>51</v>
      </c>
      <c r="K328" t="s">
        <v>67</v>
      </c>
      <c r="L328" t="s">
        <v>1108</v>
      </c>
      <c r="M328" t="s">
        <v>54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42</v>
      </c>
      <c r="U328" t="s">
        <v>43</v>
      </c>
      <c r="V328" t="str">
        <f t="shared" si="50"/>
        <v/>
      </c>
      <c r="W328" t="str">
        <f t="shared" si="51"/>
        <v/>
      </c>
      <c r="X328">
        <f t="shared" si="52"/>
        <v>-0.58747117266059101</v>
      </c>
      <c r="Y328">
        <f t="shared" si="53"/>
        <v>15138.487499999999</v>
      </c>
      <c r="Z328">
        <f t="shared" si="54"/>
        <v>3902.7674999999999</v>
      </c>
      <c r="AA328">
        <f t="shared" si="55"/>
        <v>0.25780432160082045</v>
      </c>
      <c r="AB328">
        <f t="shared" si="56"/>
        <v>0</v>
      </c>
      <c r="AC328" t="str">
        <f t="shared" si="57"/>
        <v>July</v>
      </c>
      <c r="AD328">
        <f t="shared" si="58"/>
        <v>2025</v>
      </c>
      <c r="AE328" t="str">
        <f t="shared" si="59"/>
        <v>CLEAN</v>
      </c>
    </row>
    <row r="329" spans="1:31">
      <c r="A329" t="s">
        <v>1109</v>
      </c>
      <c r="B329" s="3">
        <v>45497</v>
      </c>
      <c r="C329" s="3">
        <v>45500</v>
      </c>
      <c r="D329" t="s">
        <v>1110</v>
      </c>
      <c r="E329" t="s">
        <v>57</v>
      </c>
      <c r="F329" t="s">
        <v>34</v>
      </c>
      <c r="G329" t="s">
        <v>73</v>
      </c>
      <c r="H329" t="s">
        <v>36</v>
      </c>
      <c r="I329" t="s">
        <v>119</v>
      </c>
      <c r="J329" t="s">
        <v>84</v>
      </c>
      <c r="K329" t="s">
        <v>85</v>
      </c>
      <c r="L329" t="s">
        <v>1111</v>
      </c>
      <c r="M329" t="s">
        <v>41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121</v>
      </c>
      <c r="U329" t="s">
        <v>78</v>
      </c>
      <c r="V329" t="str">
        <f t="shared" si="50"/>
        <v/>
      </c>
      <c r="W329" t="str">
        <f t="shared" si="51"/>
        <v/>
      </c>
      <c r="X329">
        <f t="shared" si="52"/>
        <v>0.84852144912701888</v>
      </c>
      <c r="Y329">
        <f t="shared" si="53"/>
        <v>4402.92</v>
      </c>
      <c r="Z329">
        <f t="shared" si="54"/>
        <v>1408.98</v>
      </c>
      <c r="AA329">
        <f t="shared" si="55"/>
        <v>0.32001035676323897</v>
      </c>
      <c r="AB329">
        <f t="shared" si="56"/>
        <v>3</v>
      </c>
      <c r="AC329" t="str">
        <f t="shared" si="57"/>
        <v>July</v>
      </c>
      <c r="AD329">
        <f t="shared" si="58"/>
        <v>2024</v>
      </c>
      <c r="AE329" t="str">
        <f t="shared" si="59"/>
        <v>WARNING</v>
      </c>
    </row>
    <row r="330" spans="1:31">
      <c r="A330" t="s">
        <v>1112</v>
      </c>
      <c r="B330" s="3">
        <v>45806</v>
      </c>
      <c r="C330" s="3">
        <v>45812</v>
      </c>
      <c r="D330" t="s">
        <v>1113</v>
      </c>
      <c r="E330" t="s">
        <v>172</v>
      </c>
      <c r="F330" t="s">
        <v>34</v>
      </c>
      <c r="G330" t="s">
        <v>73</v>
      </c>
      <c r="H330" t="s">
        <v>74</v>
      </c>
      <c r="I330" t="s">
        <v>75</v>
      </c>
      <c r="J330" t="s">
        <v>38</v>
      </c>
      <c r="K330" t="s">
        <v>134</v>
      </c>
      <c r="L330" t="s">
        <v>1114</v>
      </c>
      <c r="M330" t="s">
        <v>60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42</v>
      </c>
      <c r="U330" t="s">
        <v>43</v>
      </c>
      <c r="V330" t="str">
        <f t="shared" si="50"/>
        <v/>
      </c>
      <c r="W330" t="str">
        <f t="shared" si="51"/>
        <v/>
      </c>
      <c r="X330">
        <f t="shared" si="52"/>
        <v>-1.0661353799231277</v>
      </c>
      <c r="Y330">
        <f t="shared" si="53"/>
        <v>18604.079999999998</v>
      </c>
      <c r="Z330">
        <f t="shared" si="54"/>
        <v>2769.7799999999988</v>
      </c>
      <c r="AA330">
        <f t="shared" si="55"/>
        <v>0.1488802456235406</v>
      </c>
      <c r="AB330">
        <f t="shared" si="56"/>
        <v>6</v>
      </c>
      <c r="AC330" t="str">
        <f t="shared" si="57"/>
        <v>May</v>
      </c>
      <c r="AD330">
        <f t="shared" si="58"/>
        <v>2025</v>
      </c>
      <c r="AE330" t="str">
        <f t="shared" si="59"/>
        <v>CLEAN</v>
      </c>
    </row>
    <row r="331" spans="1:31">
      <c r="A331" t="s">
        <v>1115</v>
      </c>
      <c r="B331" s="3">
        <v>45789</v>
      </c>
      <c r="C331" s="3">
        <v>45795</v>
      </c>
      <c r="D331" t="s">
        <v>1116</v>
      </c>
      <c r="E331" t="s">
        <v>89</v>
      </c>
      <c r="F331" t="s">
        <v>47</v>
      </c>
      <c r="G331" t="s">
        <v>73</v>
      </c>
      <c r="H331" t="s">
        <v>74</v>
      </c>
      <c r="I331" t="s">
        <v>75</v>
      </c>
      <c r="J331" t="s">
        <v>38</v>
      </c>
      <c r="K331" t="s">
        <v>134</v>
      </c>
      <c r="L331" t="s">
        <v>1117</v>
      </c>
      <c r="M331" t="s">
        <v>69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42</v>
      </c>
      <c r="U331" t="s">
        <v>43</v>
      </c>
      <c r="V331" t="str">
        <f t="shared" si="50"/>
        <v/>
      </c>
      <c r="W331" t="str">
        <f t="shared" si="51"/>
        <v/>
      </c>
      <c r="X331">
        <f t="shared" si="52"/>
        <v>-0.58747117266059101</v>
      </c>
      <c r="Y331">
        <f t="shared" si="53"/>
        <v>15401.513999999999</v>
      </c>
      <c r="Z331">
        <f t="shared" si="54"/>
        <v>6751.0939999999991</v>
      </c>
      <c r="AA331">
        <f t="shared" si="55"/>
        <v>0.43833963336331738</v>
      </c>
      <c r="AB331">
        <f t="shared" si="56"/>
        <v>6</v>
      </c>
      <c r="AC331" t="str">
        <f t="shared" si="57"/>
        <v>May</v>
      </c>
      <c r="AD331">
        <f t="shared" si="58"/>
        <v>2025</v>
      </c>
      <c r="AE331" t="str">
        <f t="shared" si="59"/>
        <v>CLEAN</v>
      </c>
    </row>
    <row r="332" spans="1:31">
      <c r="A332" t="s">
        <v>1118</v>
      </c>
      <c r="B332" s="3">
        <v>45428</v>
      </c>
      <c r="C332" s="3">
        <v>45436</v>
      </c>
      <c r="D332" t="s">
        <v>1119</v>
      </c>
      <c r="E332" t="s">
        <v>63</v>
      </c>
      <c r="F332" t="s">
        <v>105</v>
      </c>
      <c r="G332" t="s">
        <v>35</v>
      </c>
      <c r="H332" t="s">
        <v>132</v>
      </c>
      <c r="I332" t="s">
        <v>133</v>
      </c>
      <c r="J332" t="s">
        <v>84</v>
      </c>
      <c r="K332" t="s">
        <v>85</v>
      </c>
      <c r="L332" t="s">
        <v>1120</v>
      </c>
      <c r="M332" t="s">
        <v>54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165</v>
      </c>
      <c r="U332" t="s">
        <v>78</v>
      </c>
      <c r="V332" t="str">
        <f t="shared" si="50"/>
        <v/>
      </c>
      <c r="W332" t="str">
        <f t="shared" si="51"/>
        <v/>
      </c>
      <c r="X332">
        <f t="shared" si="52"/>
        <v>-1.0661353799231277</v>
      </c>
      <c r="Y332">
        <f t="shared" si="53"/>
        <v>783.09</v>
      </c>
      <c r="Z332">
        <f t="shared" si="54"/>
        <v>279.20000000000005</v>
      </c>
      <c r="AA332">
        <f t="shared" si="55"/>
        <v>0.3565362857398256</v>
      </c>
      <c r="AB332">
        <f t="shared" si="56"/>
        <v>8</v>
      </c>
      <c r="AC332" t="str">
        <f t="shared" si="57"/>
        <v>May</v>
      </c>
      <c r="AD332">
        <f t="shared" si="58"/>
        <v>2024</v>
      </c>
      <c r="AE332" t="str">
        <f t="shared" si="59"/>
        <v>WARNING</v>
      </c>
    </row>
    <row r="333" spans="1:31">
      <c r="A333" t="s">
        <v>1121</v>
      </c>
      <c r="B333" s="3">
        <v>45630</v>
      </c>
      <c r="C333" s="3">
        <v>45632</v>
      </c>
      <c r="D333" t="s">
        <v>1122</v>
      </c>
      <c r="E333" t="s">
        <v>142</v>
      </c>
      <c r="F333" t="s">
        <v>105</v>
      </c>
      <c r="G333" t="s">
        <v>48</v>
      </c>
      <c r="H333" t="s">
        <v>49</v>
      </c>
      <c r="I333" t="s">
        <v>50</v>
      </c>
      <c r="J333" t="s">
        <v>38</v>
      </c>
      <c r="K333" t="s">
        <v>163</v>
      </c>
      <c r="L333" t="s">
        <v>1123</v>
      </c>
      <c r="M333" t="s">
        <v>41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42</v>
      </c>
      <c r="U333" t="s">
        <v>113</v>
      </c>
      <c r="V333" t="str">
        <f t="shared" si="50"/>
        <v/>
      </c>
      <c r="W333" t="str">
        <f t="shared" si="51"/>
        <v/>
      </c>
      <c r="X333">
        <f t="shared" si="52"/>
        <v>-1.0661353799231277</v>
      </c>
      <c r="Y333">
        <f t="shared" si="53"/>
        <v>10742.64</v>
      </c>
      <c r="Z333">
        <f t="shared" si="54"/>
        <v>4265.2699999999995</v>
      </c>
      <c r="AA333">
        <f t="shared" si="55"/>
        <v>0.39704113700170535</v>
      </c>
      <c r="AB333">
        <f t="shared" si="56"/>
        <v>2</v>
      </c>
      <c r="AC333" t="str">
        <f t="shared" si="57"/>
        <v>December</v>
      </c>
      <c r="AD333">
        <f t="shared" si="58"/>
        <v>2024</v>
      </c>
      <c r="AE333" t="str">
        <f t="shared" si="59"/>
        <v>CLEAN</v>
      </c>
    </row>
    <row r="334" spans="1:31">
      <c r="A334" t="s">
        <v>1124</v>
      </c>
      <c r="B334" s="3">
        <v>45804</v>
      </c>
      <c r="C334" s="3">
        <v>45805</v>
      </c>
      <c r="D334" t="s">
        <v>1125</v>
      </c>
      <c r="E334" t="s">
        <v>138</v>
      </c>
      <c r="F334" t="s">
        <v>34</v>
      </c>
      <c r="G334" t="s">
        <v>64</v>
      </c>
      <c r="H334" t="s">
        <v>94</v>
      </c>
      <c r="I334" t="s">
        <v>95</v>
      </c>
      <c r="J334" t="s">
        <v>84</v>
      </c>
      <c r="K334" t="s">
        <v>1126</v>
      </c>
      <c r="L334" t="s">
        <v>1127</v>
      </c>
      <c r="M334" t="s">
        <v>41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42</v>
      </c>
      <c r="U334" t="s">
        <v>43</v>
      </c>
      <c r="V334" t="str">
        <f t="shared" si="50"/>
        <v/>
      </c>
      <c r="W334" t="str">
        <f t="shared" si="51"/>
        <v/>
      </c>
      <c r="X334">
        <f t="shared" si="52"/>
        <v>-1.0661353799231277</v>
      </c>
      <c r="Y334">
        <f t="shared" si="53"/>
        <v>7823.92</v>
      </c>
      <c r="Z334">
        <f t="shared" si="54"/>
        <v>1789.29</v>
      </c>
      <c r="AA334">
        <f t="shared" si="55"/>
        <v>0.22869482305545047</v>
      </c>
      <c r="AB334">
        <f t="shared" si="56"/>
        <v>1</v>
      </c>
      <c r="AC334" t="str">
        <f t="shared" si="57"/>
        <v>May</v>
      </c>
      <c r="AD334">
        <f t="shared" si="58"/>
        <v>2025</v>
      </c>
      <c r="AE334" t="str">
        <f t="shared" si="59"/>
        <v>CLEAN</v>
      </c>
    </row>
    <row r="335" spans="1:31">
      <c r="A335" t="s">
        <v>1128</v>
      </c>
      <c r="B335" s="3">
        <v>45830</v>
      </c>
      <c r="C335" s="3">
        <v>45835</v>
      </c>
      <c r="D335" t="s">
        <v>1129</v>
      </c>
      <c r="E335" t="s">
        <v>151</v>
      </c>
      <c r="F335" t="s">
        <v>105</v>
      </c>
      <c r="G335" t="s">
        <v>215</v>
      </c>
      <c r="H335" t="s">
        <v>362</v>
      </c>
      <c r="I335" t="s">
        <v>363</v>
      </c>
      <c r="J335" t="s">
        <v>84</v>
      </c>
      <c r="K335" t="s">
        <v>181</v>
      </c>
      <c r="L335" t="s">
        <v>1130</v>
      </c>
      <c r="M335" t="s">
        <v>60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42</v>
      </c>
      <c r="U335" t="s">
        <v>43</v>
      </c>
      <c r="V335" t="str">
        <f t="shared" si="50"/>
        <v/>
      </c>
      <c r="W335" t="str">
        <f t="shared" si="51"/>
        <v/>
      </c>
      <c r="X335">
        <f t="shared" si="52"/>
        <v>-1.0661353799231277</v>
      </c>
      <c r="Y335">
        <f t="shared" si="53"/>
        <v>2936.1</v>
      </c>
      <c r="Z335">
        <f t="shared" si="54"/>
        <v>1013</v>
      </c>
      <c r="AA335">
        <f t="shared" si="55"/>
        <v>0.34501549674738602</v>
      </c>
      <c r="AB335">
        <f t="shared" si="56"/>
        <v>5</v>
      </c>
      <c r="AC335" t="str">
        <f t="shared" si="57"/>
        <v>June</v>
      </c>
      <c r="AD335">
        <f t="shared" si="58"/>
        <v>2025</v>
      </c>
      <c r="AE335" t="str">
        <f t="shared" si="59"/>
        <v>CLEAN</v>
      </c>
    </row>
    <row r="336" spans="1:31">
      <c r="A336" t="s">
        <v>1131</v>
      </c>
      <c r="B336" s="3">
        <v>45547</v>
      </c>
      <c r="C336" s="3">
        <v>45552</v>
      </c>
      <c r="D336" t="s">
        <v>1132</v>
      </c>
      <c r="E336" t="s">
        <v>72</v>
      </c>
      <c r="F336" t="s">
        <v>34</v>
      </c>
      <c r="G336" t="s">
        <v>48</v>
      </c>
      <c r="H336" t="s">
        <v>240</v>
      </c>
      <c r="I336" t="s">
        <v>241</v>
      </c>
      <c r="J336" t="s">
        <v>38</v>
      </c>
      <c r="K336" t="s">
        <v>134</v>
      </c>
      <c r="L336" t="s">
        <v>1133</v>
      </c>
      <c r="M336" t="s">
        <v>60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42</v>
      </c>
      <c r="U336" t="s">
        <v>43</v>
      </c>
      <c r="V336" t="str">
        <f t="shared" si="50"/>
        <v/>
      </c>
      <c r="W336" t="str">
        <f t="shared" si="51"/>
        <v/>
      </c>
      <c r="X336">
        <f t="shared" si="52"/>
        <v>1.3271856563895552</v>
      </c>
      <c r="Y336">
        <f t="shared" si="53"/>
        <v>12969.922500000001</v>
      </c>
      <c r="Z336">
        <f t="shared" si="54"/>
        <v>3571.4625000000015</v>
      </c>
      <c r="AA336">
        <f t="shared" si="55"/>
        <v>0.27536498386941027</v>
      </c>
      <c r="AB336">
        <f t="shared" si="56"/>
        <v>5</v>
      </c>
      <c r="AC336" t="str">
        <f t="shared" si="57"/>
        <v>September</v>
      </c>
      <c r="AD336">
        <f t="shared" si="58"/>
        <v>2024</v>
      </c>
      <c r="AE336" t="str">
        <f t="shared" si="59"/>
        <v>CLEAN</v>
      </c>
    </row>
    <row r="337" spans="1:31">
      <c r="A337" t="s">
        <v>1134</v>
      </c>
      <c r="B337" s="3">
        <v>45824</v>
      </c>
      <c r="C337" s="3">
        <v>45826</v>
      </c>
      <c r="D337" t="s">
        <v>1135</v>
      </c>
      <c r="E337" t="s">
        <v>128</v>
      </c>
      <c r="F337" t="s">
        <v>105</v>
      </c>
      <c r="G337" t="s">
        <v>73</v>
      </c>
      <c r="H337" t="s">
        <v>82</v>
      </c>
      <c r="I337" t="s">
        <v>83</v>
      </c>
      <c r="J337" t="s">
        <v>38</v>
      </c>
      <c r="K337" t="s">
        <v>39</v>
      </c>
      <c r="L337" t="s">
        <v>1136</v>
      </c>
      <c r="M337" t="s">
        <v>60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42</v>
      </c>
      <c r="U337" t="s">
        <v>43</v>
      </c>
      <c r="V337" t="str">
        <f t="shared" si="50"/>
        <v/>
      </c>
      <c r="W337" t="str">
        <f t="shared" si="51"/>
        <v/>
      </c>
      <c r="X337">
        <f t="shared" si="52"/>
        <v>-0.10880696539805437</v>
      </c>
      <c r="Y337">
        <f t="shared" si="53"/>
        <v>11581.299000000001</v>
      </c>
      <c r="Z337">
        <f t="shared" si="54"/>
        <v>4751.8690000000006</v>
      </c>
      <c r="AA337">
        <f t="shared" si="55"/>
        <v>0.41030535521101735</v>
      </c>
      <c r="AB337">
        <f t="shared" si="56"/>
        <v>2</v>
      </c>
      <c r="AC337" t="str">
        <f t="shared" si="57"/>
        <v>June</v>
      </c>
      <c r="AD337">
        <f t="shared" si="58"/>
        <v>2025</v>
      </c>
      <c r="AE337" t="str">
        <f t="shared" si="59"/>
        <v>CLEAN</v>
      </c>
    </row>
    <row r="338" spans="1:31">
      <c r="A338" t="s">
        <v>1137</v>
      </c>
      <c r="B338" s="3">
        <v>45368</v>
      </c>
      <c r="C338" s="3">
        <v>45372</v>
      </c>
      <c r="D338" t="s">
        <v>887</v>
      </c>
      <c r="E338" t="s">
        <v>138</v>
      </c>
      <c r="F338" t="s">
        <v>34</v>
      </c>
      <c r="G338" t="s">
        <v>35</v>
      </c>
      <c r="H338" t="s">
        <v>36</v>
      </c>
      <c r="I338" t="s">
        <v>37</v>
      </c>
      <c r="J338" t="s">
        <v>84</v>
      </c>
      <c r="K338" t="s">
        <v>90</v>
      </c>
      <c r="L338" t="s">
        <v>1138</v>
      </c>
      <c r="M338" t="s">
        <v>60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42</v>
      </c>
      <c r="U338" t="s">
        <v>43</v>
      </c>
      <c r="V338" t="str">
        <f t="shared" si="50"/>
        <v/>
      </c>
      <c r="W338" t="str">
        <f t="shared" si="51"/>
        <v/>
      </c>
      <c r="X338">
        <f t="shared" si="52"/>
        <v>-1.0661353799231277</v>
      </c>
      <c r="Y338">
        <f t="shared" si="53"/>
        <v>15940.56</v>
      </c>
      <c r="Z338">
        <f t="shared" si="54"/>
        <v>3593.41</v>
      </c>
      <c r="AA338">
        <f t="shared" si="55"/>
        <v>0.2254255810335396</v>
      </c>
      <c r="AB338">
        <f t="shared" si="56"/>
        <v>4</v>
      </c>
      <c r="AC338" t="str">
        <f t="shared" si="57"/>
        <v>March</v>
      </c>
      <c r="AD338">
        <f t="shared" si="58"/>
        <v>2024</v>
      </c>
      <c r="AE338" t="str">
        <f t="shared" si="59"/>
        <v>CLEAN</v>
      </c>
    </row>
    <row r="339" spans="1:31">
      <c r="A339" t="s">
        <v>1139</v>
      </c>
      <c r="B339" s="3">
        <v>45516</v>
      </c>
      <c r="C339" s="3">
        <v>45522</v>
      </c>
      <c r="D339" t="s">
        <v>1140</v>
      </c>
      <c r="E339" t="s">
        <v>72</v>
      </c>
      <c r="F339" t="s">
        <v>34</v>
      </c>
      <c r="G339" t="s">
        <v>48</v>
      </c>
      <c r="H339" t="s">
        <v>176</v>
      </c>
      <c r="I339" t="s">
        <v>177</v>
      </c>
      <c r="J339" t="s">
        <v>38</v>
      </c>
      <c r="K339" t="s">
        <v>101</v>
      </c>
      <c r="L339" t="s">
        <v>1141</v>
      </c>
      <c r="M339" t="s">
        <v>54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42</v>
      </c>
      <c r="U339" t="s">
        <v>43</v>
      </c>
      <c r="V339" t="str">
        <f t="shared" si="50"/>
        <v/>
      </c>
      <c r="W339" t="str">
        <f t="shared" si="51"/>
        <v/>
      </c>
      <c r="X339">
        <f t="shared" si="52"/>
        <v>-1.0661353799231277</v>
      </c>
      <c r="Y339">
        <f t="shared" si="53"/>
        <v>7090.4400000000005</v>
      </c>
      <c r="Z339">
        <f t="shared" si="54"/>
        <v>1418.17</v>
      </c>
      <c r="AA339">
        <f t="shared" si="55"/>
        <v>0.20001156486762456</v>
      </c>
      <c r="AB339">
        <f t="shared" si="56"/>
        <v>6</v>
      </c>
      <c r="AC339" t="str">
        <f t="shared" si="57"/>
        <v>August</v>
      </c>
      <c r="AD339">
        <f t="shared" si="58"/>
        <v>2024</v>
      </c>
      <c r="AE339" t="str">
        <f t="shared" si="59"/>
        <v>CLEAN</v>
      </c>
    </row>
    <row r="340" spans="1:31">
      <c r="A340" t="s">
        <v>1142</v>
      </c>
      <c r="B340" s="3">
        <v>45634</v>
      </c>
      <c r="C340" s="3">
        <v>45516</v>
      </c>
      <c r="D340" t="s">
        <v>1143</v>
      </c>
      <c r="E340" t="s">
        <v>63</v>
      </c>
      <c r="F340" t="s">
        <v>47</v>
      </c>
      <c r="G340" t="s">
        <v>64</v>
      </c>
      <c r="H340" t="s">
        <v>94</v>
      </c>
      <c r="I340" t="s">
        <v>95</v>
      </c>
      <c r="J340" t="s">
        <v>84</v>
      </c>
      <c r="K340" t="s">
        <v>85</v>
      </c>
      <c r="L340" t="s">
        <v>1144</v>
      </c>
      <c r="M340" t="s">
        <v>60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42</v>
      </c>
      <c r="U340" t="s">
        <v>43</v>
      </c>
      <c r="V340" t="str">
        <f t="shared" si="50"/>
        <v/>
      </c>
      <c r="W340" t="str">
        <f t="shared" si="51"/>
        <v>Invalid Shipping Record</v>
      </c>
      <c r="X340">
        <f t="shared" si="52"/>
        <v>1.3271856563895552</v>
      </c>
      <c r="Y340">
        <f t="shared" si="53"/>
        <v>26414.159999999996</v>
      </c>
      <c r="Z340">
        <f t="shared" si="54"/>
        <v>4591.6299999999974</v>
      </c>
      <c r="AA340">
        <f t="shared" si="55"/>
        <v>0.17383214154832097</v>
      </c>
      <c r="AB340" t="e">
        <f t="shared" si="56"/>
        <v>#NUM!</v>
      </c>
      <c r="AC340" t="str">
        <f t="shared" si="57"/>
        <v>December</v>
      </c>
      <c r="AD340">
        <f t="shared" si="58"/>
        <v>2024</v>
      </c>
      <c r="AE340" t="str">
        <f t="shared" si="59"/>
        <v>INVALID</v>
      </c>
    </row>
    <row r="341" spans="1:31">
      <c r="A341" t="s">
        <v>1145</v>
      </c>
      <c r="B341" s="3">
        <v>45708</v>
      </c>
      <c r="C341" s="3">
        <v>45710</v>
      </c>
      <c r="D341" t="s">
        <v>1146</v>
      </c>
      <c r="E341" t="s">
        <v>89</v>
      </c>
      <c r="F341" t="s">
        <v>100</v>
      </c>
      <c r="G341" t="s">
        <v>48</v>
      </c>
      <c r="H341" t="s">
        <v>240</v>
      </c>
      <c r="I341" t="s">
        <v>241</v>
      </c>
      <c r="J341" t="s">
        <v>51</v>
      </c>
      <c r="K341" t="s">
        <v>168</v>
      </c>
      <c r="L341" t="s">
        <v>1147</v>
      </c>
      <c r="M341" t="s">
        <v>69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42</v>
      </c>
      <c r="U341" t="s">
        <v>43</v>
      </c>
      <c r="V341" t="str">
        <f t="shared" si="50"/>
        <v/>
      </c>
      <c r="W341" t="str">
        <f t="shared" si="51"/>
        <v/>
      </c>
      <c r="X341">
        <f t="shared" si="52"/>
        <v>0.84852144912701888</v>
      </c>
      <c r="Y341">
        <f t="shared" si="53"/>
        <v>20900.864000000001</v>
      </c>
      <c r="Z341">
        <f t="shared" si="54"/>
        <v>8387.724000000002</v>
      </c>
      <c r="AA341">
        <f t="shared" si="55"/>
        <v>0.40130991714026759</v>
      </c>
      <c r="AB341">
        <f t="shared" si="56"/>
        <v>2</v>
      </c>
      <c r="AC341" t="str">
        <f t="shared" si="57"/>
        <v>February</v>
      </c>
      <c r="AD341">
        <f t="shared" si="58"/>
        <v>2025</v>
      </c>
      <c r="AE341" t="str">
        <f t="shared" si="59"/>
        <v>CLEAN</v>
      </c>
    </row>
    <row r="342" spans="1:31">
      <c r="A342" t="s">
        <v>1148</v>
      </c>
      <c r="B342" s="3">
        <v>45312</v>
      </c>
      <c r="C342" s="3">
        <v>45320</v>
      </c>
      <c r="D342" t="s">
        <v>1149</v>
      </c>
      <c r="E342" t="s">
        <v>89</v>
      </c>
      <c r="F342" t="s">
        <v>34</v>
      </c>
      <c r="G342" t="s">
        <v>64</v>
      </c>
      <c r="H342" t="s">
        <v>185</v>
      </c>
      <c r="I342" t="s">
        <v>186</v>
      </c>
      <c r="J342" t="s">
        <v>38</v>
      </c>
      <c r="K342" t="s">
        <v>163</v>
      </c>
      <c r="L342" t="s">
        <v>1150</v>
      </c>
      <c r="M342" t="s">
        <v>69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42</v>
      </c>
      <c r="U342" t="s">
        <v>43</v>
      </c>
      <c r="V342" t="str">
        <f t="shared" si="50"/>
        <v/>
      </c>
      <c r="W342" t="str">
        <f t="shared" si="51"/>
        <v/>
      </c>
      <c r="X342">
        <f t="shared" si="52"/>
        <v>-0.10880696539805437</v>
      </c>
      <c r="Y342">
        <f t="shared" si="53"/>
        <v>18261.36</v>
      </c>
      <c r="Z342">
        <f t="shared" si="54"/>
        <v>6861.42</v>
      </c>
      <c r="AA342">
        <f t="shared" si="55"/>
        <v>0.3757343374206521</v>
      </c>
      <c r="AB342">
        <f t="shared" si="56"/>
        <v>8</v>
      </c>
      <c r="AC342" t="str">
        <f t="shared" si="57"/>
        <v>January</v>
      </c>
      <c r="AD342">
        <f t="shared" si="58"/>
        <v>2024</v>
      </c>
      <c r="AE342" t="str">
        <f t="shared" si="59"/>
        <v>CLEAN</v>
      </c>
    </row>
    <row r="343" spans="1:31">
      <c r="A343" t="s">
        <v>1151</v>
      </c>
      <c r="B343" s="3">
        <v>45908</v>
      </c>
      <c r="C343" s="3">
        <v>45909</v>
      </c>
      <c r="D343" t="s">
        <v>1152</v>
      </c>
      <c r="E343" t="s">
        <v>151</v>
      </c>
      <c r="F343" t="s">
        <v>105</v>
      </c>
      <c r="G343" t="s">
        <v>73</v>
      </c>
      <c r="H343" t="s">
        <v>190</v>
      </c>
      <c r="I343" t="s">
        <v>191</v>
      </c>
      <c r="J343" t="s">
        <v>51</v>
      </c>
      <c r="K343" t="s">
        <v>76</v>
      </c>
      <c r="L343" t="s">
        <v>1153</v>
      </c>
      <c r="M343" t="s">
        <v>41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42</v>
      </c>
      <c r="U343" t="s">
        <v>43</v>
      </c>
      <c r="V343" t="str">
        <f t="shared" si="50"/>
        <v/>
      </c>
      <c r="W343" t="str">
        <f t="shared" si="51"/>
        <v/>
      </c>
      <c r="X343">
        <f t="shared" si="52"/>
        <v>-0.58747117266059101</v>
      </c>
      <c r="Y343">
        <f t="shared" si="53"/>
        <v>7524.6269999999995</v>
      </c>
      <c r="Z343">
        <f t="shared" si="54"/>
        <v>1295.0269999999991</v>
      </c>
      <c r="AA343">
        <f t="shared" si="55"/>
        <v>0.17210514222166751</v>
      </c>
      <c r="AB343">
        <f t="shared" si="56"/>
        <v>1</v>
      </c>
      <c r="AC343" t="str">
        <f t="shared" si="57"/>
        <v>September</v>
      </c>
      <c r="AD343">
        <f t="shared" si="58"/>
        <v>2025</v>
      </c>
      <c r="AE343" t="str">
        <f t="shared" si="59"/>
        <v>CLEAN</v>
      </c>
    </row>
    <row r="344" spans="1:31">
      <c r="A344" t="s">
        <v>1154</v>
      </c>
      <c r="B344" s="3">
        <v>45862</v>
      </c>
      <c r="C344" s="3">
        <v>45870</v>
      </c>
      <c r="D344" t="s">
        <v>1155</v>
      </c>
      <c r="E344" t="s">
        <v>276</v>
      </c>
      <c r="F344" t="s">
        <v>47</v>
      </c>
      <c r="G344" t="s">
        <v>48</v>
      </c>
      <c r="H344" t="s">
        <v>240</v>
      </c>
      <c r="I344" t="s">
        <v>241</v>
      </c>
      <c r="J344" t="s">
        <v>38</v>
      </c>
      <c r="K344" t="s">
        <v>163</v>
      </c>
      <c r="L344" t="s">
        <v>1156</v>
      </c>
      <c r="M344" t="s">
        <v>60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42</v>
      </c>
      <c r="U344" t="s">
        <v>43</v>
      </c>
      <c r="V344" t="str">
        <f t="shared" si="50"/>
        <v/>
      </c>
      <c r="W344" t="str">
        <f t="shared" si="51"/>
        <v/>
      </c>
      <c r="X344">
        <f t="shared" si="52"/>
        <v>-1.0661353799231277</v>
      </c>
      <c r="Y344">
        <f t="shared" si="53"/>
        <v>12231.36</v>
      </c>
      <c r="Z344">
        <f t="shared" si="54"/>
        <v>3464.4600000000009</v>
      </c>
      <c r="AA344">
        <f t="shared" si="55"/>
        <v>0.28324405462679547</v>
      </c>
      <c r="AB344">
        <f t="shared" si="56"/>
        <v>8</v>
      </c>
      <c r="AC344" t="str">
        <f t="shared" si="57"/>
        <v>July</v>
      </c>
      <c r="AD344">
        <f t="shared" si="58"/>
        <v>2025</v>
      </c>
      <c r="AE344" t="str">
        <f t="shared" si="59"/>
        <v>CLEAN</v>
      </c>
    </row>
    <row r="345" spans="1:31">
      <c r="A345" t="s">
        <v>1157</v>
      </c>
      <c r="B345" s="3">
        <v>45726</v>
      </c>
      <c r="C345" s="3">
        <v>45938</v>
      </c>
      <c r="D345" t="s">
        <v>1158</v>
      </c>
      <c r="E345" t="s">
        <v>138</v>
      </c>
      <c r="F345" t="s">
        <v>100</v>
      </c>
      <c r="G345" t="s">
        <v>73</v>
      </c>
      <c r="H345" t="s">
        <v>82</v>
      </c>
      <c r="I345" t="s">
        <v>83</v>
      </c>
      <c r="J345" t="s">
        <v>84</v>
      </c>
      <c r="K345" t="s">
        <v>286</v>
      </c>
      <c r="L345" t="s">
        <v>1159</v>
      </c>
      <c r="M345" t="s">
        <v>54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42</v>
      </c>
      <c r="U345" t="s">
        <v>43</v>
      </c>
      <c r="V345" t="str">
        <f t="shared" si="50"/>
        <v/>
      </c>
      <c r="W345" t="str">
        <f t="shared" si="51"/>
        <v/>
      </c>
      <c r="X345">
        <f t="shared" si="52"/>
        <v>-0.10880696539805437</v>
      </c>
      <c r="Y345">
        <f t="shared" si="53"/>
        <v>31079.7</v>
      </c>
      <c r="Z345">
        <f t="shared" si="54"/>
        <v>13321.45</v>
      </c>
      <c r="AA345">
        <f t="shared" si="55"/>
        <v>0.4286222196481948</v>
      </c>
      <c r="AB345">
        <f t="shared" si="56"/>
        <v>212</v>
      </c>
      <c r="AC345" t="str">
        <f t="shared" si="57"/>
        <v>March</v>
      </c>
      <c r="AD345">
        <f t="shared" si="58"/>
        <v>2025</v>
      </c>
      <c r="AE345" t="str">
        <f t="shared" si="59"/>
        <v>CLEAN</v>
      </c>
    </row>
    <row r="346" spans="1:31">
      <c r="A346" t="s">
        <v>1160</v>
      </c>
      <c r="B346" s="3">
        <v>45362</v>
      </c>
      <c r="C346" s="3">
        <v>45362</v>
      </c>
      <c r="D346" t="s">
        <v>1161</v>
      </c>
      <c r="E346" t="s">
        <v>124</v>
      </c>
      <c r="F346" t="s">
        <v>34</v>
      </c>
      <c r="G346" t="s">
        <v>35</v>
      </c>
      <c r="H346" t="s">
        <v>132</v>
      </c>
      <c r="I346" t="s">
        <v>133</v>
      </c>
      <c r="J346" t="s">
        <v>51</v>
      </c>
      <c r="K346" t="s">
        <v>168</v>
      </c>
      <c r="L346" t="s">
        <v>1162</v>
      </c>
      <c r="M346" t="s">
        <v>54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121</v>
      </c>
      <c r="U346" t="s">
        <v>113</v>
      </c>
      <c r="V346" t="str">
        <f t="shared" si="50"/>
        <v/>
      </c>
      <c r="W346" t="str">
        <f t="shared" si="51"/>
        <v/>
      </c>
      <c r="X346">
        <f t="shared" si="52"/>
        <v>-1.0661353799231277</v>
      </c>
      <c r="Y346">
        <f t="shared" si="53"/>
        <v>31107.420000000002</v>
      </c>
      <c r="Z346">
        <f t="shared" si="54"/>
        <v>10960.760000000002</v>
      </c>
      <c r="AA346">
        <f t="shared" si="55"/>
        <v>0.3523519468988428</v>
      </c>
      <c r="AB346">
        <f t="shared" si="56"/>
        <v>0</v>
      </c>
      <c r="AC346" t="str">
        <f t="shared" si="57"/>
        <v>March</v>
      </c>
      <c r="AD346">
        <f t="shared" si="58"/>
        <v>2024</v>
      </c>
      <c r="AE346" t="str">
        <f t="shared" si="59"/>
        <v>CLEAN</v>
      </c>
    </row>
    <row r="347" spans="1:31">
      <c r="A347" t="s">
        <v>1163</v>
      </c>
      <c r="B347" s="3">
        <v>45549</v>
      </c>
      <c r="C347" s="3">
        <v>45557</v>
      </c>
      <c r="D347" t="s">
        <v>1164</v>
      </c>
      <c r="E347" t="s">
        <v>33</v>
      </c>
      <c r="F347" t="s">
        <v>34</v>
      </c>
      <c r="G347" t="s">
        <v>73</v>
      </c>
      <c r="H347" t="s">
        <v>82</v>
      </c>
      <c r="I347" t="s">
        <v>83</v>
      </c>
      <c r="J347" t="s">
        <v>51</v>
      </c>
      <c r="K347" t="s">
        <v>67</v>
      </c>
      <c r="L347" t="s">
        <v>1165</v>
      </c>
      <c r="M347" t="s">
        <v>41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42</v>
      </c>
      <c r="U347" t="s">
        <v>43</v>
      </c>
      <c r="V347" t="str">
        <f t="shared" si="50"/>
        <v/>
      </c>
      <c r="W347" t="str">
        <f t="shared" si="51"/>
        <v/>
      </c>
      <c r="X347">
        <f t="shared" si="52"/>
        <v>-1.0661353799231277</v>
      </c>
      <c r="Y347">
        <f t="shared" si="53"/>
        <v>5530.6</v>
      </c>
      <c r="Z347">
        <f t="shared" si="54"/>
        <v>1077.4900000000007</v>
      </c>
      <c r="AA347">
        <f t="shared" si="55"/>
        <v>0.19482334647235391</v>
      </c>
      <c r="AB347">
        <f t="shared" si="56"/>
        <v>8</v>
      </c>
      <c r="AC347" t="str">
        <f t="shared" si="57"/>
        <v>September</v>
      </c>
      <c r="AD347">
        <f t="shared" si="58"/>
        <v>2024</v>
      </c>
      <c r="AE347" t="str">
        <f t="shared" si="59"/>
        <v>CLEAN</v>
      </c>
    </row>
    <row r="348" spans="1:31">
      <c r="A348" t="s">
        <v>1166</v>
      </c>
      <c r="B348" s="3">
        <v>45860</v>
      </c>
      <c r="C348" s="3">
        <v>45866</v>
      </c>
      <c r="D348" t="s">
        <v>1167</v>
      </c>
      <c r="E348" t="s">
        <v>128</v>
      </c>
      <c r="F348" t="s">
        <v>100</v>
      </c>
      <c r="G348" t="s">
        <v>64</v>
      </c>
      <c r="H348" t="s">
        <v>195</v>
      </c>
      <c r="I348" t="s">
        <v>196</v>
      </c>
      <c r="J348" t="s">
        <v>51</v>
      </c>
      <c r="K348" t="s">
        <v>76</v>
      </c>
      <c r="L348" t="s">
        <v>1168</v>
      </c>
      <c r="M348" t="s">
        <v>41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42</v>
      </c>
      <c r="U348" t="s">
        <v>43</v>
      </c>
      <c r="V348" t="str">
        <f t="shared" si="50"/>
        <v/>
      </c>
      <c r="W348" t="str">
        <f t="shared" si="51"/>
        <v/>
      </c>
      <c r="X348">
        <f t="shared" si="52"/>
        <v>0.84852144912701888</v>
      </c>
      <c r="Y348">
        <f t="shared" si="53"/>
        <v>7715.8080000000009</v>
      </c>
      <c r="Z348">
        <f t="shared" si="54"/>
        <v>3457.3880000000008</v>
      </c>
      <c r="AA348">
        <f t="shared" si="55"/>
        <v>0.4480915025360922</v>
      </c>
      <c r="AB348">
        <f t="shared" si="56"/>
        <v>6</v>
      </c>
      <c r="AC348" t="str">
        <f t="shared" si="57"/>
        <v>July</v>
      </c>
      <c r="AD348">
        <f t="shared" si="58"/>
        <v>2025</v>
      </c>
      <c r="AE348" t="str">
        <f t="shared" si="59"/>
        <v>CLEAN</v>
      </c>
    </row>
    <row r="349" spans="1:31">
      <c r="A349" t="s">
        <v>1169</v>
      </c>
      <c r="B349" s="3">
        <v>45627</v>
      </c>
      <c r="C349" s="3">
        <v>45516</v>
      </c>
      <c r="D349" t="s">
        <v>1170</v>
      </c>
      <c r="E349" t="s">
        <v>138</v>
      </c>
      <c r="F349" t="s">
        <v>47</v>
      </c>
      <c r="G349" t="s">
        <v>73</v>
      </c>
      <c r="H349" t="s">
        <v>200</v>
      </c>
      <c r="I349" t="s">
        <v>201</v>
      </c>
      <c r="J349" t="s">
        <v>51</v>
      </c>
      <c r="K349" t="s">
        <v>76</v>
      </c>
      <c r="L349" t="s">
        <v>1171</v>
      </c>
      <c r="M349" t="s">
        <v>41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112</v>
      </c>
      <c r="U349" t="s">
        <v>113</v>
      </c>
      <c r="V349" t="str">
        <f t="shared" si="50"/>
        <v/>
      </c>
      <c r="W349" t="str">
        <f t="shared" si="51"/>
        <v>Invalid Shipping Record</v>
      </c>
      <c r="X349">
        <f t="shared" si="52"/>
        <v>0.84852144912701888</v>
      </c>
      <c r="Y349">
        <f t="shared" si="53"/>
        <v>11925.96</v>
      </c>
      <c r="Z349">
        <f t="shared" si="54"/>
        <v>1822.4499999999989</v>
      </c>
      <c r="AA349">
        <f t="shared" si="55"/>
        <v>0.15281369382422874</v>
      </c>
      <c r="AB349" t="e">
        <f t="shared" si="56"/>
        <v>#NUM!</v>
      </c>
      <c r="AC349" t="str">
        <f t="shared" si="57"/>
        <v>December</v>
      </c>
      <c r="AD349">
        <f t="shared" si="58"/>
        <v>2024</v>
      </c>
      <c r="AE349" t="str">
        <f t="shared" si="59"/>
        <v>INVALID</v>
      </c>
    </row>
    <row r="350" spans="1:31">
      <c r="A350" t="s">
        <v>1172</v>
      </c>
      <c r="B350" s="3">
        <v>45328</v>
      </c>
      <c r="C350" s="3">
        <v>45479</v>
      </c>
      <c r="D350" t="s">
        <v>1173</v>
      </c>
      <c r="E350" t="s">
        <v>138</v>
      </c>
      <c r="F350" t="s">
        <v>100</v>
      </c>
      <c r="G350" t="s">
        <v>64</v>
      </c>
      <c r="H350" t="s">
        <v>185</v>
      </c>
      <c r="I350" t="s">
        <v>186</v>
      </c>
      <c r="J350" t="s">
        <v>84</v>
      </c>
      <c r="K350" t="s">
        <v>181</v>
      </c>
      <c r="L350" t="s">
        <v>1174</v>
      </c>
      <c r="M350" t="s">
        <v>54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42</v>
      </c>
      <c r="U350" t="s">
        <v>43</v>
      </c>
      <c r="V350" t="str">
        <f t="shared" si="50"/>
        <v/>
      </c>
      <c r="W350" t="str">
        <f t="shared" si="51"/>
        <v/>
      </c>
      <c r="X350">
        <f t="shared" si="52"/>
        <v>1.3271856563895552</v>
      </c>
      <c r="Y350">
        <f t="shared" si="53"/>
        <v>19306.755000000005</v>
      </c>
      <c r="Z350">
        <f t="shared" si="54"/>
        <v>4864.3750000000055</v>
      </c>
      <c r="AA350">
        <f t="shared" si="55"/>
        <v>0.25195197225012717</v>
      </c>
      <c r="AB350">
        <f t="shared" si="56"/>
        <v>151</v>
      </c>
      <c r="AC350" t="str">
        <f t="shared" si="57"/>
        <v>February</v>
      </c>
      <c r="AD350">
        <f t="shared" si="58"/>
        <v>2024</v>
      </c>
      <c r="AE350" t="str">
        <f t="shared" si="59"/>
        <v>CLEAN</v>
      </c>
    </row>
    <row r="351" spans="1:31">
      <c r="A351" t="s">
        <v>1175</v>
      </c>
      <c r="B351" s="3">
        <v>45927</v>
      </c>
      <c r="C351" s="3">
        <v>45929</v>
      </c>
      <c r="D351" t="s">
        <v>1176</v>
      </c>
      <c r="E351" t="s">
        <v>276</v>
      </c>
      <c r="F351" t="s">
        <v>105</v>
      </c>
      <c r="G351" t="s">
        <v>48</v>
      </c>
      <c r="H351" t="s">
        <v>240</v>
      </c>
      <c r="I351" t="s">
        <v>241</v>
      </c>
      <c r="J351" t="s">
        <v>51</v>
      </c>
      <c r="K351" t="s">
        <v>67</v>
      </c>
      <c r="L351" t="s">
        <v>1177</v>
      </c>
      <c r="M351" t="s">
        <v>41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42</v>
      </c>
      <c r="U351" t="s">
        <v>43</v>
      </c>
      <c r="V351" t="str">
        <f t="shared" si="50"/>
        <v/>
      </c>
      <c r="W351" t="str">
        <f t="shared" si="51"/>
        <v/>
      </c>
      <c r="X351">
        <f t="shared" si="52"/>
        <v>1.3271856563895552</v>
      </c>
      <c r="Y351">
        <f t="shared" si="53"/>
        <v>19355.962500000001</v>
      </c>
      <c r="Z351">
        <f t="shared" si="54"/>
        <v>4343.5125000000007</v>
      </c>
      <c r="AA351">
        <f t="shared" si="55"/>
        <v>0.22440178317146461</v>
      </c>
      <c r="AB351">
        <f t="shared" si="56"/>
        <v>2</v>
      </c>
      <c r="AC351" t="str">
        <f t="shared" si="57"/>
        <v>September</v>
      </c>
      <c r="AD351">
        <f t="shared" si="58"/>
        <v>2025</v>
      </c>
      <c r="AE351" t="str">
        <f t="shared" si="59"/>
        <v>CLEAN</v>
      </c>
    </row>
    <row r="352" spans="1:31">
      <c r="A352" t="s">
        <v>1178</v>
      </c>
      <c r="B352" s="3">
        <v>45298</v>
      </c>
      <c r="C352" s="3">
        <v>45305</v>
      </c>
      <c r="D352" t="s">
        <v>1179</v>
      </c>
      <c r="E352" t="s">
        <v>142</v>
      </c>
      <c r="F352" t="s">
        <v>47</v>
      </c>
      <c r="G352" t="s">
        <v>48</v>
      </c>
      <c r="H352" t="s">
        <v>240</v>
      </c>
      <c r="I352" t="s">
        <v>241</v>
      </c>
      <c r="J352" t="s">
        <v>51</v>
      </c>
      <c r="K352" t="s">
        <v>67</v>
      </c>
      <c r="L352" t="s">
        <v>1180</v>
      </c>
      <c r="M352" t="s">
        <v>41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112</v>
      </c>
      <c r="U352" t="s">
        <v>113</v>
      </c>
      <c r="V352" t="str">
        <f t="shared" si="50"/>
        <v/>
      </c>
      <c r="W352" t="str">
        <f t="shared" si="51"/>
        <v/>
      </c>
      <c r="X352">
        <f t="shared" si="52"/>
        <v>-0.10880696539805437</v>
      </c>
      <c r="Y352">
        <f t="shared" si="53"/>
        <v>11914.344000000001</v>
      </c>
      <c r="Z352">
        <f t="shared" si="54"/>
        <v>2143.1040000000012</v>
      </c>
      <c r="AA352">
        <f t="shared" si="55"/>
        <v>0.17987595456367561</v>
      </c>
      <c r="AB352">
        <f t="shared" si="56"/>
        <v>7</v>
      </c>
      <c r="AC352" t="str">
        <f t="shared" si="57"/>
        <v>January</v>
      </c>
      <c r="AD352">
        <f t="shared" si="58"/>
        <v>2024</v>
      </c>
      <c r="AE352" t="str">
        <f t="shared" si="59"/>
        <v>CLEAN</v>
      </c>
    </row>
    <row r="353" spans="1:31">
      <c r="A353" t="s">
        <v>1181</v>
      </c>
      <c r="B353" s="3">
        <v>45800</v>
      </c>
      <c r="C353" s="3">
        <v>45804</v>
      </c>
      <c r="D353" t="s">
        <v>1182</v>
      </c>
      <c r="E353" t="s">
        <v>81</v>
      </c>
      <c r="F353" t="s">
        <v>47</v>
      </c>
      <c r="G353" t="s">
        <v>64</v>
      </c>
      <c r="H353" t="s">
        <v>65</v>
      </c>
      <c r="I353" t="s">
        <v>66</v>
      </c>
      <c r="J353" t="s">
        <v>38</v>
      </c>
      <c r="K353" t="s">
        <v>134</v>
      </c>
      <c r="L353" t="s">
        <v>1183</v>
      </c>
      <c r="M353" t="s">
        <v>60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121</v>
      </c>
      <c r="U353" t="s">
        <v>78</v>
      </c>
      <c r="V353" t="str">
        <f t="shared" si="50"/>
        <v/>
      </c>
      <c r="W353" t="str">
        <f t="shared" si="51"/>
        <v/>
      </c>
      <c r="X353">
        <f t="shared" si="52"/>
        <v>1.3271856563895552</v>
      </c>
      <c r="Y353">
        <f t="shared" si="53"/>
        <v>3237.4800000000005</v>
      </c>
      <c r="Z353">
        <f t="shared" si="54"/>
        <v>1119.1400000000003</v>
      </c>
      <c r="AA353">
        <f t="shared" si="55"/>
        <v>0.34568244437031276</v>
      </c>
      <c r="AB353">
        <f t="shared" si="56"/>
        <v>4</v>
      </c>
      <c r="AC353" t="str">
        <f t="shared" si="57"/>
        <v>May</v>
      </c>
      <c r="AD353">
        <f t="shared" si="58"/>
        <v>2025</v>
      </c>
      <c r="AE353" t="str">
        <f t="shared" si="59"/>
        <v>WARNING</v>
      </c>
    </row>
    <row r="354" spans="1:31">
      <c r="A354" t="s">
        <v>1184</v>
      </c>
      <c r="B354" s="3">
        <v>45884</v>
      </c>
      <c r="C354" s="3">
        <v>45886</v>
      </c>
      <c r="D354" t="s">
        <v>1185</v>
      </c>
      <c r="E354" t="s">
        <v>172</v>
      </c>
      <c r="F354" t="s">
        <v>47</v>
      </c>
      <c r="G354" t="s">
        <v>48</v>
      </c>
      <c r="H354" t="s">
        <v>176</v>
      </c>
      <c r="I354" t="s">
        <v>177</v>
      </c>
      <c r="J354" t="s">
        <v>84</v>
      </c>
      <c r="K354" t="s">
        <v>90</v>
      </c>
      <c r="L354" t="s">
        <v>1186</v>
      </c>
      <c r="M354" t="s">
        <v>60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42</v>
      </c>
      <c r="U354" t="s">
        <v>43</v>
      </c>
      <c r="V354" t="str">
        <f t="shared" si="50"/>
        <v/>
      </c>
      <c r="W354" t="str">
        <f t="shared" si="51"/>
        <v/>
      </c>
      <c r="X354">
        <f t="shared" si="52"/>
        <v>1.3271856563895552</v>
      </c>
      <c r="Y354">
        <f t="shared" si="53"/>
        <v>10734.75</v>
      </c>
      <c r="Z354">
        <f t="shared" si="54"/>
        <v>4259.0200000000004</v>
      </c>
      <c r="AA354">
        <f t="shared" si="55"/>
        <v>0.39675073942103917</v>
      </c>
      <c r="AB354">
        <f t="shared" si="56"/>
        <v>2</v>
      </c>
      <c r="AC354" t="str">
        <f t="shared" si="57"/>
        <v>August</v>
      </c>
      <c r="AD354">
        <f t="shared" si="58"/>
        <v>2025</v>
      </c>
      <c r="AE354" t="str">
        <f t="shared" si="59"/>
        <v>CLEAN</v>
      </c>
    </row>
    <row r="355" spans="1:31">
      <c r="A355" t="s">
        <v>1187</v>
      </c>
      <c r="B355" s="3">
        <v>45709</v>
      </c>
      <c r="C355" s="3">
        <v>45715</v>
      </c>
      <c r="D355" t="s">
        <v>1188</v>
      </c>
      <c r="E355" t="s">
        <v>72</v>
      </c>
      <c r="F355" t="s">
        <v>34</v>
      </c>
      <c r="G355" t="s">
        <v>35</v>
      </c>
      <c r="H355" t="s">
        <v>36</v>
      </c>
      <c r="I355" t="s">
        <v>37</v>
      </c>
      <c r="J355" t="s">
        <v>38</v>
      </c>
      <c r="K355" t="s">
        <v>58</v>
      </c>
      <c r="L355" t="s">
        <v>1189</v>
      </c>
      <c r="M355" t="s">
        <v>54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42</v>
      </c>
      <c r="U355" t="s">
        <v>43</v>
      </c>
      <c r="V355" t="str">
        <f t="shared" si="50"/>
        <v/>
      </c>
      <c r="W355" t="str">
        <f t="shared" si="51"/>
        <v/>
      </c>
      <c r="X355">
        <f t="shared" si="52"/>
        <v>0.84852144912701888</v>
      </c>
      <c r="Y355">
        <f t="shared" si="53"/>
        <v>10308.024000000001</v>
      </c>
      <c r="Z355">
        <f t="shared" si="54"/>
        <v>4485.7140000000009</v>
      </c>
      <c r="AA355">
        <f t="shared" si="55"/>
        <v>0.4351672056642476</v>
      </c>
      <c r="AB355">
        <f t="shared" si="56"/>
        <v>6</v>
      </c>
      <c r="AC355" t="str">
        <f t="shared" si="57"/>
        <v>February</v>
      </c>
      <c r="AD355">
        <f t="shared" si="58"/>
        <v>2025</v>
      </c>
      <c r="AE355" t="str">
        <f t="shared" si="59"/>
        <v>CLEAN</v>
      </c>
    </row>
    <row r="356" spans="1:31">
      <c r="A356" t="s">
        <v>1190</v>
      </c>
      <c r="B356" s="3">
        <v>45653</v>
      </c>
      <c r="C356" s="3">
        <v>45657</v>
      </c>
      <c r="D356" t="s">
        <v>1191</v>
      </c>
      <c r="E356" t="s">
        <v>276</v>
      </c>
      <c r="F356" t="s">
        <v>1192</v>
      </c>
      <c r="G356" t="s">
        <v>35</v>
      </c>
      <c r="H356" t="s">
        <v>132</v>
      </c>
      <c r="I356" t="s">
        <v>133</v>
      </c>
      <c r="J356" t="s">
        <v>51</v>
      </c>
      <c r="K356" t="s">
        <v>67</v>
      </c>
      <c r="L356" t="s">
        <v>1193</v>
      </c>
      <c r="M356" t="s">
        <v>69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121</v>
      </c>
      <c r="U356" t="s">
        <v>78</v>
      </c>
      <c r="V356" t="str">
        <f t="shared" si="50"/>
        <v>Invalid Discount</v>
      </c>
      <c r="W356" t="str">
        <f t="shared" si="51"/>
        <v/>
      </c>
      <c r="X356">
        <f t="shared" si="52"/>
        <v>-1.6405324286381717</v>
      </c>
      <c r="Y356">
        <f t="shared" si="53"/>
        <v>21285.520800000002</v>
      </c>
      <c r="Z356">
        <f t="shared" si="54"/>
        <v>8376.6808000000019</v>
      </c>
      <c r="AA356">
        <f t="shared" si="55"/>
        <v>0.39353891683965753</v>
      </c>
      <c r="AB356">
        <f t="shared" si="56"/>
        <v>4</v>
      </c>
      <c r="AC356" t="str">
        <f t="shared" si="57"/>
        <v>December</v>
      </c>
      <c r="AD356">
        <f t="shared" si="58"/>
        <v>2024</v>
      </c>
      <c r="AE356" t="str">
        <f t="shared" si="59"/>
        <v>INVALID</v>
      </c>
    </row>
    <row r="357" spans="1:31">
      <c r="A357" t="s">
        <v>1194</v>
      </c>
      <c r="B357" s="3">
        <v>45424</v>
      </c>
      <c r="C357" s="3">
        <v>45421</v>
      </c>
      <c r="D357" t="s">
        <v>1195</v>
      </c>
      <c r="E357" t="s">
        <v>124</v>
      </c>
      <c r="F357" t="s">
        <v>100</v>
      </c>
      <c r="G357" t="s">
        <v>73</v>
      </c>
      <c r="H357" t="s">
        <v>36</v>
      </c>
      <c r="I357" t="s">
        <v>119</v>
      </c>
      <c r="J357" t="s">
        <v>51</v>
      </c>
      <c r="K357" t="s">
        <v>52</v>
      </c>
      <c r="L357" t="s">
        <v>1196</v>
      </c>
      <c r="M357" t="s">
        <v>69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121</v>
      </c>
      <c r="U357" t="s">
        <v>78</v>
      </c>
      <c r="V357" t="str">
        <f t="shared" si="50"/>
        <v/>
      </c>
      <c r="W357" t="str">
        <f t="shared" si="51"/>
        <v>Invalid Shipping Record</v>
      </c>
      <c r="X357">
        <f t="shared" si="52"/>
        <v>-1.0661353799231277</v>
      </c>
      <c r="Y357">
        <f t="shared" si="53"/>
        <v>16017.4</v>
      </c>
      <c r="Z357">
        <f t="shared" si="54"/>
        <v>6459.6</v>
      </c>
      <c r="AA357">
        <f t="shared" si="55"/>
        <v>0.40328642601171227</v>
      </c>
      <c r="AB357" t="e">
        <f t="shared" si="56"/>
        <v>#NUM!</v>
      </c>
      <c r="AC357" t="str">
        <f t="shared" si="57"/>
        <v>May</v>
      </c>
      <c r="AD357">
        <f t="shared" si="58"/>
        <v>2024</v>
      </c>
      <c r="AE357" t="str">
        <f t="shared" si="59"/>
        <v>INVALID</v>
      </c>
    </row>
    <row r="358" spans="1:31">
      <c r="A358" t="s">
        <v>1197</v>
      </c>
      <c r="B358" s="3">
        <v>45835</v>
      </c>
      <c r="C358" s="3">
        <v>45837</v>
      </c>
      <c r="D358" t="s">
        <v>1198</v>
      </c>
      <c r="E358" t="s">
        <v>151</v>
      </c>
      <c r="F358" t="s">
        <v>105</v>
      </c>
      <c r="G358" t="s">
        <v>64</v>
      </c>
      <c r="H358" t="s">
        <v>65</v>
      </c>
      <c r="I358" t="s">
        <v>66</v>
      </c>
      <c r="J358" t="s">
        <v>51</v>
      </c>
      <c r="K358" t="s">
        <v>76</v>
      </c>
      <c r="L358" t="s">
        <v>1199</v>
      </c>
      <c r="M358" t="s">
        <v>60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121</v>
      </c>
      <c r="U358" t="s">
        <v>113</v>
      </c>
      <c r="V358" t="str">
        <f t="shared" si="50"/>
        <v/>
      </c>
      <c r="W358" t="str">
        <f t="shared" si="51"/>
        <v/>
      </c>
      <c r="X358">
        <f t="shared" si="52"/>
        <v>0.84852144912701888</v>
      </c>
      <c r="Y358">
        <f t="shared" si="53"/>
        <v>2486.8000000000002</v>
      </c>
      <c r="Z358">
        <f t="shared" si="54"/>
        <v>355.07000000000016</v>
      </c>
      <c r="AA358">
        <f t="shared" si="55"/>
        <v>0.1427818883705968</v>
      </c>
      <c r="AB358">
        <f t="shared" si="56"/>
        <v>2</v>
      </c>
      <c r="AC358" t="str">
        <f t="shared" si="57"/>
        <v>June</v>
      </c>
      <c r="AD358">
        <f t="shared" si="58"/>
        <v>2025</v>
      </c>
      <c r="AE358" t="str">
        <f t="shared" si="59"/>
        <v>CLEAN</v>
      </c>
    </row>
    <row r="359" spans="1:31">
      <c r="A359" t="s">
        <v>1200</v>
      </c>
      <c r="B359" s="3">
        <v>45678</v>
      </c>
      <c r="C359" s="3">
        <v>45686</v>
      </c>
      <c r="D359" t="s">
        <v>1201</v>
      </c>
      <c r="E359" t="s">
        <v>46</v>
      </c>
      <c r="F359" t="s">
        <v>105</v>
      </c>
      <c r="G359" t="s">
        <v>64</v>
      </c>
      <c r="H359" t="s">
        <v>94</v>
      </c>
      <c r="I359" t="s">
        <v>95</v>
      </c>
      <c r="J359" t="s">
        <v>84</v>
      </c>
      <c r="K359" t="s">
        <v>286</v>
      </c>
      <c r="L359" t="s">
        <v>1202</v>
      </c>
      <c r="M359" t="s">
        <v>41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42</v>
      </c>
      <c r="U359" t="s">
        <v>78</v>
      </c>
      <c r="V359" t="str">
        <f t="shared" si="50"/>
        <v/>
      </c>
      <c r="W359" t="str">
        <f t="shared" si="51"/>
        <v/>
      </c>
      <c r="X359">
        <f t="shared" si="52"/>
        <v>-1.0661353799231277</v>
      </c>
      <c r="Y359">
        <f t="shared" si="53"/>
        <v>4369.04</v>
      </c>
      <c r="Z359">
        <f t="shared" si="54"/>
        <v>652.15999999999985</v>
      </c>
      <c r="AA359">
        <f t="shared" si="55"/>
        <v>0.14926848918755603</v>
      </c>
      <c r="AB359">
        <f t="shared" si="56"/>
        <v>8</v>
      </c>
      <c r="AC359" t="str">
        <f t="shared" si="57"/>
        <v>January</v>
      </c>
      <c r="AD359">
        <f t="shared" si="58"/>
        <v>2025</v>
      </c>
      <c r="AE359" t="str">
        <f t="shared" si="59"/>
        <v>WARNING</v>
      </c>
    </row>
    <row r="360" spans="1:31">
      <c r="A360" t="s">
        <v>1203</v>
      </c>
      <c r="B360" s="3">
        <v>45908</v>
      </c>
      <c r="C360" s="3">
        <v>45876</v>
      </c>
      <c r="D360" t="s">
        <v>1204</v>
      </c>
      <c r="E360" t="s">
        <v>81</v>
      </c>
      <c r="F360" t="s">
        <v>105</v>
      </c>
      <c r="G360" t="s">
        <v>73</v>
      </c>
      <c r="H360" t="s">
        <v>190</v>
      </c>
      <c r="I360" t="s">
        <v>191</v>
      </c>
      <c r="J360" t="s">
        <v>51</v>
      </c>
      <c r="K360" t="s">
        <v>168</v>
      </c>
      <c r="L360" t="s">
        <v>1205</v>
      </c>
      <c r="M360" t="s">
        <v>41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121</v>
      </c>
      <c r="U360" t="s">
        <v>113</v>
      </c>
      <c r="V360" t="str">
        <f t="shared" si="50"/>
        <v/>
      </c>
      <c r="W360" t="str">
        <f t="shared" si="51"/>
        <v>Invalid Shipping Record</v>
      </c>
      <c r="X360">
        <f t="shared" si="52"/>
        <v>-0.58747117266059101</v>
      </c>
      <c r="Y360">
        <f t="shared" si="53"/>
        <v>5956.12</v>
      </c>
      <c r="Z360">
        <f t="shared" si="54"/>
        <v>1576.9399999999996</v>
      </c>
      <c r="AA360">
        <f t="shared" si="55"/>
        <v>0.26475960860425907</v>
      </c>
      <c r="AB360" t="e">
        <f t="shared" si="56"/>
        <v>#NUM!</v>
      </c>
      <c r="AC360" t="str">
        <f t="shared" si="57"/>
        <v>September</v>
      </c>
      <c r="AD360">
        <f t="shared" si="58"/>
        <v>2025</v>
      </c>
      <c r="AE360" t="str">
        <f t="shared" si="59"/>
        <v>INVALID</v>
      </c>
    </row>
    <row r="361" spans="1:31">
      <c r="A361" t="s">
        <v>1206</v>
      </c>
      <c r="B361" s="3">
        <v>45525</v>
      </c>
      <c r="C361" s="3">
        <v>45526</v>
      </c>
      <c r="D361" t="s">
        <v>1207</v>
      </c>
      <c r="E361" t="s">
        <v>57</v>
      </c>
      <c r="F361" t="s">
        <v>34</v>
      </c>
      <c r="G361" t="s">
        <v>64</v>
      </c>
      <c r="H361" t="s">
        <v>259</v>
      </c>
      <c r="I361" t="s">
        <v>260</v>
      </c>
      <c r="J361" t="s">
        <v>84</v>
      </c>
      <c r="K361" t="s">
        <v>181</v>
      </c>
      <c r="L361" t="s">
        <v>1208</v>
      </c>
      <c r="M361" t="s">
        <v>54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42</v>
      </c>
      <c r="U361" t="s">
        <v>43</v>
      </c>
      <c r="V361" t="str">
        <f t="shared" si="50"/>
        <v/>
      </c>
      <c r="W361" t="str">
        <f t="shared" si="51"/>
        <v/>
      </c>
      <c r="X361">
        <f t="shared" si="52"/>
        <v>-0.10880696539805437</v>
      </c>
      <c r="Y361">
        <f t="shared" si="53"/>
        <v>4997.3760000000002</v>
      </c>
      <c r="Z361">
        <f t="shared" si="54"/>
        <v>2025.9860000000003</v>
      </c>
      <c r="AA361">
        <f t="shared" si="55"/>
        <v>0.40540995914656014</v>
      </c>
      <c r="AB361">
        <f t="shared" si="56"/>
        <v>1</v>
      </c>
      <c r="AC361" t="str">
        <f t="shared" si="57"/>
        <v>August</v>
      </c>
      <c r="AD361">
        <f t="shared" si="58"/>
        <v>2024</v>
      </c>
      <c r="AE361" t="str">
        <f t="shared" si="59"/>
        <v>CLEAN</v>
      </c>
    </row>
    <row r="362" spans="1:31">
      <c r="A362" t="s">
        <v>1209</v>
      </c>
      <c r="B362" s="3">
        <v>45460</v>
      </c>
      <c r="C362" s="3">
        <v>45463</v>
      </c>
      <c r="D362" t="s">
        <v>1210</v>
      </c>
      <c r="E362" t="s">
        <v>142</v>
      </c>
      <c r="F362" t="s">
        <v>47</v>
      </c>
      <c r="G362" t="s">
        <v>73</v>
      </c>
      <c r="H362" t="s">
        <v>190</v>
      </c>
      <c r="I362" t="s">
        <v>191</v>
      </c>
      <c r="J362" t="s">
        <v>51</v>
      </c>
      <c r="K362" t="s">
        <v>67</v>
      </c>
      <c r="L362" t="s">
        <v>1211</v>
      </c>
      <c r="M362" t="s">
        <v>69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112</v>
      </c>
      <c r="U362" t="s">
        <v>78</v>
      </c>
      <c r="V362" t="str">
        <f t="shared" si="50"/>
        <v/>
      </c>
      <c r="W362" t="str">
        <f t="shared" si="51"/>
        <v/>
      </c>
      <c r="X362">
        <f t="shared" si="52"/>
        <v>0.84852144912701888</v>
      </c>
      <c r="Y362">
        <f t="shared" si="53"/>
        <v>17669.400000000001</v>
      </c>
      <c r="Z362">
        <f t="shared" si="54"/>
        <v>3950.630000000001</v>
      </c>
      <c r="AA362">
        <f t="shared" si="55"/>
        <v>0.2235859734908939</v>
      </c>
      <c r="AB362">
        <f t="shared" si="56"/>
        <v>3</v>
      </c>
      <c r="AC362" t="str">
        <f t="shared" si="57"/>
        <v>June</v>
      </c>
      <c r="AD362">
        <f t="shared" si="58"/>
        <v>2024</v>
      </c>
      <c r="AE362" t="str">
        <f t="shared" si="59"/>
        <v>WARNING</v>
      </c>
    </row>
    <row r="363" spans="1:31">
      <c r="A363" t="s">
        <v>1212</v>
      </c>
      <c r="B363" s="3">
        <v>45748</v>
      </c>
      <c r="C363" s="3">
        <v>45749</v>
      </c>
      <c r="D363" t="s">
        <v>1213</v>
      </c>
      <c r="E363" t="s">
        <v>151</v>
      </c>
      <c r="F363" t="s">
        <v>100</v>
      </c>
      <c r="G363" t="s">
        <v>48</v>
      </c>
      <c r="H363" t="s">
        <v>49</v>
      </c>
      <c r="I363" t="s">
        <v>50</v>
      </c>
      <c r="J363" t="s">
        <v>51</v>
      </c>
      <c r="K363" t="s">
        <v>76</v>
      </c>
      <c r="L363" t="s">
        <v>1214</v>
      </c>
      <c r="M363" t="s">
        <v>41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121</v>
      </c>
      <c r="U363" t="s">
        <v>113</v>
      </c>
      <c r="V363" t="str">
        <f t="shared" si="50"/>
        <v/>
      </c>
      <c r="W363" t="str">
        <f t="shared" si="51"/>
        <v/>
      </c>
      <c r="X363">
        <f t="shared" si="52"/>
        <v>-0.58747117266059101</v>
      </c>
      <c r="Y363">
        <f t="shared" si="53"/>
        <v>35615.709000000003</v>
      </c>
      <c r="Z363">
        <f t="shared" si="54"/>
        <v>15225.999000000003</v>
      </c>
      <c r="AA363">
        <f t="shared" si="55"/>
        <v>0.42750795723314122</v>
      </c>
      <c r="AB363">
        <f t="shared" si="56"/>
        <v>1</v>
      </c>
      <c r="AC363" t="str">
        <f t="shared" si="57"/>
        <v>April</v>
      </c>
      <c r="AD363">
        <f t="shared" si="58"/>
        <v>2025</v>
      </c>
      <c r="AE363" t="str">
        <f t="shared" si="59"/>
        <v>CLEAN</v>
      </c>
    </row>
    <row r="364" spans="1:31">
      <c r="A364" t="s">
        <v>1215</v>
      </c>
      <c r="B364" s="3">
        <v>45527</v>
      </c>
      <c r="C364" s="3">
        <v>45529</v>
      </c>
      <c r="D364" t="s">
        <v>1216</v>
      </c>
      <c r="E364" t="s">
        <v>81</v>
      </c>
      <c r="F364" t="s">
        <v>34</v>
      </c>
      <c r="G364" t="s">
        <v>73</v>
      </c>
      <c r="H364" t="s">
        <v>200</v>
      </c>
      <c r="I364" t="s">
        <v>201</v>
      </c>
      <c r="J364" t="s">
        <v>84</v>
      </c>
      <c r="K364" t="s">
        <v>286</v>
      </c>
      <c r="L364" t="s">
        <v>1217</v>
      </c>
      <c r="M364" t="s">
        <v>54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42</v>
      </c>
      <c r="U364" t="s">
        <v>43</v>
      </c>
      <c r="V364" t="str">
        <f t="shared" si="50"/>
        <v/>
      </c>
      <c r="W364" t="str">
        <f t="shared" si="51"/>
        <v/>
      </c>
      <c r="X364">
        <f t="shared" si="52"/>
        <v>-0.58747117266059101</v>
      </c>
      <c r="Y364">
        <f t="shared" si="53"/>
        <v>1866.4079999999999</v>
      </c>
      <c r="Z364">
        <f t="shared" si="54"/>
        <v>289.91799999999989</v>
      </c>
      <c r="AA364">
        <f t="shared" si="55"/>
        <v>0.15533473924243782</v>
      </c>
      <c r="AB364">
        <f t="shared" si="56"/>
        <v>2</v>
      </c>
      <c r="AC364" t="str">
        <f t="shared" si="57"/>
        <v>August</v>
      </c>
      <c r="AD364">
        <f t="shared" si="58"/>
        <v>2024</v>
      </c>
      <c r="AE364" t="str">
        <f t="shared" si="59"/>
        <v>CLEAN</v>
      </c>
    </row>
    <row r="365" spans="1:31">
      <c r="A365" t="s">
        <v>1218</v>
      </c>
      <c r="B365" s="3">
        <v>45845</v>
      </c>
      <c r="C365" s="3">
        <v>45998</v>
      </c>
      <c r="D365" t="s">
        <v>1219</v>
      </c>
      <c r="E365" t="s">
        <v>172</v>
      </c>
      <c r="F365" t="s">
        <v>100</v>
      </c>
      <c r="G365" t="s">
        <v>48</v>
      </c>
      <c r="H365" t="s">
        <v>109</v>
      </c>
      <c r="I365" t="s">
        <v>110</v>
      </c>
      <c r="J365" t="s">
        <v>51</v>
      </c>
      <c r="K365" t="s">
        <v>52</v>
      </c>
      <c r="L365" t="s">
        <v>1220</v>
      </c>
      <c r="M365" t="s">
        <v>41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42</v>
      </c>
      <c r="U365" t="s">
        <v>43</v>
      </c>
      <c r="V365" t="str">
        <f t="shared" si="50"/>
        <v/>
      </c>
      <c r="W365" t="str">
        <f t="shared" si="51"/>
        <v/>
      </c>
      <c r="X365">
        <f t="shared" si="52"/>
        <v>1.3271856563895552</v>
      </c>
      <c r="Y365">
        <f t="shared" si="53"/>
        <v>6867.6374999999989</v>
      </c>
      <c r="Z365">
        <f t="shared" si="54"/>
        <v>1662.2774999999992</v>
      </c>
      <c r="AA365">
        <f t="shared" si="55"/>
        <v>0.24204502640100028</v>
      </c>
      <c r="AB365">
        <f t="shared" si="56"/>
        <v>153</v>
      </c>
      <c r="AC365" t="str">
        <f t="shared" si="57"/>
        <v>July</v>
      </c>
      <c r="AD365">
        <f t="shared" si="58"/>
        <v>2025</v>
      </c>
      <c r="AE365" t="str">
        <f t="shared" si="59"/>
        <v>CLEAN</v>
      </c>
    </row>
    <row r="366" spans="1:31">
      <c r="A366" t="s">
        <v>1221</v>
      </c>
      <c r="B366" s="3">
        <v>45737</v>
      </c>
      <c r="C366" s="3">
        <v>45740</v>
      </c>
      <c r="D366" t="s">
        <v>1222</v>
      </c>
      <c r="E366" t="s">
        <v>138</v>
      </c>
      <c r="F366" t="s">
        <v>47</v>
      </c>
      <c r="G366" t="s">
        <v>64</v>
      </c>
      <c r="H366" t="s">
        <v>94</v>
      </c>
      <c r="I366" t="s">
        <v>95</v>
      </c>
      <c r="J366" t="s">
        <v>51</v>
      </c>
      <c r="K366" t="s">
        <v>76</v>
      </c>
      <c r="L366" t="s">
        <v>1223</v>
      </c>
      <c r="M366" t="s">
        <v>41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42</v>
      </c>
      <c r="U366" t="s">
        <v>43</v>
      </c>
      <c r="V366" t="str">
        <f t="shared" si="50"/>
        <v/>
      </c>
      <c r="W366" t="str">
        <f t="shared" si="51"/>
        <v/>
      </c>
      <c r="X366">
        <f t="shared" si="52"/>
        <v>-1.0661353799231277</v>
      </c>
      <c r="Y366">
        <f t="shared" si="53"/>
        <v>6195.75</v>
      </c>
      <c r="Z366">
        <f t="shared" si="54"/>
        <v>2228.73</v>
      </c>
      <c r="AA366">
        <f t="shared" si="55"/>
        <v>0.35971916232901585</v>
      </c>
      <c r="AB366">
        <f t="shared" si="56"/>
        <v>3</v>
      </c>
      <c r="AC366" t="str">
        <f t="shared" si="57"/>
        <v>March</v>
      </c>
      <c r="AD366">
        <f t="shared" si="58"/>
        <v>2025</v>
      </c>
      <c r="AE366" t="str">
        <f t="shared" si="59"/>
        <v>CLEAN</v>
      </c>
    </row>
    <row r="367" spans="1:31">
      <c r="A367" t="s">
        <v>1224</v>
      </c>
      <c r="B367" s="3">
        <v>45458</v>
      </c>
      <c r="C367" s="3">
        <v>45464</v>
      </c>
      <c r="D367" t="s">
        <v>1225</v>
      </c>
      <c r="E367" t="s">
        <v>99</v>
      </c>
      <c r="F367" t="s">
        <v>100</v>
      </c>
      <c r="G367" t="s">
        <v>73</v>
      </c>
      <c r="H367" t="s">
        <v>200</v>
      </c>
      <c r="I367" t="s">
        <v>201</v>
      </c>
      <c r="J367" t="s">
        <v>84</v>
      </c>
      <c r="K367" t="s">
        <v>85</v>
      </c>
      <c r="L367" t="s">
        <v>1226</v>
      </c>
      <c r="M367" t="s">
        <v>60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42</v>
      </c>
      <c r="U367" t="s">
        <v>43</v>
      </c>
      <c r="V367" t="str">
        <f t="shared" si="50"/>
        <v/>
      </c>
      <c r="W367" t="str">
        <f t="shared" si="51"/>
        <v/>
      </c>
      <c r="X367">
        <f t="shared" si="52"/>
        <v>-1.0661353799231277</v>
      </c>
      <c r="Y367">
        <f t="shared" si="53"/>
        <v>13651.2</v>
      </c>
      <c r="Z367">
        <f t="shared" si="54"/>
        <v>3531.59</v>
      </c>
      <c r="AA367">
        <f t="shared" si="55"/>
        <v>0.2587017991092358</v>
      </c>
      <c r="AB367">
        <f t="shared" si="56"/>
        <v>6</v>
      </c>
      <c r="AC367" t="str">
        <f t="shared" si="57"/>
        <v>June</v>
      </c>
      <c r="AD367">
        <f t="shared" si="58"/>
        <v>2024</v>
      </c>
      <c r="AE367" t="str">
        <f t="shared" si="59"/>
        <v>CLEAN</v>
      </c>
    </row>
    <row r="368" spans="1:31">
      <c r="A368" t="s">
        <v>1227</v>
      </c>
      <c r="B368" s="3">
        <v>45673</v>
      </c>
      <c r="C368" s="3">
        <v>45679</v>
      </c>
      <c r="D368" t="s">
        <v>1228</v>
      </c>
      <c r="E368" t="s">
        <v>142</v>
      </c>
      <c r="F368" t="s">
        <v>100</v>
      </c>
      <c r="G368" t="s">
        <v>35</v>
      </c>
      <c r="H368" t="s">
        <v>36</v>
      </c>
      <c r="I368" t="s">
        <v>37</v>
      </c>
      <c r="J368" t="s">
        <v>51</v>
      </c>
      <c r="K368" t="s">
        <v>52</v>
      </c>
      <c r="L368" t="s">
        <v>1229</v>
      </c>
      <c r="M368" t="s">
        <v>54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42</v>
      </c>
      <c r="U368" t="s">
        <v>43</v>
      </c>
      <c r="V368" t="str">
        <f t="shared" si="50"/>
        <v/>
      </c>
      <c r="W368" t="str">
        <f t="shared" si="51"/>
        <v/>
      </c>
      <c r="X368">
        <f t="shared" si="52"/>
        <v>-1.0661353799231277</v>
      </c>
      <c r="Y368">
        <f t="shared" si="53"/>
        <v>8836.56</v>
      </c>
      <c r="Z368">
        <f t="shared" si="54"/>
        <v>2968.8099999999995</v>
      </c>
      <c r="AA368">
        <f t="shared" si="55"/>
        <v>0.33596897435201023</v>
      </c>
      <c r="AB368">
        <f t="shared" si="56"/>
        <v>6</v>
      </c>
      <c r="AC368" t="str">
        <f t="shared" si="57"/>
        <v>January</v>
      </c>
      <c r="AD368">
        <f t="shared" si="58"/>
        <v>2025</v>
      </c>
      <c r="AE368" t="str">
        <f t="shared" si="59"/>
        <v>CLEAN</v>
      </c>
    </row>
    <row r="369" spans="1:31">
      <c r="A369" t="s">
        <v>1230</v>
      </c>
      <c r="B369" s="3">
        <v>45366</v>
      </c>
      <c r="C369" s="3">
        <v>45367</v>
      </c>
      <c r="D369" t="s">
        <v>1231</v>
      </c>
      <c r="E369" t="s">
        <v>151</v>
      </c>
      <c r="F369" t="s">
        <v>34</v>
      </c>
      <c r="G369" t="s">
        <v>35</v>
      </c>
      <c r="H369" t="s">
        <v>362</v>
      </c>
      <c r="I369" t="s">
        <v>363</v>
      </c>
      <c r="J369" t="s">
        <v>38</v>
      </c>
      <c r="K369" t="s">
        <v>58</v>
      </c>
      <c r="L369" t="s">
        <v>1232</v>
      </c>
      <c r="M369" t="s">
        <v>69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165</v>
      </c>
      <c r="U369" t="s">
        <v>78</v>
      </c>
      <c r="V369" t="str">
        <f t="shared" si="50"/>
        <v/>
      </c>
      <c r="W369" t="str">
        <f t="shared" si="51"/>
        <v/>
      </c>
      <c r="X369">
        <f t="shared" si="52"/>
        <v>0.3698572418644821</v>
      </c>
      <c r="Y369">
        <f t="shared" si="53"/>
        <v>19456.958999999999</v>
      </c>
      <c r="Z369">
        <f t="shared" si="54"/>
        <v>4936.8989999999994</v>
      </c>
      <c r="AA369">
        <f t="shared" si="55"/>
        <v>0.25373435797443988</v>
      </c>
      <c r="AB369">
        <f t="shared" si="56"/>
        <v>1</v>
      </c>
      <c r="AC369" t="str">
        <f t="shared" si="57"/>
        <v>March</v>
      </c>
      <c r="AD369">
        <f t="shared" si="58"/>
        <v>2024</v>
      </c>
      <c r="AE369" t="str">
        <f t="shared" si="59"/>
        <v>WARNING</v>
      </c>
    </row>
    <row r="370" spans="1:31">
      <c r="A370" t="s">
        <v>1233</v>
      </c>
      <c r="B370" s="3">
        <v>45844</v>
      </c>
      <c r="C370" s="3">
        <v>45844</v>
      </c>
      <c r="D370" t="s">
        <v>1234</v>
      </c>
      <c r="E370" t="s">
        <v>138</v>
      </c>
      <c r="F370" t="s">
        <v>105</v>
      </c>
      <c r="G370" t="s">
        <v>35</v>
      </c>
      <c r="H370" t="s">
        <v>36</v>
      </c>
      <c r="I370" t="s">
        <v>37</v>
      </c>
      <c r="J370" t="s">
        <v>84</v>
      </c>
      <c r="K370" t="s">
        <v>85</v>
      </c>
      <c r="L370" t="s">
        <v>1235</v>
      </c>
      <c r="M370" t="s">
        <v>54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112</v>
      </c>
      <c r="U370" t="s">
        <v>113</v>
      </c>
      <c r="V370" t="str">
        <f t="shared" si="50"/>
        <v/>
      </c>
      <c r="W370" t="str">
        <f t="shared" si="51"/>
        <v/>
      </c>
      <c r="X370">
        <f t="shared" si="52"/>
        <v>-0.58747117266059101</v>
      </c>
      <c r="Y370">
        <f t="shared" si="53"/>
        <v>2079.2745</v>
      </c>
      <c r="Z370">
        <f t="shared" si="54"/>
        <v>567.10449999999992</v>
      </c>
      <c r="AA370">
        <f t="shared" si="55"/>
        <v>0.27274152595051782</v>
      </c>
      <c r="AB370">
        <f t="shared" si="56"/>
        <v>0</v>
      </c>
      <c r="AC370" t="str">
        <f t="shared" si="57"/>
        <v>July</v>
      </c>
      <c r="AD370">
        <f t="shared" si="58"/>
        <v>2025</v>
      </c>
      <c r="AE370" t="str">
        <f t="shared" si="59"/>
        <v>CLEAN</v>
      </c>
    </row>
    <row r="371" spans="1:31">
      <c r="A371" t="s">
        <v>1236</v>
      </c>
      <c r="B371" s="3">
        <v>45680</v>
      </c>
      <c r="C371" s="3">
        <v>45687</v>
      </c>
      <c r="D371" t="s">
        <v>1237</v>
      </c>
      <c r="E371" t="s">
        <v>124</v>
      </c>
      <c r="F371" t="s">
        <v>34</v>
      </c>
      <c r="G371" t="s">
        <v>35</v>
      </c>
      <c r="H371" t="s">
        <v>362</v>
      </c>
      <c r="I371" t="s">
        <v>363</v>
      </c>
      <c r="J371" t="s">
        <v>38</v>
      </c>
      <c r="K371" t="s">
        <v>101</v>
      </c>
      <c r="L371" t="s">
        <v>1238</v>
      </c>
      <c r="M371" t="s">
        <v>69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42</v>
      </c>
      <c r="U371" t="s">
        <v>43</v>
      </c>
      <c r="V371" t="str">
        <f t="shared" si="50"/>
        <v/>
      </c>
      <c r="W371" t="str">
        <f t="shared" si="51"/>
        <v/>
      </c>
      <c r="X371">
        <f t="shared" si="52"/>
        <v>0.3698572418644821</v>
      </c>
      <c r="Y371">
        <f t="shared" si="53"/>
        <v>8945.6804999999986</v>
      </c>
      <c r="Z371">
        <f t="shared" si="54"/>
        <v>2205.3304999999982</v>
      </c>
      <c r="AA371">
        <f t="shared" si="55"/>
        <v>0.24652462157574245</v>
      </c>
      <c r="AB371">
        <f t="shared" si="56"/>
        <v>7</v>
      </c>
      <c r="AC371" t="str">
        <f t="shared" si="57"/>
        <v>January</v>
      </c>
      <c r="AD371">
        <f t="shared" si="58"/>
        <v>2025</v>
      </c>
      <c r="AE371" t="str">
        <f t="shared" si="59"/>
        <v>CLEAN</v>
      </c>
    </row>
    <row r="372" spans="1:31">
      <c r="A372" t="s">
        <v>1239</v>
      </c>
      <c r="B372" s="3">
        <v>45519</v>
      </c>
      <c r="C372" s="3">
        <v>45525</v>
      </c>
      <c r="D372" t="s">
        <v>1240</v>
      </c>
      <c r="E372" t="s">
        <v>72</v>
      </c>
      <c r="F372" t="s">
        <v>47</v>
      </c>
      <c r="G372" t="s">
        <v>73</v>
      </c>
      <c r="H372" t="s">
        <v>36</v>
      </c>
      <c r="I372" t="s">
        <v>119</v>
      </c>
      <c r="J372" t="s">
        <v>84</v>
      </c>
      <c r="K372" t="s">
        <v>90</v>
      </c>
      <c r="L372" t="s">
        <v>1241</v>
      </c>
      <c r="M372" t="s">
        <v>60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42</v>
      </c>
      <c r="U372" t="s">
        <v>43</v>
      </c>
      <c r="V372" t="str">
        <f t="shared" si="50"/>
        <v/>
      </c>
      <c r="W372" t="str">
        <f t="shared" si="51"/>
        <v/>
      </c>
      <c r="X372">
        <f t="shared" si="52"/>
        <v>0.84852144912701888</v>
      </c>
      <c r="Y372">
        <f t="shared" si="53"/>
        <v>13069.336000000001</v>
      </c>
      <c r="Z372">
        <f t="shared" si="54"/>
        <v>4300.746000000001</v>
      </c>
      <c r="AA372">
        <f t="shared" si="55"/>
        <v>0.32907149988339124</v>
      </c>
      <c r="AB372">
        <f t="shared" si="56"/>
        <v>6</v>
      </c>
      <c r="AC372" t="str">
        <f t="shared" si="57"/>
        <v>August</v>
      </c>
      <c r="AD372">
        <f t="shared" si="58"/>
        <v>2024</v>
      </c>
      <c r="AE372" t="str">
        <f t="shared" si="59"/>
        <v>CLEAN</v>
      </c>
    </row>
    <row r="373" spans="1:31">
      <c r="A373" t="s">
        <v>1242</v>
      </c>
      <c r="B373" s="3">
        <v>45313</v>
      </c>
      <c r="C373" s="3">
        <v>45315</v>
      </c>
      <c r="D373" t="s">
        <v>1243</v>
      </c>
      <c r="E373" t="s">
        <v>172</v>
      </c>
      <c r="F373" t="s">
        <v>105</v>
      </c>
      <c r="G373" t="s">
        <v>73</v>
      </c>
      <c r="H373" t="s">
        <v>74</v>
      </c>
      <c r="I373" t="s">
        <v>75</v>
      </c>
      <c r="J373" t="s">
        <v>38</v>
      </c>
      <c r="K373" t="s">
        <v>58</v>
      </c>
      <c r="L373" t="s">
        <v>1244</v>
      </c>
      <c r="M373" t="s">
        <v>69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112</v>
      </c>
      <c r="U373" t="s">
        <v>78</v>
      </c>
      <c r="V373" t="str">
        <f t="shared" si="50"/>
        <v/>
      </c>
      <c r="W373" t="str">
        <f t="shared" si="51"/>
        <v/>
      </c>
      <c r="X373">
        <f t="shared" si="52"/>
        <v>-1.0661353799231277</v>
      </c>
      <c r="Y373">
        <f t="shared" si="53"/>
        <v>6156.36</v>
      </c>
      <c r="Z373">
        <f t="shared" si="54"/>
        <v>3174.4199999999996</v>
      </c>
      <c r="AA373">
        <f t="shared" si="55"/>
        <v>0.51563261407714944</v>
      </c>
      <c r="AB373">
        <f t="shared" si="56"/>
        <v>2</v>
      </c>
      <c r="AC373" t="str">
        <f t="shared" si="57"/>
        <v>January</v>
      </c>
      <c r="AD373">
        <f t="shared" si="58"/>
        <v>2024</v>
      </c>
      <c r="AE373" t="str">
        <f t="shared" si="59"/>
        <v>WARNING</v>
      </c>
    </row>
    <row r="374" spans="1:31">
      <c r="A374" t="s">
        <v>1245</v>
      </c>
      <c r="B374" s="3">
        <v>45885</v>
      </c>
      <c r="C374" s="3">
        <v>45887</v>
      </c>
      <c r="D374" t="s">
        <v>658</v>
      </c>
      <c r="E374" t="s">
        <v>276</v>
      </c>
      <c r="F374" t="s">
        <v>34</v>
      </c>
      <c r="G374" t="s">
        <v>48</v>
      </c>
      <c r="H374" t="s">
        <v>240</v>
      </c>
      <c r="I374" t="s">
        <v>241</v>
      </c>
      <c r="J374" t="s">
        <v>51</v>
      </c>
      <c r="K374" t="s">
        <v>76</v>
      </c>
      <c r="L374" t="s">
        <v>1246</v>
      </c>
      <c r="M374" t="s">
        <v>54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42</v>
      </c>
      <c r="U374" t="s">
        <v>43</v>
      </c>
      <c r="V374" t="str">
        <f t="shared" si="50"/>
        <v/>
      </c>
      <c r="W374" t="str">
        <f t="shared" si="51"/>
        <v/>
      </c>
      <c r="X374">
        <f t="shared" si="52"/>
        <v>-1.0661353799231277</v>
      </c>
      <c r="Y374">
        <f t="shared" si="53"/>
        <v>7651.7999999999993</v>
      </c>
      <c r="Z374">
        <f t="shared" si="54"/>
        <v>2480.0199999999995</v>
      </c>
      <c r="AA374">
        <f t="shared" si="55"/>
        <v>0.32410935988917638</v>
      </c>
      <c r="AB374">
        <f t="shared" si="56"/>
        <v>2</v>
      </c>
      <c r="AC374" t="str">
        <f t="shared" si="57"/>
        <v>August</v>
      </c>
      <c r="AD374">
        <f t="shared" si="58"/>
        <v>2025</v>
      </c>
      <c r="AE374" t="str">
        <f t="shared" si="59"/>
        <v>CLEAN</v>
      </c>
    </row>
    <row r="375" spans="1:31">
      <c r="A375" t="s">
        <v>1247</v>
      </c>
      <c r="B375" s="3">
        <v>45760</v>
      </c>
      <c r="C375" s="3">
        <v>45760</v>
      </c>
      <c r="D375" t="s">
        <v>1248</v>
      </c>
      <c r="E375" t="s">
        <v>142</v>
      </c>
      <c r="F375" t="s">
        <v>47</v>
      </c>
      <c r="G375" t="s">
        <v>35</v>
      </c>
      <c r="H375" t="s">
        <v>146</v>
      </c>
      <c r="I375" t="s">
        <v>147</v>
      </c>
      <c r="J375" t="s">
        <v>38</v>
      </c>
      <c r="K375" t="s">
        <v>134</v>
      </c>
      <c r="L375" t="s">
        <v>1249</v>
      </c>
      <c r="M375" t="s">
        <v>41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42</v>
      </c>
      <c r="U375" t="s">
        <v>43</v>
      </c>
      <c r="V375" t="str">
        <f t="shared" si="50"/>
        <v/>
      </c>
      <c r="W375" t="str">
        <f t="shared" si="51"/>
        <v/>
      </c>
      <c r="X375">
        <f t="shared" si="52"/>
        <v>-1.0661353799231277</v>
      </c>
      <c r="Y375">
        <f t="shared" si="53"/>
        <v>10068.120000000001</v>
      </c>
      <c r="Z375">
        <f t="shared" si="54"/>
        <v>1472.75</v>
      </c>
      <c r="AA375">
        <f t="shared" si="55"/>
        <v>0.14627855051389932</v>
      </c>
      <c r="AB375">
        <f t="shared" si="56"/>
        <v>0</v>
      </c>
      <c r="AC375" t="str">
        <f t="shared" si="57"/>
        <v>April</v>
      </c>
      <c r="AD375">
        <f t="shared" si="58"/>
        <v>2025</v>
      </c>
      <c r="AE375" t="str">
        <f t="shared" si="59"/>
        <v>CLEAN</v>
      </c>
    </row>
    <row r="376" spans="1:31">
      <c r="A376" t="s">
        <v>1250</v>
      </c>
      <c r="B376" s="3">
        <v>45715</v>
      </c>
      <c r="C376" s="3">
        <v>45716</v>
      </c>
      <c r="D376" t="s">
        <v>1251</v>
      </c>
      <c r="E376" t="s">
        <v>99</v>
      </c>
      <c r="F376" t="s">
        <v>47</v>
      </c>
      <c r="G376" t="s">
        <v>35</v>
      </c>
      <c r="H376" t="s">
        <v>146</v>
      </c>
      <c r="I376" t="s">
        <v>147</v>
      </c>
      <c r="J376" t="s">
        <v>38</v>
      </c>
      <c r="K376" t="s">
        <v>101</v>
      </c>
      <c r="L376" t="s">
        <v>1252</v>
      </c>
      <c r="M376" t="s">
        <v>69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42</v>
      </c>
      <c r="U376" t="s">
        <v>43</v>
      </c>
      <c r="V376" t="str">
        <f t="shared" si="50"/>
        <v/>
      </c>
      <c r="W376" t="str">
        <f t="shared" si="51"/>
        <v/>
      </c>
      <c r="X376">
        <f t="shared" si="52"/>
        <v>-1.0661353799231277</v>
      </c>
      <c r="Y376">
        <f t="shared" si="53"/>
        <v>14359.5</v>
      </c>
      <c r="Z376">
        <f t="shared" si="54"/>
        <v>6241.79</v>
      </c>
      <c r="AA376">
        <f t="shared" si="55"/>
        <v>0.43468017688638183</v>
      </c>
      <c r="AB376">
        <f t="shared" si="56"/>
        <v>1</v>
      </c>
      <c r="AC376" t="str">
        <f t="shared" si="57"/>
        <v>February</v>
      </c>
      <c r="AD376">
        <f t="shared" si="58"/>
        <v>2025</v>
      </c>
      <c r="AE376" t="str">
        <f t="shared" si="59"/>
        <v>CLEAN</v>
      </c>
    </row>
    <row r="377" spans="1:31">
      <c r="A377" t="s">
        <v>1253</v>
      </c>
      <c r="B377" s="3">
        <v>45657</v>
      </c>
      <c r="C377" s="3">
        <v>45661</v>
      </c>
      <c r="D377" t="s">
        <v>1254</v>
      </c>
      <c r="E377" t="s">
        <v>81</v>
      </c>
      <c r="F377" t="s">
        <v>34</v>
      </c>
      <c r="G377" t="s">
        <v>35</v>
      </c>
      <c r="H377" t="s">
        <v>362</v>
      </c>
      <c r="I377" t="s">
        <v>363</v>
      </c>
      <c r="J377" t="s">
        <v>51</v>
      </c>
      <c r="K377" t="s">
        <v>76</v>
      </c>
      <c r="L377" t="s">
        <v>1255</v>
      </c>
      <c r="M377" t="s">
        <v>54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42</v>
      </c>
      <c r="U377" t="s">
        <v>43</v>
      </c>
      <c r="V377" t="str">
        <f t="shared" si="50"/>
        <v/>
      </c>
      <c r="W377" t="str">
        <f t="shared" si="51"/>
        <v/>
      </c>
      <c r="X377">
        <f t="shared" si="52"/>
        <v>1.3271856563895552</v>
      </c>
      <c r="Y377">
        <f t="shared" si="53"/>
        <v>2624.8724999999999</v>
      </c>
      <c r="Z377">
        <f t="shared" si="54"/>
        <v>370.99249999999984</v>
      </c>
      <c r="AA377">
        <f t="shared" si="55"/>
        <v>0.14133734114704613</v>
      </c>
      <c r="AB377">
        <f t="shared" si="56"/>
        <v>4</v>
      </c>
      <c r="AC377" t="str">
        <f t="shared" si="57"/>
        <v>December</v>
      </c>
      <c r="AD377">
        <f t="shared" si="58"/>
        <v>2024</v>
      </c>
      <c r="AE377" t="str">
        <f t="shared" si="59"/>
        <v>CLEAN</v>
      </c>
    </row>
    <row r="378" spans="1:31">
      <c r="A378" t="s">
        <v>1256</v>
      </c>
      <c r="B378" s="3">
        <v>45655</v>
      </c>
      <c r="C378" s="3">
        <v>45657</v>
      </c>
      <c r="D378" t="s">
        <v>1257</v>
      </c>
      <c r="E378" t="s">
        <v>57</v>
      </c>
      <c r="F378" t="s">
        <v>47</v>
      </c>
      <c r="G378" t="s">
        <v>48</v>
      </c>
      <c r="H378" t="s">
        <v>155</v>
      </c>
      <c r="I378" t="s">
        <v>156</v>
      </c>
      <c r="J378" t="s">
        <v>51</v>
      </c>
      <c r="K378" t="s">
        <v>76</v>
      </c>
      <c r="L378" t="s">
        <v>1258</v>
      </c>
      <c r="M378" t="s">
        <v>60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42</v>
      </c>
      <c r="U378" t="s">
        <v>43</v>
      </c>
      <c r="V378" t="str">
        <f t="shared" si="50"/>
        <v/>
      </c>
      <c r="W378" t="str">
        <f t="shared" si="51"/>
        <v/>
      </c>
      <c r="X378">
        <f t="shared" si="52"/>
        <v>0.84852144912701888</v>
      </c>
      <c r="Y378">
        <f t="shared" si="53"/>
        <v>8854.9440000000013</v>
      </c>
      <c r="Z378">
        <f t="shared" si="54"/>
        <v>1420.9940000000015</v>
      </c>
      <c r="AA378">
        <f t="shared" si="55"/>
        <v>0.1604746455765278</v>
      </c>
      <c r="AB378">
        <f t="shared" si="56"/>
        <v>2</v>
      </c>
      <c r="AC378" t="str">
        <f t="shared" si="57"/>
        <v>December</v>
      </c>
      <c r="AD378">
        <f t="shared" si="58"/>
        <v>2024</v>
      </c>
      <c r="AE378" t="str">
        <f t="shared" si="59"/>
        <v>CLEAN</v>
      </c>
    </row>
    <row r="379" spans="1:31">
      <c r="A379" t="s">
        <v>1259</v>
      </c>
      <c r="B379" s="3">
        <v>45801</v>
      </c>
      <c r="C379" s="3">
        <v>45807</v>
      </c>
      <c r="D379" t="s">
        <v>1260</v>
      </c>
      <c r="E379" t="s">
        <v>276</v>
      </c>
      <c r="F379" t="s">
        <v>47</v>
      </c>
      <c r="G379" t="s">
        <v>48</v>
      </c>
      <c r="H379" t="s">
        <v>49</v>
      </c>
      <c r="I379" t="s">
        <v>50</v>
      </c>
      <c r="J379" t="s">
        <v>38</v>
      </c>
      <c r="K379" t="s">
        <v>1261</v>
      </c>
      <c r="L379" t="s">
        <v>1262</v>
      </c>
      <c r="M379" t="s">
        <v>54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42</v>
      </c>
      <c r="U379" t="s">
        <v>43</v>
      </c>
      <c r="V379" t="str">
        <f t="shared" si="50"/>
        <v/>
      </c>
      <c r="W379" t="str">
        <f t="shared" si="51"/>
        <v/>
      </c>
      <c r="X379">
        <f t="shared" si="52"/>
        <v>-1.0661353799231277</v>
      </c>
      <c r="Y379">
        <f t="shared" si="53"/>
        <v>2564.7399999999998</v>
      </c>
      <c r="Z379">
        <f t="shared" si="54"/>
        <v>810.15999999999985</v>
      </c>
      <c r="AA379">
        <f t="shared" si="55"/>
        <v>0.31588387126960232</v>
      </c>
      <c r="AB379">
        <f t="shared" si="56"/>
        <v>6</v>
      </c>
      <c r="AC379" t="str">
        <f t="shared" si="57"/>
        <v>May</v>
      </c>
      <c r="AD379">
        <f t="shared" si="58"/>
        <v>2025</v>
      </c>
      <c r="AE379" t="str">
        <f t="shared" si="59"/>
        <v>CLEAN</v>
      </c>
    </row>
    <row r="380" spans="1:31">
      <c r="A380" t="s">
        <v>1263</v>
      </c>
      <c r="B380" s="3">
        <v>45799</v>
      </c>
      <c r="C380" s="3">
        <v>45799</v>
      </c>
      <c r="D380" t="s">
        <v>1264</v>
      </c>
      <c r="E380" t="s">
        <v>46</v>
      </c>
      <c r="F380" t="s">
        <v>34</v>
      </c>
      <c r="G380" t="s">
        <v>73</v>
      </c>
      <c r="H380" t="s">
        <v>200</v>
      </c>
      <c r="I380" t="s">
        <v>201</v>
      </c>
      <c r="J380" t="s">
        <v>84</v>
      </c>
      <c r="K380" t="s">
        <v>85</v>
      </c>
      <c r="L380" t="s">
        <v>1265</v>
      </c>
      <c r="M380" t="s">
        <v>69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42</v>
      </c>
      <c r="U380" t="s">
        <v>43</v>
      </c>
      <c r="V380" t="str">
        <f t="shared" si="50"/>
        <v/>
      </c>
      <c r="W380" t="str">
        <f t="shared" si="51"/>
        <v/>
      </c>
      <c r="X380">
        <f t="shared" si="52"/>
        <v>-1.0661353799231277</v>
      </c>
      <c r="Y380">
        <f t="shared" si="53"/>
        <v>7821.22</v>
      </c>
      <c r="Z380">
        <f t="shared" si="54"/>
        <v>2826.76</v>
      </c>
      <c r="AA380">
        <f t="shared" si="55"/>
        <v>0.36142187535959863</v>
      </c>
      <c r="AB380">
        <f t="shared" si="56"/>
        <v>0</v>
      </c>
      <c r="AC380" t="str">
        <f t="shared" si="57"/>
        <v>May</v>
      </c>
      <c r="AD380">
        <f t="shared" si="58"/>
        <v>2025</v>
      </c>
      <c r="AE380" t="str">
        <f t="shared" si="59"/>
        <v>CLEAN</v>
      </c>
    </row>
    <row r="381" spans="1:31">
      <c r="A381" t="s">
        <v>1266</v>
      </c>
      <c r="B381" s="3">
        <v>45554</v>
      </c>
      <c r="C381" s="3">
        <v>45558</v>
      </c>
      <c r="D381" t="s">
        <v>1267</v>
      </c>
      <c r="E381" t="s">
        <v>46</v>
      </c>
      <c r="F381" t="s">
        <v>47</v>
      </c>
      <c r="G381" t="s">
        <v>64</v>
      </c>
      <c r="H381" t="s">
        <v>195</v>
      </c>
      <c r="I381" t="s">
        <v>196</v>
      </c>
      <c r="J381" t="s">
        <v>38</v>
      </c>
      <c r="K381" t="s">
        <v>39</v>
      </c>
      <c r="L381" t="s">
        <v>1268</v>
      </c>
      <c r="M381" t="s">
        <v>69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42</v>
      </c>
      <c r="U381" t="s">
        <v>43</v>
      </c>
      <c r="V381" t="str">
        <f t="shared" si="50"/>
        <v/>
      </c>
      <c r="W381" t="str">
        <f t="shared" si="51"/>
        <v/>
      </c>
      <c r="X381">
        <f t="shared" si="52"/>
        <v>-1.0661353799231277</v>
      </c>
      <c r="Y381">
        <f t="shared" si="53"/>
        <v>7956.76</v>
      </c>
      <c r="Z381">
        <f t="shared" si="54"/>
        <v>3157.2200000000003</v>
      </c>
      <c r="AA381">
        <f t="shared" si="55"/>
        <v>0.39679718880549369</v>
      </c>
      <c r="AB381">
        <f t="shared" si="56"/>
        <v>4</v>
      </c>
      <c r="AC381" t="str">
        <f t="shared" si="57"/>
        <v>September</v>
      </c>
      <c r="AD381">
        <f t="shared" si="58"/>
        <v>2024</v>
      </c>
      <c r="AE381" t="str">
        <f t="shared" si="59"/>
        <v>CLEAN</v>
      </c>
    </row>
    <row r="382" spans="1:31">
      <c r="A382" t="s">
        <v>1269</v>
      </c>
      <c r="B382" s="3">
        <v>45389</v>
      </c>
      <c r="C382" s="3">
        <v>45396</v>
      </c>
      <c r="D382" t="s">
        <v>1270</v>
      </c>
      <c r="E382" t="s">
        <v>81</v>
      </c>
      <c r="F382" t="s">
        <v>34</v>
      </c>
      <c r="G382" t="s">
        <v>73</v>
      </c>
      <c r="H382" t="s">
        <v>74</v>
      </c>
      <c r="I382" t="s">
        <v>75</v>
      </c>
      <c r="J382" t="s">
        <v>51</v>
      </c>
      <c r="K382" t="s">
        <v>168</v>
      </c>
      <c r="L382" t="s">
        <v>1271</v>
      </c>
      <c r="M382" t="s">
        <v>54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42</v>
      </c>
      <c r="U382" t="s">
        <v>113</v>
      </c>
      <c r="V382" t="str">
        <f t="shared" si="50"/>
        <v/>
      </c>
      <c r="W382" t="str">
        <f t="shared" si="51"/>
        <v/>
      </c>
      <c r="X382">
        <f t="shared" si="52"/>
        <v>1.3271856563895552</v>
      </c>
      <c r="Y382">
        <f t="shared" si="53"/>
        <v>8384.4375</v>
      </c>
      <c r="Z382">
        <f t="shared" si="54"/>
        <v>3618.4775</v>
      </c>
      <c r="AA382">
        <f t="shared" si="55"/>
        <v>0.43157069272685256</v>
      </c>
      <c r="AB382">
        <f t="shared" si="56"/>
        <v>7</v>
      </c>
      <c r="AC382" t="str">
        <f t="shared" si="57"/>
        <v>April</v>
      </c>
      <c r="AD382">
        <f t="shared" si="58"/>
        <v>2024</v>
      </c>
      <c r="AE382" t="str">
        <f t="shared" si="59"/>
        <v>CLEAN</v>
      </c>
    </row>
    <row r="383" spans="1:31">
      <c r="A383" t="s">
        <v>1272</v>
      </c>
      <c r="B383" s="3">
        <v>45919</v>
      </c>
      <c r="C383" s="3">
        <v>45923</v>
      </c>
      <c r="D383" t="s">
        <v>1273</v>
      </c>
      <c r="E383" t="s">
        <v>63</v>
      </c>
      <c r="F383" t="s">
        <v>1274</v>
      </c>
      <c r="G383" t="s">
        <v>35</v>
      </c>
      <c r="H383" t="s">
        <v>362</v>
      </c>
      <c r="I383" t="s">
        <v>363</v>
      </c>
      <c r="J383" t="s">
        <v>38</v>
      </c>
      <c r="K383" t="s">
        <v>163</v>
      </c>
      <c r="L383" t="s">
        <v>1275</v>
      </c>
      <c r="M383" t="s">
        <v>69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165</v>
      </c>
      <c r="U383" t="s">
        <v>78</v>
      </c>
      <c r="V383" t="str">
        <f t="shared" si="50"/>
        <v/>
      </c>
      <c r="W383" t="str">
        <f t="shared" si="51"/>
        <v/>
      </c>
      <c r="X383">
        <f t="shared" si="52"/>
        <v>-0.58747117266059101</v>
      </c>
      <c r="Y383">
        <f t="shared" si="53"/>
        <v>16671.169999999998</v>
      </c>
      <c r="Z383">
        <f t="shared" si="54"/>
        <v>5837.9799999999977</v>
      </c>
      <c r="AA383">
        <f t="shared" si="55"/>
        <v>0.35018418023450054</v>
      </c>
      <c r="AB383">
        <f t="shared" si="56"/>
        <v>4</v>
      </c>
      <c r="AC383" t="str">
        <f t="shared" si="57"/>
        <v>September</v>
      </c>
      <c r="AD383">
        <f t="shared" si="58"/>
        <v>2025</v>
      </c>
      <c r="AE383" t="str">
        <f t="shared" si="59"/>
        <v>WARNING</v>
      </c>
    </row>
    <row r="384" spans="1:31">
      <c r="A384" t="s">
        <v>1276</v>
      </c>
      <c r="B384" s="3">
        <v>45720</v>
      </c>
      <c r="C384" s="3">
        <v>45872</v>
      </c>
      <c r="D384" t="s">
        <v>167</v>
      </c>
      <c r="E384" t="s">
        <v>63</v>
      </c>
      <c r="F384" t="s">
        <v>47</v>
      </c>
      <c r="G384" t="s">
        <v>48</v>
      </c>
      <c r="H384" t="s">
        <v>155</v>
      </c>
      <c r="I384" t="s">
        <v>156</v>
      </c>
      <c r="J384" t="s">
        <v>1277</v>
      </c>
      <c r="K384" t="s">
        <v>181</v>
      </c>
      <c r="L384" t="s">
        <v>1278</v>
      </c>
      <c r="M384" t="s">
        <v>60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42</v>
      </c>
      <c r="U384" t="s">
        <v>43</v>
      </c>
      <c r="V384" t="str">
        <f t="shared" si="50"/>
        <v/>
      </c>
      <c r="W384" t="str">
        <f t="shared" si="51"/>
        <v/>
      </c>
      <c r="X384">
        <f t="shared" si="52"/>
        <v>0.84852144912701888</v>
      </c>
      <c r="Y384">
        <f t="shared" si="53"/>
        <v>10468.440000000002</v>
      </c>
      <c r="Z384">
        <f t="shared" si="54"/>
        <v>2068.5700000000015</v>
      </c>
      <c r="AA384">
        <f t="shared" si="55"/>
        <v>0.19760059760575607</v>
      </c>
      <c r="AB384">
        <f t="shared" si="56"/>
        <v>152</v>
      </c>
      <c r="AC384" t="str">
        <f t="shared" si="57"/>
        <v>March</v>
      </c>
      <c r="AD384">
        <f t="shared" si="58"/>
        <v>2025</v>
      </c>
      <c r="AE384" t="str">
        <f t="shared" si="59"/>
        <v>CLEAN</v>
      </c>
    </row>
    <row r="385" spans="1:31">
      <c r="A385" t="s">
        <v>1279</v>
      </c>
      <c r="B385" s="3">
        <v>45836</v>
      </c>
      <c r="C385" s="3">
        <v>45843</v>
      </c>
      <c r="D385" t="s">
        <v>1280</v>
      </c>
      <c r="E385" t="s">
        <v>81</v>
      </c>
      <c r="F385" t="s">
        <v>100</v>
      </c>
      <c r="G385" t="s">
        <v>48</v>
      </c>
      <c r="H385" t="s">
        <v>109</v>
      </c>
      <c r="I385" t="s">
        <v>110</v>
      </c>
      <c r="J385" t="s">
        <v>38</v>
      </c>
      <c r="K385" t="s">
        <v>58</v>
      </c>
      <c r="L385" t="s">
        <v>1281</v>
      </c>
      <c r="M385" t="s">
        <v>60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42</v>
      </c>
      <c r="U385" t="s">
        <v>78</v>
      </c>
      <c r="V385" t="str">
        <f t="shared" si="50"/>
        <v/>
      </c>
      <c r="W385" t="str">
        <f t="shared" si="51"/>
        <v/>
      </c>
      <c r="X385">
        <f t="shared" si="52"/>
        <v>-1.0661353799231277</v>
      </c>
      <c r="Y385">
        <f t="shared" si="53"/>
        <v>4485.5</v>
      </c>
      <c r="Z385">
        <f t="shared" si="54"/>
        <v>1353.6399999999999</v>
      </c>
      <c r="AA385">
        <f t="shared" si="55"/>
        <v>0.30178129528480657</v>
      </c>
      <c r="AB385">
        <f t="shared" si="56"/>
        <v>7</v>
      </c>
      <c r="AC385" t="str">
        <f t="shared" si="57"/>
        <v>June</v>
      </c>
      <c r="AD385">
        <f t="shared" si="58"/>
        <v>2025</v>
      </c>
      <c r="AE385" t="str">
        <f t="shared" si="59"/>
        <v>WARNING</v>
      </c>
    </row>
    <row r="386" spans="1:31">
      <c r="A386" t="s">
        <v>1282</v>
      </c>
      <c r="B386" s="3">
        <v>45366</v>
      </c>
      <c r="C386" s="3">
        <v>45371</v>
      </c>
      <c r="D386" t="s">
        <v>1283</v>
      </c>
      <c r="E386" t="s">
        <v>151</v>
      </c>
      <c r="F386" t="s">
        <v>34</v>
      </c>
      <c r="G386" t="s">
        <v>48</v>
      </c>
      <c r="H386" t="s">
        <v>240</v>
      </c>
      <c r="I386" t="s">
        <v>241</v>
      </c>
      <c r="J386" t="s">
        <v>84</v>
      </c>
      <c r="K386" t="s">
        <v>90</v>
      </c>
      <c r="L386" t="s">
        <v>1284</v>
      </c>
      <c r="M386" t="s">
        <v>69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42</v>
      </c>
      <c r="U386" t="s">
        <v>113</v>
      </c>
      <c r="V386" t="str">
        <f t="shared" si="50"/>
        <v/>
      </c>
      <c r="W386" t="str">
        <f t="shared" si="51"/>
        <v/>
      </c>
      <c r="X386">
        <f t="shared" si="52"/>
        <v>1.3271856563895552</v>
      </c>
      <c r="Y386">
        <f t="shared" si="53"/>
        <v>2822.1000000000004</v>
      </c>
      <c r="Z386">
        <f t="shared" si="54"/>
        <v>1197.5300000000004</v>
      </c>
      <c r="AA386">
        <f t="shared" si="55"/>
        <v>0.42434003047376079</v>
      </c>
      <c r="AB386">
        <f t="shared" si="56"/>
        <v>5</v>
      </c>
      <c r="AC386" t="str">
        <f t="shared" si="57"/>
        <v>March</v>
      </c>
      <c r="AD386">
        <f t="shared" si="58"/>
        <v>2024</v>
      </c>
      <c r="AE386" t="str">
        <f t="shared" si="59"/>
        <v>CLEAN</v>
      </c>
    </row>
    <row r="387" spans="1:31">
      <c r="A387" t="s">
        <v>1285</v>
      </c>
      <c r="B387" s="3">
        <v>45832</v>
      </c>
      <c r="C387" s="3">
        <v>45838</v>
      </c>
      <c r="D387" t="s">
        <v>1286</v>
      </c>
      <c r="E387" t="s">
        <v>63</v>
      </c>
      <c r="F387" t="s">
        <v>34</v>
      </c>
      <c r="G387" t="s">
        <v>35</v>
      </c>
      <c r="H387" t="s">
        <v>248</v>
      </c>
      <c r="I387" t="s">
        <v>249</v>
      </c>
      <c r="J387" t="s">
        <v>38</v>
      </c>
      <c r="K387" t="s">
        <v>101</v>
      </c>
      <c r="L387" t="s">
        <v>1287</v>
      </c>
      <c r="M387" t="s">
        <v>69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42</v>
      </c>
      <c r="U387" t="s">
        <v>43</v>
      </c>
      <c r="V387" t="str">
        <f t="shared" ref="V387:V450" si="60">IF(AND(N387&gt;0,O387&gt;0,Q387&gt;0,R387&gt;=0,S387&lt;&gt;""),IF(OR(P387&lt;0,ABS(P387-AVERAGE($P:$P))&gt;2*_xlfn.STDEV.P($P:$P)),"Invalid Discount",""),"")</f>
        <v/>
      </c>
      <c r="W387" t="str">
        <f t="shared" ref="W387:W450" si="61">IF(AND(B387&lt;&gt;"",C387&lt;&gt;""),IF(C387&lt;B387,"Invalid Shipping Record",""),"")</f>
        <v/>
      </c>
      <c r="X387">
        <f t="shared" ref="X387:X450" si="62">(P387-AVERAGE($P:$P))/_xlfn.STDEV.P($P:$P)</f>
        <v>-0.10880696539805437</v>
      </c>
      <c r="Y387">
        <f t="shared" ref="Y387:Y450" si="63">N387*O387*(1-P387)</f>
        <v>1975.104</v>
      </c>
      <c r="Z387">
        <f t="shared" ref="Z387:Z450" si="64">Y387-R387</f>
        <v>859.75400000000013</v>
      </c>
      <c r="AA387">
        <f t="shared" ref="AA387:AA450" si="65">IF(Y387=0,0,Z387/Y387)</f>
        <v>0.4352955591199249</v>
      </c>
      <c r="AB387">
        <f t="shared" ref="AB387:AB450" si="66">DATEDIF(B387,C387,"d")</f>
        <v>6</v>
      </c>
      <c r="AC387" t="str">
        <f t="shared" ref="AC387:AC450" si="67">TEXT(B387,"mmmm")</f>
        <v>June</v>
      </c>
      <c r="AD387">
        <f t="shared" ref="AD387:AD450" si="68">YEAR(B387)</f>
        <v>2025</v>
      </c>
      <c r="AE387" t="str">
        <f t="shared" ref="AE387:AE450" si="69">IF(OR(V387="Invalid Discount",W387="Invalid Shipping Record"),"INVALID",IF(U387="Cancelled","WARNING","CLEAN"))</f>
        <v>CLEAN</v>
      </c>
    </row>
    <row r="388" spans="1:31">
      <c r="A388" t="s">
        <v>1288</v>
      </c>
      <c r="B388" s="3">
        <v>45993</v>
      </c>
      <c r="C388" s="3">
        <v>45702</v>
      </c>
      <c r="D388" t="s">
        <v>1289</v>
      </c>
      <c r="E388" t="s">
        <v>142</v>
      </c>
      <c r="F388" t="s">
        <v>34</v>
      </c>
      <c r="G388" t="s">
        <v>73</v>
      </c>
      <c r="H388" t="s">
        <v>74</v>
      </c>
      <c r="I388" t="s">
        <v>75</v>
      </c>
      <c r="J388" t="s">
        <v>51</v>
      </c>
      <c r="K388" t="s">
        <v>67</v>
      </c>
      <c r="L388" t="s">
        <v>1290</v>
      </c>
      <c r="M388" t="s">
        <v>41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42</v>
      </c>
      <c r="U388" t="s">
        <v>43</v>
      </c>
      <c r="V388" t="str">
        <f t="shared" si="60"/>
        <v/>
      </c>
      <c r="W388" t="str">
        <f t="shared" si="61"/>
        <v>Invalid Shipping Record</v>
      </c>
      <c r="X388">
        <f t="shared" si="62"/>
        <v>-0.10880696539805437</v>
      </c>
      <c r="Y388">
        <f t="shared" si="63"/>
        <v>20063.952000000001</v>
      </c>
      <c r="Z388">
        <f t="shared" si="64"/>
        <v>5700.5720000000019</v>
      </c>
      <c r="AA388">
        <f t="shared" si="65"/>
        <v>0.2841200975759911</v>
      </c>
      <c r="AB388" t="e">
        <f t="shared" si="66"/>
        <v>#NUM!</v>
      </c>
      <c r="AC388" t="str">
        <f t="shared" si="67"/>
        <v>December</v>
      </c>
      <c r="AD388">
        <f t="shared" si="68"/>
        <v>2025</v>
      </c>
      <c r="AE388" t="str">
        <f t="shared" si="69"/>
        <v>INVALID</v>
      </c>
    </row>
    <row r="389" spans="1:31">
      <c r="A389" t="s">
        <v>1291</v>
      </c>
      <c r="B389" s="3">
        <v>45879</v>
      </c>
      <c r="C389" s="3">
        <v>45882</v>
      </c>
      <c r="D389" t="s">
        <v>1292</v>
      </c>
      <c r="E389" t="s">
        <v>124</v>
      </c>
      <c r="F389" t="s">
        <v>47</v>
      </c>
      <c r="G389" t="s">
        <v>73</v>
      </c>
      <c r="H389" t="s">
        <v>82</v>
      </c>
      <c r="I389" t="s">
        <v>83</v>
      </c>
      <c r="J389" t="s">
        <v>51</v>
      </c>
      <c r="K389" t="s">
        <v>76</v>
      </c>
      <c r="L389" t="s">
        <v>1293</v>
      </c>
      <c r="M389" t="s">
        <v>69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121</v>
      </c>
      <c r="U389" t="s">
        <v>78</v>
      </c>
      <c r="V389" t="str">
        <f t="shared" si="60"/>
        <v/>
      </c>
      <c r="W389" t="str">
        <f t="shared" si="61"/>
        <v/>
      </c>
      <c r="X389">
        <f t="shared" si="62"/>
        <v>-1.0661353799231277</v>
      </c>
      <c r="Y389">
        <f t="shared" si="63"/>
        <v>1764.3000000000002</v>
      </c>
      <c r="Z389">
        <f t="shared" si="64"/>
        <v>431.81000000000017</v>
      </c>
      <c r="AA389">
        <f t="shared" si="65"/>
        <v>0.24474862551720236</v>
      </c>
      <c r="AB389">
        <f t="shared" si="66"/>
        <v>3</v>
      </c>
      <c r="AC389" t="str">
        <f t="shared" si="67"/>
        <v>August</v>
      </c>
      <c r="AD389">
        <f t="shared" si="68"/>
        <v>2025</v>
      </c>
      <c r="AE389" t="str">
        <f t="shared" si="69"/>
        <v>WARNING</v>
      </c>
    </row>
    <row r="390" spans="1:31">
      <c r="A390" t="s">
        <v>1294</v>
      </c>
      <c r="B390" s="3">
        <v>45425</v>
      </c>
      <c r="C390" s="3">
        <v>45430</v>
      </c>
      <c r="D390" t="s">
        <v>1295</v>
      </c>
      <c r="E390" t="s">
        <v>57</v>
      </c>
      <c r="F390" t="s">
        <v>47</v>
      </c>
      <c r="G390" t="s">
        <v>73</v>
      </c>
      <c r="H390" t="s">
        <v>190</v>
      </c>
      <c r="I390" t="s">
        <v>191</v>
      </c>
      <c r="J390" t="s">
        <v>51</v>
      </c>
      <c r="K390" t="s">
        <v>76</v>
      </c>
      <c r="L390" t="s">
        <v>1296</v>
      </c>
      <c r="M390" t="s">
        <v>69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42</v>
      </c>
      <c r="U390" t="s">
        <v>43</v>
      </c>
      <c r="V390" t="str">
        <f t="shared" si="60"/>
        <v/>
      </c>
      <c r="W390" t="str">
        <f t="shared" si="61"/>
        <v/>
      </c>
      <c r="X390">
        <f t="shared" si="62"/>
        <v>-1.0661353799231277</v>
      </c>
      <c r="Y390">
        <f t="shared" si="63"/>
        <v>9385.77</v>
      </c>
      <c r="Z390">
        <f t="shared" si="64"/>
        <v>2513.3300000000008</v>
      </c>
      <c r="AA390">
        <f t="shared" si="65"/>
        <v>0.26778090662779941</v>
      </c>
      <c r="AB390">
        <f t="shared" si="66"/>
        <v>5</v>
      </c>
      <c r="AC390" t="str">
        <f t="shared" si="67"/>
        <v>May</v>
      </c>
      <c r="AD390">
        <f t="shared" si="68"/>
        <v>2024</v>
      </c>
      <c r="AE390" t="str">
        <f t="shared" si="69"/>
        <v>CLEAN</v>
      </c>
    </row>
    <row r="391" spans="1:31">
      <c r="A391" t="s">
        <v>1297</v>
      </c>
      <c r="B391" s="3">
        <v>45387</v>
      </c>
      <c r="C391" s="3">
        <v>45395</v>
      </c>
      <c r="D391" t="s">
        <v>1298</v>
      </c>
      <c r="E391" t="s">
        <v>172</v>
      </c>
      <c r="F391" t="s">
        <v>100</v>
      </c>
      <c r="G391" t="s">
        <v>73</v>
      </c>
      <c r="H391" t="s">
        <v>190</v>
      </c>
      <c r="I391" t="s">
        <v>191</v>
      </c>
      <c r="J391" t="s">
        <v>84</v>
      </c>
      <c r="K391" t="s">
        <v>286</v>
      </c>
      <c r="L391" t="s">
        <v>1299</v>
      </c>
      <c r="M391" t="s">
        <v>41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121</v>
      </c>
      <c r="U391" t="s">
        <v>78</v>
      </c>
      <c r="V391" t="str">
        <f t="shared" si="60"/>
        <v/>
      </c>
      <c r="W391" t="str">
        <f t="shared" si="61"/>
        <v/>
      </c>
      <c r="X391">
        <f t="shared" si="62"/>
        <v>0.84852144912701888</v>
      </c>
      <c r="Y391">
        <f t="shared" si="63"/>
        <v>7750.1600000000008</v>
      </c>
      <c r="Z391">
        <f t="shared" si="64"/>
        <v>2315.8600000000006</v>
      </c>
      <c r="AA391">
        <f t="shared" si="65"/>
        <v>0.29881447608823564</v>
      </c>
      <c r="AB391">
        <f t="shared" si="66"/>
        <v>8</v>
      </c>
      <c r="AC391" t="str">
        <f t="shared" si="67"/>
        <v>April</v>
      </c>
      <c r="AD391">
        <f t="shared" si="68"/>
        <v>2024</v>
      </c>
      <c r="AE391" t="str">
        <f t="shared" si="69"/>
        <v>WARNING</v>
      </c>
    </row>
    <row r="392" spans="1:31">
      <c r="A392" t="s">
        <v>1300</v>
      </c>
      <c r="B392" s="3">
        <v>45602</v>
      </c>
      <c r="C392" s="3">
        <v>45607</v>
      </c>
      <c r="D392" t="s">
        <v>1301</v>
      </c>
      <c r="E392" t="s">
        <v>57</v>
      </c>
      <c r="F392" t="s">
        <v>34</v>
      </c>
      <c r="G392" t="s">
        <v>73</v>
      </c>
      <c r="H392" t="s">
        <v>190</v>
      </c>
      <c r="I392" t="s">
        <v>191</v>
      </c>
      <c r="J392" t="s">
        <v>51</v>
      </c>
      <c r="K392" t="s">
        <v>67</v>
      </c>
      <c r="L392" t="s">
        <v>1302</v>
      </c>
      <c r="M392" t="s">
        <v>69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42</v>
      </c>
      <c r="U392" t="s">
        <v>43</v>
      </c>
      <c r="V392" t="str">
        <f t="shared" si="60"/>
        <v/>
      </c>
      <c r="W392" t="str">
        <f t="shared" si="61"/>
        <v/>
      </c>
      <c r="X392">
        <f t="shared" si="62"/>
        <v>0.84852144912701888</v>
      </c>
      <c r="Y392">
        <f t="shared" si="63"/>
        <v>6135.232</v>
      </c>
      <c r="Z392">
        <f t="shared" si="64"/>
        <v>2695.442</v>
      </c>
      <c r="AA392">
        <f t="shared" si="65"/>
        <v>0.43933823529411764</v>
      </c>
      <c r="AB392">
        <f t="shared" si="66"/>
        <v>5</v>
      </c>
      <c r="AC392" t="str">
        <f t="shared" si="67"/>
        <v>November</v>
      </c>
      <c r="AD392">
        <f t="shared" si="68"/>
        <v>2024</v>
      </c>
      <c r="AE392" t="str">
        <f t="shared" si="69"/>
        <v>CLEAN</v>
      </c>
    </row>
    <row r="393" spans="1:31">
      <c r="A393" t="s">
        <v>1303</v>
      </c>
      <c r="B393" s="3">
        <v>45702</v>
      </c>
      <c r="C393" s="3">
        <v>45702</v>
      </c>
      <c r="D393" t="s">
        <v>1304</v>
      </c>
      <c r="E393" t="s">
        <v>172</v>
      </c>
      <c r="F393" t="s">
        <v>34</v>
      </c>
      <c r="G393" t="s">
        <v>64</v>
      </c>
      <c r="H393" t="s">
        <v>185</v>
      </c>
      <c r="I393" t="s">
        <v>186</v>
      </c>
      <c r="J393" t="s">
        <v>38</v>
      </c>
      <c r="K393" t="s">
        <v>134</v>
      </c>
      <c r="L393" t="s">
        <v>1305</v>
      </c>
      <c r="M393" t="s">
        <v>60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42</v>
      </c>
      <c r="U393" t="s">
        <v>43</v>
      </c>
      <c r="V393" t="str">
        <f t="shared" si="60"/>
        <v/>
      </c>
      <c r="W393" t="str">
        <f t="shared" si="61"/>
        <v/>
      </c>
      <c r="X393">
        <f t="shared" si="62"/>
        <v>-1.0661353799231277</v>
      </c>
      <c r="Y393">
        <f t="shared" si="63"/>
        <v>714.43</v>
      </c>
      <c r="Z393">
        <f t="shared" si="64"/>
        <v>148.9899999999999</v>
      </c>
      <c r="AA393">
        <f t="shared" si="65"/>
        <v>0.20854387413742412</v>
      </c>
      <c r="AB393">
        <f t="shared" si="66"/>
        <v>0</v>
      </c>
      <c r="AC393" t="str">
        <f t="shared" si="67"/>
        <v>February</v>
      </c>
      <c r="AD393">
        <f t="shared" si="68"/>
        <v>2025</v>
      </c>
      <c r="AE393" t="str">
        <f t="shared" si="69"/>
        <v>CLEAN</v>
      </c>
    </row>
    <row r="394" spans="1:31">
      <c r="A394" t="s">
        <v>1306</v>
      </c>
      <c r="B394" s="3">
        <v>45341</v>
      </c>
      <c r="C394" s="3">
        <v>45344</v>
      </c>
      <c r="D394" t="s">
        <v>1307</v>
      </c>
      <c r="E394" t="s">
        <v>99</v>
      </c>
      <c r="F394" t="s">
        <v>47</v>
      </c>
      <c r="G394" t="s">
        <v>64</v>
      </c>
      <c r="H394" t="s">
        <v>195</v>
      </c>
      <c r="I394" t="s">
        <v>196</v>
      </c>
      <c r="J394" t="s">
        <v>51</v>
      </c>
      <c r="K394" t="s">
        <v>67</v>
      </c>
      <c r="L394" t="s">
        <v>1308</v>
      </c>
      <c r="M394" t="s">
        <v>54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42</v>
      </c>
      <c r="U394" t="s">
        <v>43</v>
      </c>
      <c r="V394" t="str">
        <f t="shared" si="60"/>
        <v/>
      </c>
      <c r="W394" t="str">
        <f t="shared" si="61"/>
        <v/>
      </c>
      <c r="X394">
        <f t="shared" si="62"/>
        <v>-1.0661353799231277</v>
      </c>
      <c r="Y394">
        <f t="shared" si="63"/>
        <v>36477.090000000004</v>
      </c>
      <c r="Z394">
        <f t="shared" si="64"/>
        <v>11951.610000000004</v>
      </c>
      <c r="AA394">
        <f t="shared" si="65"/>
        <v>0.32764702447481425</v>
      </c>
      <c r="AB394">
        <f t="shared" si="66"/>
        <v>3</v>
      </c>
      <c r="AC394" t="str">
        <f t="shared" si="67"/>
        <v>February</v>
      </c>
      <c r="AD394">
        <f t="shared" si="68"/>
        <v>2024</v>
      </c>
      <c r="AE394" t="str">
        <f t="shared" si="69"/>
        <v>CLEAN</v>
      </c>
    </row>
    <row r="395" spans="1:31">
      <c r="A395" t="s">
        <v>1309</v>
      </c>
      <c r="B395" s="3">
        <v>45527</v>
      </c>
      <c r="C395" s="3">
        <v>45533</v>
      </c>
      <c r="D395" t="s">
        <v>1310</v>
      </c>
      <c r="E395" t="s">
        <v>46</v>
      </c>
      <c r="F395" t="s">
        <v>100</v>
      </c>
      <c r="G395" t="s">
        <v>35</v>
      </c>
      <c r="H395" t="s">
        <v>146</v>
      </c>
      <c r="I395" t="s">
        <v>147</v>
      </c>
      <c r="J395" t="s">
        <v>38</v>
      </c>
      <c r="K395" t="s">
        <v>101</v>
      </c>
      <c r="L395" t="s">
        <v>1311</v>
      </c>
      <c r="M395" t="s">
        <v>54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42</v>
      </c>
      <c r="U395" t="s">
        <v>43</v>
      </c>
      <c r="V395" t="str">
        <f t="shared" si="60"/>
        <v/>
      </c>
      <c r="W395" t="str">
        <f t="shared" si="61"/>
        <v/>
      </c>
      <c r="X395">
        <f t="shared" si="62"/>
        <v>-0.58747117266059101</v>
      </c>
      <c r="Y395">
        <f t="shared" si="63"/>
        <v>3680.1289999999999</v>
      </c>
      <c r="Z395">
        <f t="shared" si="64"/>
        <v>712.66899999999987</v>
      </c>
      <c r="AA395">
        <f t="shared" si="65"/>
        <v>0.19365326595888346</v>
      </c>
      <c r="AB395">
        <f t="shared" si="66"/>
        <v>6</v>
      </c>
      <c r="AC395" t="str">
        <f t="shared" si="67"/>
        <v>August</v>
      </c>
      <c r="AD395">
        <f t="shared" si="68"/>
        <v>2024</v>
      </c>
      <c r="AE395" t="str">
        <f t="shared" si="69"/>
        <v>CLEAN</v>
      </c>
    </row>
    <row r="396" spans="1:31">
      <c r="A396" t="s">
        <v>1312</v>
      </c>
      <c r="B396" s="3">
        <v>45385</v>
      </c>
      <c r="C396" s="3">
        <v>45386</v>
      </c>
      <c r="D396" t="s">
        <v>1313</v>
      </c>
      <c r="E396" t="s">
        <v>276</v>
      </c>
      <c r="F396" t="s">
        <v>34</v>
      </c>
      <c r="G396" t="s">
        <v>73</v>
      </c>
      <c r="H396" t="s">
        <v>74</v>
      </c>
      <c r="I396" t="s">
        <v>75</v>
      </c>
      <c r="J396" t="s">
        <v>51</v>
      </c>
      <c r="K396" t="s">
        <v>67</v>
      </c>
      <c r="L396" t="s">
        <v>1314</v>
      </c>
      <c r="M396" t="s">
        <v>60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42</v>
      </c>
      <c r="U396" t="s">
        <v>43</v>
      </c>
      <c r="V396" t="str">
        <f t="shared" si="60"/>
        <v/>
      </c>
      <c r="W396" t="str">
        <f t="shared" si="61"/>
        <v/>
      </c>
      <c r="X396">
        <f t="shared" si="62"/>
        <v>-1.0661353799231277</v>
      </c>
      <c r="Y396">
        <f t="shared" si="63"/>
        <v>27616.47</v>
      </c>
      <c r="Z396">
        <f t="shared" si="64"/>
        <v>6391.2100000000028</v>
      </c>
      <c r="AA396">
        <f t="shared" si="65"/>
        <v>0.23142747787823725</v>
      </c>
      <c r="AB396">
        <f t="shared" si="66"/>
        <v>1</v>
      </c>
      <c r="AC396" t="str">
        <f t="shared" si="67"/>
        <v>April</v>
      </c>
      <c r="AD396">
        <f t="shared" si="68"/>
        <v>2024</v>
      </c>
      <c r="AE396" t="str">
        <f t="shared" si="69"/>
        <v>CLEAN</v>
      </c>
    </row>
    <row r="397" spans="1:31">
      <c r="A397" t="s">
        <v>1315</v>
      </c>
      <c r="B397" s="3">
        <v>45449</v>
      </c>
      <c r="C397" s="3">
        <v>45479</v>
      </c>
      <c r="D397" t="s">
        <v>1316</v>
      </c>
      <c r="E397" t="s">
        <v>128</v>
      </c>
      <c r="F397" t="s">
        <v>105</v>
      </c>
      <c r="G397" t="s">
        <v>64</v>
      </c>
      <c r="H397" t="s">
        <v>259</v>
      </c>
      <c r="I397" t="s">
        <v>260</v>
      </c>
      <c r="J397" t="s">
        <v>51</v>
      </c>
      <c r="K397" t="s">
        <v>52</v>
      </c>
      <c r="L397" t="s">
        <v>1317</v>
      </c>
      <c r="M397" t="s">
        <v>54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42</v>
      </c>
      <c r="U397" t="s">
        <v>43</v>
      </c>
      <c r="V397" t="str">
        <f t="shared" si="60"/>
        <v/>
      </c>
      <c r="W397" t="str">
        <f t="shared" si="61"/>
        <v/>
      </c>
      <c r="X397">
        <f t="shared" si="62"/>
        <v>-0.58747117266059101</v>
      </c>
      <c r="Y397">
        <f t="shared" si="63"/>
        <v>5731.7014999999992</v>
      </c>
      <c r="Z397">
        <f t="shared" si="64"/>
        <v>1616.1414999999988</v>
      </c>
      <c r="AA397">
        <f t="shared" si="65"/>
        <v>0.28196539893084088</v>
      </c>
      <c r="AB397">
        <f t="shared" si="66"/>
        <v>30</v>
      </c>
      <c r="AC397" t="str">
        <f t="shared" si="67"/>
        <v>June</v>
      </c>
      <c r="AD397">
        <f t="shared" si="68"/>
        <v>2024</v>
      </c>
      <c r="AE397" t="str">
        <f t="shared" si="69"/>
        <v>CLEAN</v>
      </c>
    </row>
    <row r="398" spans="1:31">
      <c r="A398" t="s">
        <v>1318</v>
      </c>
      <c r="B398" s="3">
        <v>45761</v>
      </c>
      <c r="C398" s="3">
        <v>45769</v>
      </c>
      <c r="D398" t="s">
        <v>1319</v>
      </c>
      <c r="E398" t="s">
        <v>99</v>
      </c>
      <c r="F398" t="s">
        <v>47</v>
      </c>
      <c r="G398" t="s">
        <v>64</v>
      </c>
      <c r="H398" t="s">
        <v>185</v>
      </c>
      <c r="I398" t="s">
        <v>186</v>
      </c>
      <c r="J398" t="s">
        <v>84</v>
      </c>
      <c r="K398" t="s">
        <v>286</v>
      </c>
      <c r="L398" t="s">
        <v>1320</v>
      </c>
      <c r="M398" t="s">
        <v>69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42</v>
      </c>
      <c r="U398" t="s">
        <v>43</v>
      </c>
      <c r="V398" t="str">
        <f t="shared" si="60"/>
        <v/>
      </c>
      <c r="W398" t="str">
        <f t="shared" si="61"/>
        <v/>
      </c>
      <c r="X398">
        <f t="shared" si="62"/>
        <v>-0.58747117266059101</v>
      </c>
      <c r="Y398">
        <f t="shared" si="63"/>
        <v>1213.587</v>
      </c>
      <c r="Z398">
        <f t="shared" si="64"/>
        <v>257.36699999999996</v>
      </c>
      <c r="AA398">
        <f t="shared" si="65"/>
        <v>0.21207132245154239</v>
      </c>
      <c r="AB398">
        <f t="shared" si="66"/>
        <v>8</v>
      </c>
      <c r="AC398" t="str">
        <f t="shared" si="67"/>
        <v>April</v>
      </c>
      <c r="AD398">
        <f t="shared" si="68"/>
        <v>2025</v>
      </c>
      <c r="AE398" t="str">
        <f t="shared" si="69"/>
        <v>CLEAN</v>
      </c>
    </row>
    <row r="399" spans="1:31">
      <c r="A399" t="s">
        <v>1321</v>
      </c>
      <c r="B399" s="3">
        <v>45817</v>
      </c>
      <c r="C399" s="3">
        <v>45818</v>
      </c>
      <c r="D399" t="s">
        <v>1322</v>
      </c>
      <c r="E399" t="s">
        <v>142</v>
      </c>
      <c r="F399" t="s">
        <v>47</v>
      </c>
      <c r="G399" t="s">
        <v>35</v>
      </c>
      <c r="H399" t="s">
        <v>146</v>
      </c>
      <c r="I399" t="s">
        <v>147</v>
      </c>
      <c r="J399" t="s">
        <v>51</v>
      </c>
      <c r="K399" t="s">
        <v>52</v>
      </c>
      <c r="L399" t="s">
        <v>1323</v>
      </c>
      <c r="M399" t="s">
        <v>41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42</v>
      </c>
      <c r="U399" t="s">
        <v>43</v>
      </c>
      <c r="V399" t="str">
        <f t="shared" si="60"/>
        <v/>
      </c>
      <c r="W399" t="str">
        <f t="shared" si="61"/>
        <v/>
      </c>
      <c r="X399">
        <f t="shared" si="62"/>
        <v>-1.0661353799231277</v>
      </c>
      <c r="Y399">
        <f t="shared" si="63"/>
        <v>3463.76</v>
      </c>
      <c r="Z399">
        <f t="shared" si="64"/>
        <v>1320.0200000000004</v>
      </c>
      <c r="AA399">
        <f t="shared" si="65"/>
        <v>0.38109453310852959</v>
      </c>
      <c r="AB399">
        <f t="shared" si="66"/>
        <v>1</v>
      </c>
      <c r="AC399" t="str">
        <f t="shared" si="67"/>
        <v>June</v>
      </c>
      <c r="AD399">
        <f t="shared" si="68"/>
        <v>2025</v>
      </c>
      <c r="AE399" t="str">
        <f t="shared" si="69"/>
        <v>CLEAN</v>
      </c>
    </row>
    <row r="400" spans="1:31">
      <c r="A400" t="s">
        <v>1324</v>
      </c>
      <c r="B400" s="3">
        <v>45492</v>
      </c>
      <c r="C400" s="3">
        <v>45499</v>
      </c>
      <c r="D400" t="s">
        <v>1325</v>
      </c>
      <c r="E400" t="s">
        <v>81</v>
      </c>
      <c r="F400" t="s">
        <v>100</v>
      </c>
      <c r="G400" t="s">
        <v>35</v>
      </c>
      <c r="H400" t="s">
        <v>132</v>
      </c>
      <c r="I400" t="s">
        <v>133</v>
      </c>
      <c r="J400" t="s">
        <v>84</v>
      </c>
      <c r="K400" t="s">
        <v>286</v>
      </c>
      <c r="L400" t="s">
        <v>1326</v>
      </c>
      <c r="M400" t="s">
        <v>54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42</v>
      </c>
      <c r="U400" t="s">
        <v>43</v>
      </c>
      <c r="V400" t="str">
        <f t="shared" si="60"/>
        <v/>
      </c>
      <c r="W400" t="str">
        <f t="shared" si="61"/>
        <v/>
      </c>
      <c r="X400">
        <f t="shared" si="62"/>
        <v>0.84852144912701888</v>
      </c>
      <c r="Y400">
        <f t="shared" si="63"/>
        <v>2021.8400000000001</v>
      </c>
      <c r="Z400">
        <f t="shared" si="64"/>
        <v>666.62000000000012</v>
      </c>
      <c r="AA400">
        <f t="shared" si="65"/>
        <v>0.32970957147944452</v>
      </c>
      <c r="AB400">
        <f t="shared" si="66"/>
        <v>7</v>
      </c>
      <c r="AC400" t="str">
        <f t="shared" si="67"/>
        <v>July</v>
      </c>
      <c r="AD400">
        <f t="shared" si="68"/>
        <v>2024</v>
      </c>
      <c r="AE400" t="str">
        <f t="shared" si="69"/>
        <v>CLEAN</v>
      </c>
    </row>
    <row r="401" spans="1:31">
      <c r="A401" t="s">
        <v>1327</v>
      </c>
      <c r="B401" s="3">
        <v>45771</v>
      </c>
      <c r="C401" s="3">
        <v>45776</v>
      </c>
      <c r="D401" t="s">
        <v>1328</v>
      </c>
      <c r="E401" t="s">
        <v>172</v>
      </c>
      <c r="F401" t="s">
        <v>47</v>
      </c>
      <c r="G401" t="s">
        <v>64</v>
      </c>
      <c r="H401" t="s">
        <v>94</v>
      </c>
      <c r="I401" t="s">
        <v>95</v>
      </c>
      <c r="J401" t="s">
        <v>38</v>
      </c>
      <c r="K401" t="s">
        <v>39</v>
      </c>
      <c r="L401" t="s">
        <v>1329</v>
      </c>
      <c r="M401" t="s">
        <v>54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42</v>
      </c>
      <c r="U401" t="s">
        <v>43</v>
      </c>
      <c r="V401" t="str">
        <f t="shared" si="60"/>
        <v/>
      </c>
      <c r="W401" t="str">
        <f t="shared" si="61"/>
        <v/>
      </c>
      <c r="X401">
        <f t="shared" si="62"/>
        <v>1.3271856563895552</v>
      </c>
      <c r="Y401">
        <f t="shared" si="63"/>
        <v>3268.875</v>
      </c>
      <c r="Z401">
        <f t="shared" si="64"/>
        <v>1275.135</v>
      </c>
      <c r="AA401">
        <f t="shared" si="65"/>
        <v>0.39008374440747962</v>
      </c>
      <c r="AB401">
        <f t="shared" si="66"/>
        <v>5</v>
      </c>
      <c r="AC401" t="str">
        <f t="shared" si="67"/>
        <v>April</v>
      </c>
      <c r="AD401">
        <f t="shared" si="68"/>
        <v>2025</v>
      </c>
      <c r="AE401" t="str">
        <f t="shared" si="69"/>
        <v>CLEAN</v>
      </c>
    </row>
    <row r="402" spans="1:31">
      <c r="A402" t="s">
        <v>1330</v>
      </c>
      <c r="B402" s="3">
        <v>45814</v>
      </c>
      <c r="C402" s="3">
        <v>45819</v>
      </c>
      <c r="D402" t="s">
        <v>1331</v>
      </c>
      <c r="E402" t="s">
        <v>142</v>
      </c>
      <c r="F402" t="s">
        <v>47</v>
      </c>
      <c r="G402" t="s">
        <v>35</v>
      </c>
      <c r="H402" t="s">
        <v>146</v>
      </c>
      <c r="I402" t="s">
        <v>147</v>
      </c>
      <c r="J402" t="s">
        <v>38</v>
      </c>
      <c r="K402" t="s">
        <v>39</v>
      </c>
      <c r="L402" t="s">
        <v>1332</v>
      </c>
      <c r="M402" t="s">
        <v>54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42</v>
      </c>
      <c r="U402" t="s">
        <v>43</v>
      </c>
      <c r="V402" t="str">
        <f t="shared" si="60"/>
        <v>Invalid Discount</v>
      </c>
      <c r="W402" t="str">
        <f t="shared" si="61"/>
        <v/>
      </c>
      <c r="X402">
        <f t="shared" si="62"/>
        <v>-2.0234637944482006</v>
      </c>
      <c r="Y402">
        <f t="shared" si="63"/>
        <v>6761.2930000000006</v>
      </c>
      <c r="Z402">
        <f t="shared" si="64"/>
        <v>1883.9130000000005</v>
      </c>
      <c r="AA402">
        <f t="shared" si="65"/>
        <v>0.27863206046535777</v>
      </c>
      <c r="AB402">
        <f t="shared" si="66"/>
        <v>5</v>
      </c>
      <c r="AC402" t="str">
        <f t="shared" si="67"/>
        <v>June</v>
      </c>
      <c r="AD402">
        <f t="shared" si="68"/>
        <v>2025</v>
      </c>
      <c r="AE402" t="str">
        <f t="shared" si="69"/>
        <v>INVALID</v>
      </c>
    </row>
    <row r="403" spans="1:31">
      <c r="A403" t="s">
        <v>1333</v>
      </c>
      <c r="B403" s="3">
        <v>45725</v>
      </c>
      <c r="C403" s="3">
        <v>45732</v>
      </c>
      <c r="D403" t="s">
        <v>1334</v>
      </c>
      <c r="E403" t="s">
        <v>63</v>
      </c>
      <c r="F403" t="s">
        <v>47</v>
      </c>
      <c r="G403" t="s">
        <v>48</v>
      </c>
      <c r="H403" t="s">
        <v>240</v>
      </c>
      <c r="I403" t="s">
        <v>241</v>
      </c>
      <c r="J403" t="s">
        <v>51</v>
      </c>
      <c r="K403" t="s">
        <v>52</v>
      </c>
      <c r="L403" t="s">
        <v>1335</v>
      </c>
      <c r="M403" t="s">
        <v>54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42</v>
      </c>
      <c r="U403" t="s">
        <v>43</v>
      </c>
      <c r="V403" t="str">
        <f t="shared" si="60"/>
        <v/>
      </c>
      <c r="W403" t="str">
        <f t="shared" si="61"/>
        <v/>
      </c>
      <c r="X403">
        <f t="shared" si="62"/>
        <v>-1.0661353799231277</v>
      </c>
      <c r="Y403">
        <f t="shared" si="63"/>
        <v>7877.5499999999993</v>
      </c>
      <c r="Z403">
        <f t="shared" si="64"/>
        <v>2314.7799999999988</v>
      </c>
      <c r="AA403">
        <f t="shared" si="65"/>
        <v>0.29384516759652418</v>
      </c>
      <c r="AB403">
        <f t="shared" si="66"/>
        <v>7</v>
      </c>
      <c r="AC403" t="str">
        <f t="shared" si="67"/>
        <v>March</v>
      </c>
      <c r="AD403">
        <f t="shared" si="68"/>
        <v>2025</v>
      </c>
      <c r="AE403" t="str">
        <f t="shared" si="69"/>
        <v>CLEAN</v>
      </c>
    </row>
    <row r="404" spans="1:31">
      <c r="A404" t="s">
        <v>1336</v>
      </c>
      <c r="B404" s="3">
        <v>45373</v>
      </c>
      <c r="C404" s="3">
        <v>45373</v>
      </c>
      <c r="D404" t="s">
        <v>1337</v>
      </c>
      <c r="E404" t="s">
        <v>124</v>
      </c>
      <c r="F404" t="s">
        <v>47</v>
      </c>
      <c r="G404" t="s">
        <v>64</v>
      </c>
      <c r="H404" t="s">
        <v>185</v>
      </c>
      <c r="I404" t="s">
        <v>186</v>
      </c>
      <c r="J404" t="s">
        <v>51</v>
      </c>
      <c r="K404" t="s">
        <v>52</v>
      </c>
      <c r="L404" t="s">
        <v>1338</v>
      </c>
      <c r="M404" t="s">
        <v>215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42</v>
      </c>
      <c r="U404" t="s">
        <v>43</v>
      </c>
      <c r="V404" t="str">
        <f t="shared" si="60"/>
        <v/>
      </c>
      <c r="W404" t="str">
        <f t="shared" si="61"/>
        <v/>
      </c>
      <c r="X404">
        <f t="shared" si="62"/>
        <v>-1.0661353799231277</v>
      </c>
      <c r="Y404">
        <f t="shared" si="63"/>
        <v>4095.7799999999997</v>
      </c>
      <c r="Z404">
        <f t="shared" si="64"/>
        <v>1288.0099999999998</v>
      </c>
      <c r="AA404">
        <f t="shared" si="65"/>
        <v>0.31447245701673426</v>
      </c>
      <c r="AB404">
        <f t="shared" si="66"/>
        <v>0</v>
      </c>
      <c r="AC404" t="str">
        <f t="shared" si="67"/>
        <v>March</v>
      </c>
      <c r="AD404">
        <f t="shared" si="68"/>
        <v>2024</v>
      </c>
      <c r="AE404" t="str">
        <f t="shared" si="69"/>
        <v>CLEAN</v>
      </c>
    </row>
    <row r="405" spans="1:31">
      <c r="A405" t="s">
        <v>1339</v>
      </c>
      <c r="B405" s="3">
        <v>45565</v>
      </c>
      <c r="C405" s="3">
        <v>45569</v>
      </c>
      <c r="D405" t="s">
        <v>1340</v>
      </c>
      <c r="E405" t="s">
        <v>63</v>
      </c>
      <c r="F405" t="s">
        <v>47</v>
      </c>
      <c r="G405" t="s">
        <v>64</v>
      </c>
      <c r="H405" t="s">
        <v>195</v>
      </c>
      <c r="I405" t="s">
        <v>196</v>
      </c>
      <c r="J405" t="s">
        <v>38</v>
      </c>
      <c r="K405" t="s">
        <v>1341</v>
      </c>
      <c r="L405" t="s">
        <v>1342</v>
      </c>
      <c r="M405" t="s">
        <v>54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42</v>
      </c>
      <c r="U405" t="s">
        <v>113</v>
      </c>
      <c r="V405" t="str">
        <f t="shared" si="60"/>
        <v/>
      </c>
      <c r="W405" t="str">
        <f t="shared" si="61"/>
        <v/>
      </c>
      <c r="X405">
        <f t="shared" si="62"/>
        <v>-0.58747117266059101</v>
      </c>
      <c r="Y405">
        <f t="shared" si="63"/>
        <v>16683.1875</v>
      </c>
      <c r="Z405">
        <f t="shared" si="64"/>
        <v>6382.0275000000001</v>
      </c>
      <c r="AA405">
        <f t="shared" si="65"/>
        <v>0.38254245479168775</v>
      </c>
      <c r="AB405">
        <f t="shared" si="66"/>
        <v>4</v>
      </c>
      <c r="AC405" t="str">
        <f t="shared" si="67"/>
        <v>September</v>
      </c>
      <c r="AD405">
        <f t="shared" si="68"/>
        <v>2024</v>
      </c>
      <c r="AE405" t="str">
        <f t="shared" si="69"/>
        <v>CLEAN</v>
      </c>
    </row>
    <row r="406" spans="1:31">
      <c r="A406" t="s">
        <v>1343</v>
      </c>
      <c r="B406" s="3">
        <v>45318</v>
      </c>
      <c r="C406" s="3">
        <v>45353</v>
      </c>
      <c r="D406" t="s">
        <v>1344</v>
      </c>
      <c r="E406" t="s">
        <v>99</v>
      </c>
      <c r="F406" t="s">
        <v>100</v>
      </c>
      <c r="G406" t="s">
        <v>73</v>
      </c>
      <c r="H406" t="s">
        <v>36</v>
      </c>
      <c r="I406" t="s">
        <v>119</v>
      </c>
      <c r="J406" t="s">
        <v>51</v>
      </c>
      <c r="K406" t="s">
        <v>76</v>
      </c>
      <c r="L406" t="s">
        <v>1345</v>
      </c>
      <c r="M406" t="s">
        <v>54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42</v>
      </c>
      <c r="U406" t="s">
        <v>43</v>
      </c>
      <c r="V406" t="str">
        <f t="shared" si="60"/>
        <v/>
      </c>
      <c r="W406" t="str">
        <f t="shared" si="61"/>
        <v/>
      </c>
      <c r="X406">
        <f t="shared" si="62"/>
        <v>-1.0661353799231277</v>
      </c>
      <c r="Y406">
        <f t="shared" si="63"/>
        <v>1078.83</v>
      </c>
      <c r="Z406">
        <f t="shared" si="64"/>
        <v>152.4799999999999</v>
      </c>
      <c r="AA406">
        <f t="shared" si="65"/>
        <v>0.14133830167867034</v>
      </c>
      <c r="AB406">
        <f t="shared" si="66"/>
        <v>35</v>
      </c>
      <c r="AC406" t="str">
        <f t="shared" si="67"/>
        <v>January</v>
      </c>
      <c r="AD406">
        <f t="shared" si="68"/>
        <v>2024</v>
      </c>
      <c r="AE406" t="str">
        <f t="shared" si="69"/>
        <v>CLEAN</v>
      </c>
    </row>
    <row r="407" spans="1:31">
      <c r="A407" t="s">
        <v>1346</v>
      </c>
      <c r="B407" s="3">
        <v>45558</v>
      </c>
      <c r="C407" s="3">
        <v>45559</v>
      </c>
      <c r="D407" t="s">
        <v>1347</v>
      </c>
      <c r="E407" t="s">
        <v>99</v>
      </c>
      <c r="F407" t="s">
        <v>105</v>
      </c>
      <c r="G407" t="s">
        <v>73</v>
      </c>
      <c r="H407" t="s">
        <v>190</v>
      </c>
      <c r="I407" t="s">
        <v>191</v>
      </c>
      <c r="J407" t="s">
        <v>51</v>
      </c>
      <c r="K407" t="s">
        <v>168</v>
      </c>
      <c r="L407" t="s">
        <v>1348</v>
      </c>
      <c r="M407" t="s">
        <v>215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42</v>
      </c>
      <c r="U407" t="s">
        <v>43</v>
      </c>
      <c r="V407" t="str">
        <f t="shared" si="60"/>
        <v/>
      </c>
      <c r="W407" t="str">
        <f t="shared" si="61"/>
        <v/>
      </c>
      <c r="X407">
        <f t="shared" si="62"/>
        <v>-0.10880696539805437</v>
      </c>
      <c r="Y407">
        <f t="shared" si="63"/>
        <v>24431.463</v>
      </c>
      <c r="Z407">
        <f t="shared" si="64"/>
        <v>6229.1029999999992</v>
      </c>
      <c r="AA407">
        <f t="shared" si="65"/>
        <v>0.25496234097810677</v>
      </c>
      <c r="AB407">
        <f t="shared" si="66"/>
        <v>1</v>
      </c>
      <c r="AC407" t="str">
        <f t="shared" si="67"/>
        <v>September</v>
      </c>
      <c r="AD407">
        <f t="shared" si="68"/>
        <v>2024</v>
      </c>
      <c r="AE407" t="str">
        <f t="shared" si="69"/>
        <v>CLEAN</v>
      </c>
    </row>
    <row r="408" spans="1:31">
      <c r="A408" t="s">
        <v>1349</v>
      </c>
      <c r="B408" s="3">
        <v>45713</v>
      </c>
      <c r="C408" s="3">
        <v>45713</v>
      </c>
      <c r="D408" t="s">
        <v>1350</v>
      </c>
      <c r="E408" t="s">
        <v>276</v>
      </c>
      <c r="F408" t="s">
        <v>47</v>
      </c>
      <c r="G408" t="s">
        <v>73</v>
      </c>
      <c r="H408" t="s">
        <v>200</v>
      </c>
      <c r="I408" t="s">
        <v>201</v>
      </c>
      <c r="J408" t="s">
        <v>51</v>
      </c>
      <c r="K408" t="s">
        <v>67</v>
      </c>
      <c r="L408" t="s">
        <v>1351</v>
      </c>
      <c r="M408" t="s">
        <v>69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121</v>
      </c>
      <c r="U408" t="s">
        <v>113</v>
      </c>
      <c r="V408" t="str">
        <f t="shared" si="60"/>
        <v/>
      </c>
      <c r="W408" t="str">
        <f t="shared" si="61"/>
        <v/>
      </c>
      <c r="X408">
        <f t="shared" si="62"/>
        <v>1.3271856563895552</v>
      </c>
      <c r="Y408">
        <f t="shared" si="63"/>
        <v>5886.2999999999993</v>
      </c>
      <c r="Z408">
        <f t="shared" si="64"/>
        <v>2264.5399999999991</v>
      </c>
      <c r="AA408">
        <f t="shared" si="65"/>
        <v>0.38471365713606159</v>
      </c>
      <c r="AB408">
        <f t="shared" si="66"/>
        <v>0</v>
      </c>
      <c r="AC408" t="str">
        <f t="shared" si="67"/>
        <v>February</v>
      </c>
      <c r="AD408">
        <f t="shared" si="68"/>
        <v>2025</v>
      </c>
      <c r="AE408" t="str">
        <f t="shared" si="69"/>
        <v>CLEAN</v>
      </c>
    </row>
    <row r="409" spans="1:31">
      <c r="A409" t="s">
        <v>1352</v>
      </c>
      <c r="B409" s="3">
        <v>45424</v>
      </c>
      <c r="C409" s="3">
        <v>45425</v>
      </c>
      <c r="D409" t="s">
        <v>1353</v>
      </c>
      <c r="E409" t="s">
        <v>128</v>
      </c>
      <c r="F409" t="s">
        <v>100</v>
      </c>
      <c r="G409" t="s">
        <v>73</v>
      </c>
      <c r="H409" t="s">
        <v>200</v>
      </c>
      <c r="I409" t="s">
        <v>201</v>
      </c>
      <c r="J409" t="s">
        <v>38</v>
      </c>
      <c r="K409" t="s">
        <v>101</v>
      </c>
      <c r="L409" t="s">
        <v>1354</v>
      </c>
      <c r="M409" t="s">
        <v>41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42</v>
      </c>
      <c r="U409" t="s">
        <v>43</v>
      </c>
      <c r="V409" t="str">
        <f t="shared" si="60"/>
        <v/>
      </c>
      <c r="W409" t="str">
        <f t="shared" si="61"/>
        <v/>
      </c>
      <c r="X409">
        <f t="shared" si="62"/>
        <v>-1.0661353799231277</v>
      </c>
      <c r="Y409">
        <f t="shared" si="63"/>
        <v>7933.6500000000005</v>
      </c>
      <c r="Z409">
        <f t="shared" si="64"/>
        <v>2235.2300000000005</v>
      </c>
      <c r="AA409">
        <f t="shared" si="65"/>
        <v>0.2817404347305465</v>
      </c>
      <c r="AB409">
        <f t="shared" si="66"/>
        <v>1</v>
      </c>
      <c r="AC409" t="str">
        <f t="shared" si="67"/>
        <v>May</v>
      </c>
      <c r="AD409">
        <f t="shared" si="68"/>
        <v>2024</v>
      </c>
      <c r="AE409" t="str">
        <f t="shared" si="69"/>
        <v>CLEAN</v>
      </c>
    </row>
    <row r="410" spans="1:31">
      <c r="A410" t="s">
        <v>1355</v>
      </c>
      <c r="B410" s="3">
        <v>45665</v>
      </c>
      <c r="C410" s="3">
        <v>45724</v>
      </c>
      <c r="D410" t="s">
        <v>1356</v>
      </c>
      <c r="E410" t="s">
        <v>142</v>
      </c>
      <c r="F410" t="s">
        <v>34</v>
      </c>
      <c r="G410" t="s">
        <v>73</v>
      </c>
      <c r="H410" t="s">
        <v>74</v>
      </c>
      <c r="I410" t="s">
        <v>75</v>
      </c>
      <c r="J410" t="s">
        <v>51</v>
      </c>
      <c r="K410" t="s">
        <v>76</v>
      </c>
      <c r="L410" t="s">
        <v>1357</v>
      </c>
      <c r="M410" t="s">
        <v>60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165</v>
      </c>
      <c r="U410" t="s">
        <v>113</v>
      </c>
      <c r="V410" t="str">
        <f t="shared" si="60"/>
        <v/>
      </c>
      <c r="W410" t="str">
        <f t="shared" si="61"/>
        <v/>
      </c>
      <c r="X410">
        <f t="shared" si="62"/>
        <v>-1.0661353799231277</v>
      </c>
      <c r="Y410">
        <f t="shared" si="63"/>
        <v>7093.84</v>
      </c>
      <c r="Z410">
        <f t="shared" si="64"/>
        <v>2506.3500000000004</v>
      </c>
      <c r="AA410">
        <f t="shared" si="65"/>
        <v>0.35331357910525191</v>
      </c>
      <c r="AB410">
        <f t="shared" si="66"/>
        <v>59</v>
      </c>
      <c r="AC410" t="str">
        <f t="shared" si="67"/>
        <v>January</v>
      </c>
      <c r="AD410">
        <f t="shared" si="68"/>
        <v>2025</v>
      </c>
      <c r="AE410" t="str">
        <f t="shared" si="69"/>
        <v>CLEAN</v>
      </c>
    </row>
    <row r="411" spans="1:31">
      <c r="A411" t="s">
        <v>1358</v>
      </c>
      <c r="B411" s="3">
        <v>45701</v>
      </c>
      <c r="C411" s="3">
        <v>45703</v>
      </c>
      <c r="D411" t="s">
        <v>1359</v>
      </c>
      <c r="E411" t="s">
        <v>33</v>
      </c>
      <c r="F411" t="s">
        <v>34</v>
      </c>
      <c r="G411" t="s">
        <v>48</v>
      </c>
      <c r="H411" t="s">
        <v>176</v>
      </c>
      <c r="I411" t="s">
        <v>177</v>
      </c>
      <c r="J411" t="s">
        <v>84</v>
      </c>
      <c r="K411" t="s">
        <v>85</v>
      </c>
      <c r="L411" t="s">
        <v>1360</v>
      </c>
      <c r="M411" t="s">
        <v>54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112</v>
      </c>
      <c r="U411" t="s">
        <v>113</v>
      </c>
      <c r="V411" t="str">
        <f t="shared" si="60"/>
        <v/>
      </c>
      <c r="W411" t="str">
        <f t="shared" si="61"/>
        <v/>
      </c>
      <c r="X411">
        <f t="shared" si="62"/>
        <v>1.3271856563895552</v>
      </c>
      <c r="Y411">
        <f t="shared" si="63"/>
        <v>2269.0950000000003</v>
      </c>
      <c r="Z411">
        <f t="shared" si="64"/>
        <v>675.50500000000034</v>
      </c>
      <c r="AA411">
        <f t="shared" si="65"/>
        <v>0.29769798091309541</v>
      </c>
      <c r="AB411">
        <f t="shared" si="66"/>
        <v>2</v>
      </c>
      <c r="AC411" t="str">
        <f t="shared" si="67"/>
        <v>February</v>
      </c>
      <c r="AD411">
        <f t="shared" si="68"/>
        <v>2025</v>
      </c>
      <c r="AE411" t="str">
        <f t="shared" si="69"/>
        <v>CLEAN</v>
      </c>
    </row>
    <row r="412" spans="1:31">
      <c r="A412" t="s">
        <v>1361</v>
      </c>
      <c r="B412" s="3">
        <v>45394</v>
      </c>
      <c r="C412" s="3">
        <v>45402</v>
      </c>
      <c r="D412" t="s">
        <v>1362</v>
      </c>
      <c r="E412" t="s">
        <v>172</v>
      </c>
      <c r="F412" t="s">
        <v>34</v>
      </c>
      <c r="G412" t="s">
        <v>73</v>
      </c>
      <c r="H412" t="s">
        <v>200</v>
      </c>
      <c r="I412" t="s">
        <v>201</v>
      </c>
      <c r="J412" t="s">
        <v>51</v>
      </c>
      <c r="K412" t="s">
        <v>52</v>
      </c>
      <c r="L412" t="s">
        <v>1363</v>
      </c>
      <c r="M412" t="s">
        <v>60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42</v>
      </c>
      <c r="U412" t="s">
        <v>43</v>
      </c>
      <c r="V412" t="str">
        <f t="shared" si="60"/>
        <v/>
      </c>
      <c r="W412" t="str">
        <f t="shared" si="61"/>
        <v/>
      </c>
      <c r="X412">
        <f t="shared" si="62"/>
        <v>0.84852144912701888</v>
      </c>
      <c r="Y412">
        <f t="shared" si="63"/>
        <v>9378.7919999999995</v>
      </c>
      <c r="Z412">
        <f t="shared" si="64"/>
        <v>2604.3119999999999</v>
      </c>
      <c r="AA412">
        <f t="shared" si="65"/>
        <v>0.27768096360384154</v>
      </c>
      <c r="AB412">
        <f t="shared" si="66"/>
        <v>8</v>
      </c>
      <c r="AC412" t="str">
        <f t="shared" si="67"/>
        <v>April</v>
      </c>
      <c r="AD412">
        <f t="shared" si="68"/>
        <v>2024</v>
      </c>
      <c r="AE412" t="str">
        <f t="shared" si="69"/>
        <v>CLEAN</v>
      </c>
    </row>
    <row r="413" spans="1:31">
      <c r="A413" t="s">
        <v>1364</v>
      </c>
      <c r="B413" s="3">
        <v>45892</v>
      </c>
      <c r="C413" s="3">
        <v>45897</v>
      </c>
      <c r="D413" t="s">
        <v>1365</v>
      </c>
      <c r="E413" t="s">
        <v>63</v>
      </c>
      <c r="F413" t="s">
        <v>105</v>
      </c>
      <c r="G413" t="s">
        <v>73</v>
      </c>
      <c r="H413" t="s">
        <v>36</v>
      </c>
      <c r="I413" t="s">
        <v>119</v>
      </c>
      <c r="J413" t="s">
        <v>51</v>
      </c>
      <c r="K413" t="s">
        <v>52</v>
      </c>
      <c r="L413" t="s">
        <v>1366</v>
      </c>
      <c r="M413" t="s">
        <v>60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165</v>
      </c>
      <c r="U413" t="s">
        <v>113</v>
      </c>
      <c r="V413" t="str">
        <f t="shared" si="60"/>
        <v/>
      </c>
      <c r="W413" t="str">
        <f t="shared" si="61"/>
        <v/>
      </c>
      <c r="X413">
        <f t="shared" si="62"/>
        <v>0.84852144912701888</v>
      </c>
      <c r="Y413">
        <f t="shared" si="63"/>
        <v>3334.2480000000005</v>
      </c>
      <c r="Z413">
        <f t="shared" si="64"/>
        <v>565.47800000000052</v>
      </c>
      <c r="AA413">
        <f t="shared" si="65"/>
        <v>0.16959686262089696</v>
      </c>
      <c r="AB413">
        <f t="shared" si="66"/>
        <v>5</v>
      </c>
      <c r="AC413" t="str">
        <f t="shared" si="67"/>
        <v>August</v>
      </c>
      <c r="AD413">
        <f t="shared" si="68"/>
        <v>2025</v>
      </c>
      <c r="AE413" t="str">
        <f t="shared" si="69"/>
        <v>CLEAN</v>
      </c>
    </row>
    <row r="414" spans="1:31">
      <c r="A414" t="s">
        <v>1367</v>
      </c>
      <c r="B414" s="3">
        <v>45313</v>
      </c>
      <c r="C414" s="3">
        <v>45321</v>
      </c>
      <c r="D414" t="s">
        <v>1368</v>
      </c>
      <c r="E414" t="s">
        <v>57</v>
      </c>
      <c r="F414" t="s">
        <v>100</v>
      </c>
      <c r="G414" t="s">
        <v>64</v>
      </c>
      <c r="H414" t="s">
        <v>185</v>
      </c>
      <c r="I414" t="s">
        <v>186</v>
      </c>
      <c r="J414" t="s">
        <v>51</v>
      </c>
      <c r="K414" t="s">
        <v>76</v>
      </c>
      <c r="L414" t="s">
        <v>1369</v>
      </c>
      <c r="M414" t="s">
        <v>54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42</v>
      </c>
      <c r="U414" t="s">
        <v>43</v>
      </c>
      <c r="V414" t="str">
        <f t="shared" si="60"/>
        <v/>
      </c>
      <c r="W414" t="str">
        <f t="shared" si="61"/>
        <v/>
      </c>
      <c r="X414">
        <f t="shared" si="62"/>
        <v>1.3271856563895552</v>
      </c>
      <c r="Y414">
        <f t="shared" si="63"/>
        <v>1583.5425</v>
      </c>
      <c r="Z414">
        <f t="shared" si="64"/>
        <v>569.35249999999996</v>
      </c>
      <c r="AA414">
        <f t="shared" si="65"/>
        <v>0.35954355503562424</v>
      </c>
      <c r="AB414">
        <f t="shared" si="66"/>
        <v>8</v>
      </c>
      <c r="AC414" t="str">
        <f t="shared" si="67"/>
        <v>January</v>
      </c>
      <c r="AD414">
        <f t="shared" si="68"/>
        <v>2024</v>
      </c>
      <c r="AE414" t="str">
        <f t="shared" si="69"/>
        <v>CLEAN</v>
      </c>
    </row>
    <row r="415" spans="1:31">
      <c r="A415" t="s">
        <v>1370</v>
      </c>
      <c r="B415" s="3">
        <v>45882</v>
      </c>
      <c r="C415" s="3">
        <v>45886</v>
      </c>
      <c r="D415" t="s">
        <v>1371</v>
      </c>
      <c r="E415" t="s">
        <v>89</v>
      </c>
      <c r="F415" t="s">
        <v>105</v>
      </c>
      <c r="G415" t="s">
        <v>73</v>
      </c>
      <c r="H415" t="s">
        <v>82</v>
      </c>
      <c r="I415" t="s">
        <v>83</v>
      </c>
      <c r="J415" t="s">
        <v>84</v>
      </c>
      <c r="K415" t="s">
        <v>85</v>
      </c>
      <c r="L415" t="s">
        <v>1372</v>
      </c>
      <c r="M415" t="s">
        <v>41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121</v>
      </c>
      <c r="U415" t="s">
        <v>78</v>
      </c>
      <c r="V415" t="str">
        <f t="shared" si="60"/>
        <v/>
      </c>
      <c r="W415" t="str">
        <f t="shared" si="61"/>
        <v/>
      </c>
      <c r="X415">
        <f t="shared" si="62"/>
        <v>-1.0661353799231277</v>
      </c>
      <c r="Y415">
        <f t="shared" si="63"/>
        <v>15345.84</v>
      </c>
      <c r="Z415">
        <f t="shared" si="64"/>
        <v>4610.51</v>
      </c>
      <c r="AA415">
        <f t="shared" si="65"/>
        <v>0.30044037993358463</v>
      </c>
      <c r="AB415">
        <f t="shared" si="66"/>
        <v>4</v>
      </c>
      <c r="AC415" t="str">
        <f t="shared" si="67"/>
        <v>August</v>
      </c>
      <c r="AD415">
        <f t="shared" si="68"/>
        <v>2025</v>
      </c>
      <c r="AE415" t="str">
        <f t="shared" si="69"/>
        <v>WARNING</v>
      </c>
    </row>
    <row r="416" spans="1:31">
      <c r="A416" t="s">
        <v>1373</v>
      </c>
      <c r="B416" s="3">
        <v>45533</v>
      </c>
      <c r="C416" s="3">
        <v>45534</v>
      </c>
      <c r="D416" t="s">
        <v>1374</v>
      </c>
      <c r="E416" t="s">
        <v>63</v>
      </c>
      <c r="F416" t="s">
        <v>105</v>
      </c>
      <c r="G416" t="s">
        <v>48</v>
      </c>
      <c r="H416" t="s">
        <v>176</v>
      </c>
      <c r="I416" t="s">
        <v>177</v>
      </c>
      <c r="J416" t="s">
        <v>38</v>
      </c>
      <c r="K416" t="s">
        <v>134</v>
      </c>
      <c r="L416" t="s">
        <v>1375</v>
      </c>
      <c r="M416" t="s">
        <v>60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42</v>
      </c>
      <c r="U416" t="s">
        <v>43</v>
      </c>
      <c r="V416" t="str">
        <f t="shared" si="60"/>
        <v/>
      </c>
      <c r="W416" t="str">
        <f t="shared" si="61"/>
        <v/>
      </c>
      <c r="X416">
        <f t="shared" si="62"/>
        <v>-0.58747117266059101</v>
      </c>
      <c r="Y416">
        <f t="shared" si="63"/>
        <v>9439.503999999999</v>
      </c>
      <c r="Z416">
        <f t="shared" si="64"/>
        <v>3920.1139999999987</v>
      </c>
      <c r="AA416">
        <f t="shared" si="65"/>
        <v>0.41528813378330037</v>
      </c>
      <c r="AB416">
        <f t="shared" si="66"/>
        <v>1</v>
      </c>
      <c r="AC416" t="str">
        <f t="shared" si="67"/>
        <v>August</v>
      </c>
      <c r="AD416">
        <f t="shared" si="68"/>
        <v>2024</v>
      </c>
      <c r="AE416" t="str">
        <f t="shared" si="69"/>
        <v>CLEAN</v>
      </c>
    </row>
    <row r="417" spans="1:31">
      <c r="A417" t="s">
        <v>1376</v>
      </c>
      <c r="B417" s="3">
        <v>45316</v>
      </c>
      <c r="C417" s="3">
        <v>45318</v>
      </c>
      <c r="D417" t="s">
        <v>1377</v>
      </c>
      <c r="E417" t="s">
        <v>138</v>
      </c>
      <c r="F417" t="s">
        <v>100</v>
      </c>
      <c r="G417" t="s">
        <v>64</v>
      </c>
      <c r="H417" t="s">
        <v>185</v>
      </c>
      <c r="I417" t="s">
        <v>186</v>
      </c>
      <c r="J417" t="s">
        <v>38</v>
      </c>
      <c r="K417" t="s">
        <v>134</v>
      </c>
      <c r="L417" t="s">
        <v>1378</v>
      </c>
      <c r="M417" t="s">
        <v>54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42</v>
      </c>
      <c r="U417" t="s">
        <v>113</v>
      </c>
      <c r="V417" t="str">
        <f t="shared" si="60"/>
        <v/>
      </c>
      <c r="W417" t="str">
        <f t="shared" si="61"/>
        <v/>
      </c>
      <c r="X417">
        <f t="shared" si="62"/>
        <v>0.3698572418644821</v>
      </c>
      <c r="Y417">
        <f t="shared" si="63"/>
        <v>10277.197</v>
      </c>
      <c r="Z417">
        <f t="shared" si="64"/>
        <v>2370.6970000000001</v>
      </c>
      <c r="AA417">
        <f t="shared" si="65"/>
        <v>0.23067544584384245</v>
      </c>
      <c r="AB417">
        <f t="shared" si="66"/>
        <v>2</v>
      </c>
      <c r="AC417" t="str">
        <f t="shared" si="67"/>
        <v>January</v>
      </c>
      <c r="AD417">
        <f t="shared" si="68"/>
        <v>2024</v>
      </c>
      <c r="AE417" t="str">
        <f t="shared" si="69"/>
        <v>CLEAN</v>
      </c>
    </row>
    <row r="418" spans="1:31">
      <c r="A418" t="s">
        <v>1379</v>
      </c>
      <c r="B418" s="3">
        <v>45665</v>
      </c>
      <c r="C418" s="3">
        <v>45673</v>
      </c>
      <c r="D418" t="s">
        <v>1380</v>
      </c>
      <c r="E418" t="s">
        <v>89</v>
      </c>
      <c r="F418" t="s">
        <v>34</v>
      </c>
      <c r="G418" t="s">
        <v>64</v>
      </c>
      <c r="H418" t="s">
        <v>65</v>
      </c>
      <c r="I418" t="s">
        <v>66</v>
      </c>
      <c r="J418" t="s">
        <v>51</v>
      </c>
      <c r="K418" t="s">
        <v>67</v>
      </c>
      <c r="L418" t="s">
        <v>1381</v>
      </c>
      <c r="M418" t="s">
        <v>60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42</v>
      </c>
      <c r="U418" t="s">
        <v>43</v>
      </c>
      <c r="V418" t="str">
        <f t="shared" si="60"/>
        <v/>
      </c>
      <c r="W418" t="str">
        <f t="shared" si="61"/>
        <v/>
      </c>
      <c r="X418">
        <f t="shared" si="62"/>
        <v>1.3271856563895552</v>
      </c>
      <c r="Y418">
        <f t="shared" si="63"/>
        <v>3833.7000000000003</v>
      </c>
      <c r="Z418">
        <f t="shared" si="64"/>
        <v>947.35000000000036</v>
      </c>
      <c r="AA418">
        <f t="shared" si="65"/>
        <v>0.24711114589039318</v>
      </c>
      <c r="AB418">
        <f t="shared" si="66"/>
        <v>8</v>
      </c>
      <c r="AC418" t="str">
        <f t="shared" si="67"/>
        <v>January</v>
      </c>
      <c r="AD418">
        <f t="shared" si="68"/>
        <v>2025</v>
      </c>
      <c r="AE418" t="str">
        <f t="shared" si="69"/>
        <v>CLEAN</v>
      </c>
    </row>
    <row r="419" spans="1:31">
      <c r="A419" t="s">
        <v>1382</v>
      </c>
      <c r="B419" s="3">
        <v>45686</v>
      </c>
      <c r="C419" s="3">
        <v>45779</v>
      </c>
      <c r="D419" t="s">
        <v>1383</v>
      </c>
      <c r="E419" t="s">
        <v>46</v>
      </c>
      <c r="F419" t="s">
        <v>34</v>
      </c>
      <c r="G419" t="s">
        <v>73</v>
      </c>
      <c r="H419" t="s">
        <v>190</v>
      </c>
      <c r="I419" t="s">
        <v>191</v>
      </c>
      <c r="J419" t="s">
        <v>38</v>
      </c>
      <c r="K419" t="s">
        <v>58</v>
      </c>
      <c r="L419" t="s">
        <v>1384</v>
      </c>
      <c r="M419" t="s">
        <v>60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42</v>
      </c>
      <c r="U419" t="s">
        <v>43</v>
      </c>
      <c r="V419" t="str">
        <f t="shared" si="60"/>
        <v/>
      </c>
      <c r="W419" t="str">
        <f t="shared" si="61"/>
        <v/>
      </c>
      <c r="X419">
        <f t="shared" si="62"/>
        <v>0.84852144912701888</v>
      </c>
      <c r="Y419">
        <f t="shared" si="63"/>
        <v>18542.400000000001</v>
      </c>
      <c r="Z419">
        <f t="shared" si="64"/>
        <v>7348.6500000000015</v>
      </c>
      <c r="AA419">
        <f t="shared" si="65"/>
        <v>0.39631601087237905</v>
      </c>
      <c r="AB419">
        <f t="shared" si="66"/>
        <v>93</v>
      </c>
      <c r="AC419" t="str">
        <f t="shared" si="67"/>
        <v>January</v>
      </c>
      <c r="AD419">
        <f t="shared" si="68"/>
        <v>2025</v>
      </c>
      <c r="AE419" t="str">
        <f t="shared" si="69"/>
        <v>CLEAN</v>
      </c>
    </row>
    <row r="420" spans="1:31">
      <c r="A420" t="s">
        <v>1385</v>
      </c>
      <c r="B420" s="3">
        <v>45546</v>
      </c>
      <c r="C420" s="3">
        <v>45613</v>
      </c>
      <c r="D420" t="s">
        <v>1386</v>
      </c>
      <c r="E420" t="s">
        <v>142</v>
      </c>
      <c r="F420" t="s">
        <v>100</v>
      </c>
      <c r="G420" t="s">
        <v>48</v>
      </c>
      <c r="H420" t="s">
        <v>49</v>
      </c>
      <c r="I420" t="s">
        <v>50</v>
      </c>
      <c r="J420" t="s">
        <v>84</v>
      </c>
      <c r="K420" t="s">
        <v>90</v>
      </c>
      <c r="L420" t="s">
        <v>1387</v>
      </c>
      <c r="M420" t="s">
        <v>69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165</v>
      </c>
      <c r="U420" t="s">
        <v>78</v>
      </c>
      <c r="V420" t="str">
        <f t="shared" si="60"/>
        <v/>
      </c>
      <c r="W420" t="str">
        <f t="shared" si="61"/>
        <v/>
      </c>
      <c r="X420">
        <f t="shared" si="62"/>
        <v>-1.0661353799231277</v>
      </c>
      <c r="Y420">
        <f t="shared" si="63"/>
        <v>21962.400000000001</v>
      </c>
      <c r="Z420">
        <f t="shared" si="64"/>
        <v>6630.4100000000017</v>
      </c>
      <c r="AA420">
        <f t="shared" si="65"/>
        <v>0.3018982442720286</v>
      </c>
      <c r="AB420">
        <f t="shared" si="66"/>
        <v>67</v>
      </c>
      <c r="AC420" t="str">
        <f t="shared" si="67"/>
        <v>September</v>
      </c>
      <c r="AD420">
        <f t="shared" si="68"/>
        <v>2024</v>
      </c>
      <c r="AE420" t="str">
        <f t="shared" si="69"/>
        <v>WARNING</v>
      </c>
    </row>
    <row r="421" spans="1:31">
      <c r="A421" t="s">
        <v>1388</v>
      </c>
      <c r="B421" s="3">
        <v>45926</v>
      </c>
      <c r="C421" s="3">
        <v>45930</v>
      </c>
      <c r="D421" t="s">
        <v>1389</v>
      </c>
      <c r="E421" t="s">
        <v>142</v>
      </c>
      <c r="F421" t="s">
        <v>105</v>
      </c>
      <c r="G421" t="s">
        <v>35</v>
      </c>
      <c r="H421" t="s">
        <v>248</v>
      </c>
      <c r="I421" t="s">
        <v>249</v>
      </c>
      <c r="J421" t="s">
        <v>84</v>
      </c>
      <c r="K421" t="s">
        <v>181</v>
      </c>
      <c r="L421" t="s">
        <v>1390</v>
      </c>
      <c r="M421" t="s">
        <v>54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42</v>
      </c>
      <c r="U421" t="s">
        <v>43</v>
      </c>
      <c r="V421" t="str">
        <f t="shared" si="60"/>
        <v/>
      </c>
      <c r="W421" t="str">
        <f t="shared" si="61"/>
        <v/>
      </c>
      <c r="X421">
        <f t="shared" si="62"/>
        <v>-0.58747117266059101</v>
      </c>
      <c r="Y421">
        <f t="shared" si="63"/>
        <v>1308.777</v>
      </c>
      <c r="Z421">
        <f t="shared" si="64"/>
        <v>465.77700000000004</v>
      </c>
      <c r="AA421">
        <f t="shared" si="65"/>
        <v>0.35588721378813964</v>
      </c>
      <c r="AB421">
        <f t="shared" si="66"/>
        <v>4</v>
      </c>
      <c r="AC421" t="str">
        <f t="shared" si="67"/>
        <v>September</v>
      </c>
      <c r="AD421">
        <f t="shared" si="68"/>
        <v>2025</v>
      </c>
      <c r="AE421" t="str">
        <f t="shared" si="69"/>
        <v>CLEAN</v>
      </c>
    </row>
    <row r="422" spans="1:31">
      <c r="A422" t="s">
        <v>1391</v>
      </c>
      <c r="B422" s="3">
        <v>45734</v>
      </c>
      <c r="C422" s="3">
        <v>45735</v>
      </c>
      <c r="D422" t="s">
        <v>1392</v>
      </c>
      <c r="E422" t="s">
        <v>57</v>
      </c>
      <c r="F422" t="s">
        <v>100</v>
      </c>
      <c r="G422" t="s">
        <v>64</v>
      </c>
      <c r="H422" t="s">
        <v>259</v>
      </c>
      <c r="I422" t="s">
        <v>260</v>
      </c>
      <c r="J422" t="s">
        <v>84</v>
      </c>
      <c r="K422" t="s">
        <v>286</v>
      </c>
      <c r="L422" t="s">
        <v>1393</v>
      </c>
      <c r="M422" t="s">
        <v>69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121</v>
      </c>
      <c r="U422" t="s">
        <v>78</v>
      </c>
      <c r="V422" t="str">
        <f t="shared" si="60"/>
        <v/>
      </c>
      <c r="W422" t="str">
        <f t="shared" si="61"/>
        <v/>
      </c>
      <c r="X422">
        <f t="shared" si="62"/>
        <v>1.3271856563895552</v>
      </c>
      <c r="Y422">
        <f t="shared" si="63"/>
        <v>1814.9850000000001</v>
      </c>
      <c r="Z422">
        <f t="shared" si="64"/>
        <v>694.92500000000018</v>
      </c>
      <c r="AA422">
        <f t="shared" si="65"/>
        <v>0.38288195219244242</v>
      </c>
      <c r="AB422">
        <f t="shared" si="66"/>
        <v>1</v>
      </c>
      <c r="AC422" t="str">
        <f t="shared" si="67"/>
        <v>March</v>
      </c>
      <c r="AD422">
        <f t="shared" si="68"/>
        <v>2025</v>
      </c>
      <c r="AE422" t="str">
        <f t="shared" si="69"/>
        <v>WARNING</v>
      </c>
    </row>
    <row r="423" spans="1:31">
      <c r="A423" t="s">
        <v>1394</v>
      </c>
      <c r="B423" s="3">
        <v>45822</v>
      </c>
      <c r="C423" s="3">
        <v>45827</v>
      </c>
      <c r="D423" t="s">
        <v>1395</v>
      </c>
      <c r="E423" t="s">
        <v>151</v>
      </c>
      <c r="F423" t="s">
        <v>47</v>
      </c>
      <c r="G423" t="s">
        <v>35</v>
      </c>
      <c r="H423" t="s">
        <v>362</v>
      </c>
      <c r="I423" t="s">
        <v>363</v>
      </c>
      <c r="J423" t="s">
        <v>38</v>
      </c>
      <c r="K423" t="s">
        <v>163</v>
      </c>
      <c r="L423" t="s">
        <v>1396</v>
      </c>
      <c r="M423" t="s">
        <v>54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121</v>
      </c>
      <c r="U423" t="s">
        <v>113</v>
      </c>
      <c r="V423" t="str">
        <f t="shared" si="60"/>
        <v/>
      </c>
      <c r="W423" t="str">
        <f t="shared" si="61"/>
        <v/>
      </c>
      <c r="X423">
        <f t="shared" si="62"/>
        <v>0.84852144912701888</v>
      </c>
      <c r="Y423">
        <f t="shared" si="63"/>
        <v>2489.8800000000006</v>
      </c>
      <c r="Z423">
        <f t="shared" si="64"/>
        <v>782.36000000000058</v>
      </c>
      <c r="AA423">
        <f t="shared" si="65"/>
        <v>0.31421594615001541</v>
      </c>
      <c r="AB423">
        <f t="shared" si="66"/>
        <v>5</v>
      </c>
      <c r="AC423" t="str">
        <f t="shared" si="67"/>
        <v>June</v>
      </c>
      <c r="AD423">
        <f t="shared" si="68"/>
        <v>2025</v>
      </c>
      <c r="AE423" t="str">
        <f t="shared" si="69"/>
        <v>CLEAN</v>
      </c>
    </row>
    <row r="424" spans="1:31">
      <c r="A424" t="s">
        <v>1397</v>
      </c>
      <c r="B424" s="3">
        <v>45725</v>
      </c>
      <c r="C424" s="3">
        <v>45906</v>
      </c>
      <c r="D424" t="s">
        <v>1398</v>
      </c>
      <c r="E424" t="s">
        <v>276</v>
      </c>
      <c r="F424" t="s">
        <v>34</v>
      </c>
      <c r="G424" t="s">
        <v>73</v>
      </c>
      <c r="H424" t="s">
        <v>82</v>
      </c>
      <c r="I424" t="s">
        <v>83</v>
      </c>
      <c r="J424" t="s">
        <v>84</v>
      </c>
      <c r="K424" t="s">
        <v>90</v>
      </c>
      <c r="L424" t="s">
        <v>1399</v>
      </c>
      <c r="M424" t="s">
        <v>54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42</v>
      </c>
      <c r="U424" t="s">
        <v>43</v>
      </c>
      <c r="V424" t="str">
        <f t="shared" si="60"/>
        <v/>
      </c>
      <c r="W424" t="str">
        <f t="shared" si="61"/>
        <v/>
      </c>
      <c r="X424">
        <f t="shared" si="62"/>
        <v>0.3698572418644821</v>
      </c>
      <c r="Y424">
        <f t="shared" si="63"/>
        <v>4098.6574999999993</v>
      </c>
      <c r="Z424">
        <f t="shared" si="64"/>
        <v>1420.5974999999994</v>
      </c>
      <c r="AA424">
        <f t="shared" si="65"/>
        <v>0.34660068571233377</v>
      </c>
      <c r="AB424">
        <f t="shared" si="66"/>
        <v>181</v>
      </c>
      <c r="AC424" t="str">
        <f t="shared" si="67"/>
        <v>March</v>
      </c>
      <c r="AD424">
        <f t="shared" si="68"/>
        <v>2025</v>
      </c>
      <c r="AE424" t="str">
        <f t="shared" si="69"/>
        <v>CLEAN</v>
      </c>
    </row>
    <row r="425" spans="1:31">
      <c r="A425" t="s">
        <v>1400</v>
      </c>
      <c r="B425" s="3">
        <v>45342</v>
      </c>
      <c r="C425" s="3">
        <v>45349</v>
      </c>
      <c r="D425" t="s">
        <v>1401</v>
      </c>
      <c r="E425" t="s">
        <v>172</v>
      </c>
      <c r="F425" t="s">
        <v>34</v>
      </c>
      <c r="G425" t="s">
        <v>64</v>
      </c>
      <c r="H425" t="s">
        <v>195</v>
      </c>
      <c r="I425" t="s">
        <v>196</v>
      </c>
      <c r="J425" t="s">
        <v>84</v>
      </c>
      <c r="K425" t="s">
        <v>85</v>
      </c>
      <c r="L425" t="s">
        <v>1402</v>
      </c>
      <c r="M425" t="s">
        <v>1403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42</v>
      </c>
      <c r="U425" t="s">
        <v>43</v>
      </c>
      <c r="V425" t="str">
        <f t="shared" si="60"/>
        <v/>
      </c>
      <c r="W425" t="str">
        <f t="shared" si="61"/>
        <v/>
      </c>
      <c r="X425">
        <f t="shared" si="62"/>
        <v>0.84852144912701888</v>
      </c>
      <c r="Y425">
        <f t="shared" si="63"/>
        <v>27211.032000000003</v>
      </c>
      <c r="Z425">
        <f t="shared" si="64"/>
        <v>9270.6020000000026</v>
      </c>
      <c r="AA425">
        <f t="shared" si="65"/>
        <v>0.34069277490100347</v>
      </c>
      <c r="AB425">
        <f t="shared" si="66"/>
        <v>7</v>
      </c>
      <c r="AC425" t="str">
        <f t="shared" si="67"/>
        <v>February</v>
      </c>
      <c r="AD425">
        <f t="shared" si="68"/>
        <v>2024</v>
      </c>
      <c r="AE425" t="str">
        <f t="shared" si="69"/>
        <v>CLEAN</v>
      </c>
    </row>
    <row r="426" spans="1:31">
      <c r="A426" t="s">
        <v>1404</v>
      </c>
      <c r="B426" s="3">
        <v>45469</v>
      </c>
      <c r="C426" s="3">
        <v>45472</v>
      </c>
      <c r="D426" t="s">
        <v>1405</v>
      </c>
      <c r="E426" t="s">
        <v>89</v>
      </c>
      <c r="F426" t="s">
        <v>100</v>
      </c>
      <c r="G426" t="s">
        <v>35</v>
      </c>
      <c r="H426" t="s">
        <v>132</v>
      </c>
      <c r="I426" t="s">
        <v>133</v>
      </c>
      <c r="J426" t="s">
        <v>84</v>
      </c>
      <c r="K426" t="s">
        <v>181</v>
      </c>
      <c r="L426" t="s">
        <v>1406</v>
      </c>
      <c r="M426" t="s">
        <v>69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42</v>
      </c>
      <c r="U426" t="s">
        <v>43</v>
      </c>
      <c r="V426" t="str">
        <f t="shared" si="60"/>
        <v/>
      </c>
      <c r="W426" t="str">
        <f t="shared" si="61"/>
        <v/>
      </c>
      <c r="X426">
        <f t="shared" si="62"/>
        <v>-1.0661353799231277</v>
      </c>
      <c r="Y426">
        <f t="shared" si="63"/>
        <v>6436.16</v>
      </c>
      <c r="Z426">
        <f t="shared" si="64"/>
        <v>2172.33</v>
      </c>
      <c r="AA426">
        <f t="shared" si="65"/>
        <v>0.33751957689056827</v>
      </c>
      <c r="AB426">
        <f t="shared" si="66"/>
        <v>3</v>
      </c>
      <c r="AC426" t="str">
        <f t="shared" si="67"/>
        <v>June</v>
      </c>
      <c r="AD426">
        <f t="shared" si="68"/>
        <v>2024</v>
      </c>
      <c r="AE426" t="str">
        <f t="shared" si="69"/>
        <v>CLEAN</v>
      </c>
    </row>
    <row r="427" spans="1:31">
      <c r="A427" t="s">
        <v>1407</v>
      </c>
      <c r="B427" s="3">
        <v>45561</v>
      </c>
      <c r="C427" s="3">
        <v>45562</v>
      </c>
      <c r="D427" t="s">
        <v>1408</v>
      </c>
      <c r="E427" t="s">
        <v>57</v>
      </c>
      <c r="F427" t="s">
        <v>105</v>
      </c>
      <c r="G427" t="s">
        <v>35</v>
      </c>
      <c r="H427" t="s">
        <v>362</v>
      </c>
      <c r="I427" t="s">
        <v>363</v>
      </c>
      <c r="J427" t="s">
        <v>38</v>
      </c>
      <c r="K427" t="s">
        <v>101</v>
      </c>
      <c r="L427" t="s">
        <v>1409</v>
      </c>
      <c r="M427" t="s">
        <v>60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112</v>
      </c>
      <c r="U427" t="s">
        <v>78</v>
      </c>
      <c r="V427" t="str">
        <f t="shared" si="60"/>
        <v/>
      </c>
      <c r="W427" t="str">
        <f t="shared" si="61"/>
        <v/>
      </c>
      <c r="X427">
        <f t="shared" si="62"/>
        <v>-0.10880696539805437</v>
      </c>
      <c r="Y427">
        <f t="shared" si="63"/>
        <v>1918.2420000000002</v>
      </c>
      <c r="Z427">
        <f t="shared" si="64"/>
        <v>544.72200000000021</v>
      </c>
      <c r="AA427">
        <f t="shared" si="65"/>
        <v>0.2839693844676533</v>
      </c>
      <c r="AB427">
        <f t="shared" si="66"/>
        <v>1</v>
      </c>
      <c r="AC427" t="str">
        <f t="shared" si="67"/>
        <v>September</v>
      </c>
      <c r="AD427">
        <f t="shared" si="68"/>
        <v>2024</v>
      </c>
      <c r="AE427" t="str">
        <f t="shared" si="69"/>
        <v>WARNING</v>
      </c>
    </row>
    <row r="428" spans="1:31">
      <c r="A428" t="s">
        <v>1410</v>
      </c>
      <c r="B428" s="3">
        <v>45473</v>
      </c>
      <c r="C428" s="3">
        <v>45474</v>
      </c>
      <c r="D428" t="s">
        <v>1411</v>
      </c>
      <c r="E428" t="s">
        <v>99</v>
      </c>
      <c r="F428" t="s">
        <v>34</v>
      </c>
      <c r="G428" t="s">
        <v>35</v>
      </c>
      <c r="H428" t="s">
        <v>248</v>
      </c>
      <c r="I428" t="s">
        <v>249</v>
      </c>
      <c r="J428" t="s">
        <v>84</v>
      </c>
      <c r="K428" t="s">
        <v>90</v>
      </c>
      <c r="L428" t="s">
        <v>1412</v>
      </c>
      <c r="M428" t="s">
        <v>54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42</v>
      </c>
      <c r="U428" t="s">
        <v>43</v>
      </c>
      <c r="V428" t="str">
        <f t="shared" si="60"/>
        <v/>
      </c>
      <c r="W428" t="str">
        <f t="shared" si="61"/>
        <v/>
      </c>
      <c r="X428">
        <f t="shared" si="62"/>
        <v>-0.10880696539805437</v>
      </c>
      <c r="Y428">
        <f t="shared" si="63"/>
        <v>27047.952000000001</v>
      </c>
      <c r="Z428">
        <f t="shared" si="64"/>
        <v>8616.6219999999994</v>
      </c>
      <c r="AA428">
        <f t="shared" si="65"/>
        <v>0.31856837072174626</v>
      </c>
      <c r="AB428">
        <f t="shared" si="66"/>
        <v>1</v>
      </c>
      <c r="AC428" t="str">
        <f t="shared" si="67"/>
        <v>June</v>
      </c>
      <c r="AD428">
        <f t="shared" si="68"/>
        <v>2024</v>
      </c>
      <c r="AE428" t="str">
        <f t="shared" si="69"/>
        <v>CLEAN</v>
      </c>
    </row>
    <row r="429" spans="1:31">
      <c r="A429" t="s">
        <v>1413</v>
      </c>
      <c r="B429" s="3">
        <v>45769</v>
      </c>
      <c r="C429" s="3">
        <v>45771</v>
      </c>
      <c r="D429" t="s">
        <v>1414</v>
      </c>
      <c r="E429" t="s">
        <v>57</v>
      </c>
      <c r="F429" t="s">
        <v>100</v>
      </c>
      <c r="G429" t="s">
        <v>215</v>
      </c>
      <c r="H429" t="s">
        <v>240</v>
      </c>
      <c r="I429" t="s">
        <v>241</v>
      </c>
      <c r="J429" t="s">
        <v>84</v>
      </c>
      <c r="K429" t="s">
        <v>85</v>
      </c>
      <c r="L429" t="s">
        <v>1415</v>
      </c>
      <c r="M429" t="s">
        <v>225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42</v>
      </c>
      <c r="U429" t="s">
        <v>43</v>
      </c>
      <c r="V429" t="str">
        <f t="shared" si="60"/>
        <v/>
      </c>
      <c r="W429" t="str">
        <f t="shared" si="61"/>
        <v/>
      </c>
      <c r="X429">
        <f t="shared" si="62"/>
        <v>-1.0661353799231277</v>
      </c>
      <c r="Y429">
        <f t="shared" si="63"/>
        <v>26454.959999999999</v>
      </c>
      <c r="Z429">
        <f t="shared" si="64"/>
        <v>8824.7099999999991</v>
      </c>
      <c r="AA429">
        <f t="shared" si="65"/>
        <v>0.33357487594008833</v>
      </c>
      <c r="AB429">
        <f t="shared" si="66"/>
        <v>2</v>
      </c>
      <c r="AC429" t="str">
        <f t="shared" si="67"/>
        <v>April</v>
      </c>
      <c r="AD429">
        <f t="shared" si="68"/>
        <v>2025</v>
      </c>
      <c r="AE429" t="str">
        <f t="shared" si="69"/>
        <v>CLEAN</v>
      </c>
    </row>
    <row r="430" spans="1:31">
      <c r="A430" t="s">
        <v>1416</v>
      </c>
      <c r="B430" s="3">
        <v>45731</v>
      </c>
      <c r="C430" s="3">
        <v>45738</v>
      </c>
      <c r="D430" t="s">
        <v>1417</v>
      </c>
      <c r="E430" t="s">
        <v>33</v>
      </c>
      <c r="F430" t="s">
        <v>47</v>
      </c>
      <c r="G430" t="s">
        <v>48</v>
      </c>
      <c r="H430" t="s">
        <v>109</v>
      </c>
      <c r="I430" t="s">
        <v>110</v>
      </c>
      <c r="J430" t="s">
        <v>84</v>
      </c>
      <c r="K430" t="s">
        <v>181</v>
      </c>
      <c r="L430" t="s">
        <v>1418</v>
      </c>
      <c r="M430" t="s">
        <v>54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121</v>
      </c>
      <c r="U430" t="s">
        <v>78</v>
      </c>
      <c r="V430" t="str">
        <f t="shared" si="60"/>
        <v/>
      </c>
      <c r="W430" t="str">
        <f t="shared" si="61"/>
        <v/>
      </c>
      <c r="X430">
        <f t="shared" si="62"/>
        <v>1.3271856563895552</v>
      </c>
      <c r="Y430">
        <f t="shared" si="63"/>
        <v>1853.895</v>
      </c>
      <c r="Z430">
        <f t="shared" si="64"/>
        <v>752.66499999999996</v>
      </c>
      <c r="AA430">
        <f t="shared" si="65"/>
        <v>0.40599116994220275</v>
      </c>
      <c r="AB430">
        <f t="shared" si="66"/>
        <v>7</v>
      </c>
      <c r="AC430" t="str">
        <f t="shared" si="67"/>
        <v>March</v>
      </c>
      <c r="AD430">
        <f t="shared" si="68"/>
        <v>2025</v>
      </c>
      <c r="AE430" t="str">
        <f t="shared" si="69"/>
        <v>WARNING</v>
      </c>
    </row>
    <row r="431" spans="1:31">
      <c r="A431" t="s">
        <v>1419</v>
      </c>
      <c r="B431" s="3">
        <v>45717</v>
      </c>
      <c r="C431" s="3">
        <v>45724</v>
      </c>
      <c r="D431" t="s">
        <v>1420</v>
      </c>
      <c r="E431" t="s">
        <v>89</v>
      </c>
      <c r="F431" t="s">
        <v>105</v>
      </c>
      <c r="G431" t="s">
        <v>35</v>
      </c>
      <c r="H431" t="s">
        <v>36</v>
      </c>
      <c r="I431" t="s">
        <v>37</v>
      </c>
      <c r="J431" t="s">
        <v>84</v>
      </c>
      <c r="K431" t="s">
        <v>90</v>
      </c>
      <c r="L431" t="s">
        <v>1421</v>
      </c>
      <c r="M431" t="s">
        <v>54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42</v>
      </c>
      <c r="U431" t="s">
        <v>43</v>
      </c>
      <c r="V431" t="str">
        <f t="shared" si="60"/>
        <v/>
      </c>
      <c r="W431" t="str">
        <f t="shared" si="61"/>
        <v/>
      </c>
      <c r="X431">
        <f t="shared" si="62"/>
        <v>1.3271856563895552</v>
      </c>
      <c r="Y431">
        <f t="shared" si="63"/>
        <v>17658.599999999999</v>
      </c>
      <c r="Z431">
        <f t="shared" si="64"/>
        <v>3816.119999999999</v>
      </c>
      <c r="AA431">
        <f t="shared" si="65"/>
        <v>0.2161054670245659</v>
      </c>
      <c r="AB431">
        <f t="shared" si="66"/>
        <v>7</v>
      </c>
      <c r="AC431" t="str">
        <f t="shared" si="67"/>
        <v>March</v>
      </c>
      <c r="AD431">
        <f t="shared" si="68"/>
        <v>2025</v>
      </c>
      <c r="AE431" t="str">
        <f t="shared" si="69"/>
        <v>CLEAN</v>
      </c>
    </row>
    <row r="432" spans="1:31">
      <c r="A432" t="s">
        <v>1422</v>
      </c>
      <c r="B432" s="3">
        <v>45534</v>
      </c>
      <c r="C432" s="3">
        <v>45537</v>
      </c>
      <c r="D432" t="s">
        <v>1423</v>
      </c>
      <c r="E432" t="s">
        <v>89</v>
      </c>
      <c r="F432" t="s">
        <v>47</v>
      </c>
      <c r="G432" t="s">
        <v>35</v>
      </c>
      <c r="H432" t="s">
        <v>248</v>
      </c>
      <c r="I432" t="s">
        <v>249</v>
      </c>
      <c r="J432" t="s">
        <v>38</v>
      </c>
      <c r="K432" t="s">
        <v>39</v>
      </c>
      <c r="L432" t="s">
        <v>1424</v>
      </c>
      <c r="M432" t="s">
        <v>41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42</v>
      </c>
      <c r="U432" t="s">
        <v>43</v>
      </c>
      <c r="V432" t="str">
        <f t="shared" si="60"/>
        <v/>
      </c>
      <c r="W432" t="str">
        <f t="shared" si="61"/>
        <v/>
      </c>
      <c r="X432">
        <f t="shared" si="62"/>
        <v>0.3698572418644821</v>
      </c>
      <c r="Y432">
        <f t="shared" si="63"/>
        <v>3672.7139999999999</v>
      </c>
      <c r="Z432">
        <f t="shared" si="64"/>
        <v>958.48399999999992</v>
      </c>
      <c r="AA432">
        <f t="shared" si="65"/>
        <v>0.26097430946161337</v>
      </c>
      <c r="AB432">
        <f t="shared" si="66"/>
        <v>3</v>
      </c>
      <c r="AC432" t="str">
        <f t="shared" si="67"/>
        <v>August</v>
      </c>
      <c r="AD432">
        <f t="shared" si="68"/>
        <v>2024</v>
      </c>
      <c r="AE432" t="str">
        <f t="shared" si="69"/>
        <v>CLEAN</v>
      </c>
    </row>
    <row r="433" spans="1:31">
      <c r="A433" t="s">
        <v>1425</v>
      </c>
      <c r="B433" s="3">
        <v>45332</v>
      </c>
      <c r="C433" s="3">
        <v>45335</v>
      </c>
      <c r="D433" t="s">
        <v>1426</v>
      </c>
      <c r="E433" t="s">
        <v>33</v>
      </c>
      <c r="F433" t="s">
        <v>105</v>
      </c>
      <c r="G433" t="s">
        <v>73</v>
      </c>
      <c r="H433" t="s">
        <v>200</v>
      </c>
      <c r="I433" t="s">
        <v>201</v>
      </c>
      <c r="J433" t="s">
        <v>84</v>
      </c>
      <c r="K433" t="s">
        <v>286</v>
      </c>
      <c r="L433" t="s">
        <v>1427</v>
      </c>
      <c r="M433" t="s">
        <v>54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42</v>
      </c>
      <c r="U433" t="s">
        <v>43</v>
      </c>
      <c r="V433" t="str">
        <f t="shared" si="60"/>
        <v/>
      </c>
      <c r="W433" t="str">
        <f t="shared" si="61"/>
        <v/>
      </c>
      <c r="X433">
        <f t="shared" si="62"/>
        <v>1.3271856563895552</v>
      </c>
      <c r="Y433">
        <f t="shared" si="63"/>
        <v>6177.6749999999993</v>
      </c>
      <c r="Z433">
        <f t="shared" si="64"/>
        <v>1656.9249999999993</v>
      </c>
      <c r="AA433">
        <f t="shared" si="65"/>
        <v>0.26821174632851347</v>
      </c>
      <c r="AB433">
        <f t="shared" si="66"/>
        <v>3</v>
      </c>
      <c r="AC433" t="str">
        <f t="shared" si="67"/>
        <v>February</v>
      </c>
      <c r="AD433">
        <f t="shared" si="68"/>
        <v>2024</v>
      </c>
      <c r="AE433" t="str">
        <f t="shared" si="69"/>
        <v>CLEAN</v>
      </c>
    </row>
    <row r="434" spans="1:31">
      <c r="A434" t="s">
        <v>1428</v>
      </c>
      <c r="B434" s="3">
        <v>45533</v>
      </c>
      <c r="C434" s="3">
        <v>45537</v>
      </c>
      <c r="D434" t="s">
        <v>1429</v>
      </c>
      <c r="E434" t="s">
        <v>124</v>
      </c>
      <c r="F434" t="s">
        <v>47</v>
      </c>
      <c r="G434" t="s">
        <v>73</v>
      </c>
      <c r="H434" t="s">
        <v>74</v>
      </c>
      <c r="I434" t="s">
        <v>75</v>
      </c>
      <c r="J434" t="s">
        <v>51</v>
      </c>
      <c r="K434" t="s">
        <v>168</v>
      </c>
      <c r="L434" t="s">
        <v>1430</v>
      </c>
      <c r="M434" t="s">
        <v>69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42</v>
      </c>
      <c r="U434" t="s">
        <v>43</v>
      </c>
      <c r="V434" t="str">
        <f t="shared" si="60"/>
        <v/>
      </c>
      <c r="W434" t="str">
        <f t="shared" si="61"/>
        <v/>
      </c>
      <c r="X434">
        <f t="shared" si="62"/>
        <v>-0.58747117266059101</v>
      </c>
      <c r="Y434">
        <f t="shared" si="63"/>
        <v>985.07400000000007</v>
      </c>
      <c r="Z434">
        <f t="shared" si="64"/>
        <v>140.59400000000005</v>
      </c>
      <c r="AA434">
        <f t="shared" si="65"/>
        <v>0.14272430294576857</v>
      </c>
      <c r="AB434">
        <f t="shared" si="66"/>
        <v>4</v>
      </c>
      <c r="AC434" t="str">
        <f t="shared" si="67"/>
        <v>August</v>
      </c>
      <c r="AD434">
        <f t="shared" si="68"/>
        <v>2024</v>
      </c>
      <c r="AE434" t="str">
        <f t="shared" si="69"/>
        <v>CLEAN</v>
      </c>
    </row>
    <row r="435" spans="1:31">
      <c r="A435" t="s">
        <v>1431</v>
      </c>
      <c r="B435" s="3">
        <v>45401</v>
      </c>
      <c r="C435" s="3">
        <v>45402</v>
      </c>
      <c r="D435" t="s">
        <v>1432</v>
      </c>
      <c r="E435" t="s">
        <v>124</v>
      </c>
      <c r="F435" t="s">
        <v>100</v>
      </c>
      <c r="G435" t="s">
        <v>64</v>
      </c>
      <c r="H435" t="s">
        <v>195</v>
      </c>
      <c r="I435" t="s">
        <v>196</v>
      </c>
      <c r="J435" t="s">
        <v>38</v>
      </c>
      <c r="K435" t="s">
        <v>58</v>
      </c>
      <c r="L435" t="s">
        <v>1433</v>
      </c>
      <c r="M435" t="s">
        <v>41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112</v>
      </c>
      <c r="U435" t="s">
        <v>113</v>
      </c>
      <c r="V435" t="str">
        <f t="shared" si="60"/>
        <v/>
      </c>
      <c r="W435" t="str">
        <f t="shared" si="61"/>
        <v/>
      </c>
      <c r="X435">
        <f t="shared" si="62"/>
        <v>-1.0661353799231277</v>
      </c>
      <c r="Y435">
        <f t="shared" si="63"/>
        <v>6160.88</v>
      </c>
      <c r="Z435">
        <f t="shared" si="64"/>
        <v>1222.1800000000003</v>
      </c>
      <c r="AA435">
        <f t="shared" si="65"/>
        <v>0.19837750451234243</v>
      </c>
      <c r="AB435">
        <f t="shared" si="66"/>
        <v>1</v>
      </c>
      <c r="AC435" t="str">
        <f t="shared" si="67"/>
        <v>April</v>
      </c>
      <c r="AD435">
        <f t="shared" si="68"/>
        <v>2024</v>
      </c>
      <c r="AE435" t="str">
        <f t="shared" si="69"/>
        <v>CLEAN</v>
      </c>
    </row>
    <row r="436" spans="1:31">
      <c r="A436" t="s">
        <v>1434</v>
      </c>
      <c r="B436" s="3">
        <v>45965</v>
      </c>
      <c r="C436" s="3">
        <v>45762</v>
      </c>
      <c r="D436" t="s">
        <v>1435</v>
      </c>
      <c r="E436" t="s">
        <v>46</v>
      </c>
      <c r="F436" t="s">
        <v>105</v>
      </c>
      <c r="G436" t="s">
        <v>35</v>
      </c>
      <c r="H436" t="s">
        <v>146</v>
      </c>
      <c r="I436" t="s">
        <v>147</v>
      </c>
      <c r="J436" t="s">
        <v>84</v>
      </c>
      <c r="K436" t="s">
        <v>85</v>
      </c>
      <c r="L436" t="s">
        <v>1436</v>
      </c>
      <c r="M436" t="s">
        <v>41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42</v>
      </c>
      <c r="U436" t="s">
        <v>43</v>
      </c>
      <c r="V436" t="str">
        <f t="shared" si="60"/>
        <v/>
      </c>
      <c r="W436" t="str">
        <f t="shared" si="61"/>
        <v>Invalid Shipping Record</v>
      </c>
      <c r="X436">
        <f t="shared" si="62"/>
        <v>-1.0661353799231277</v>
      </c>
      <c r="Y436">
        <f t="shared" si="63"/>
        <v>3263.8999999999996</v>
      </c>
      <c r="Z436">
        <f t="shared" si="64"/>
        <v>1195.4599999999996</v>
      </c>
      <c r="AA436">
        <f t="shared" si="65"/>
        <v>0.3662673488771101</v>
      </c>
      <c r="AB436" t="e">
        <f t="shared" si="66"/>
        <v>#NUM!</v>
      </c>
      <c r="AC436" t="str">
        <f t="shared" si="67"/>
        <v>November</v>
      </c>
      <c r="AD436">
        <f t="shared" si="68"/>
        <v>2025</v>
      </c>
      <c r="AE436" t="str">
        <f t="shared" si="69"/>
        <v>INVALID</v>
      </c>
    </row>
    <row r="437" spans="1:31">
      <c r="A437" t="s">
        <v>1437</v>
      </c>
      <c r="B437" s="3">
        <v>45759</v>
      </c>
      <c r="C437" s="3">
        <v>45767</v>
      </c>
      <c r="D437" t="s">
        <v>1438</v>
      </c>
      <c r="E437" t="s">
        <v>276</v>
      </c>
      <c r="F437" t="s">
        <v>105</v>
      </c>
      <c r="G437" t="s">
        <v>35</v>
      </c>
      <c r="H437" t="s">
        <v>362</v>
      </c>
      <c r="I437" t="s">
        <v>363</v>
      </c>
      <c r="J437" t="s">
        <v>84</v>
      </c>
      <c r="K437" t="s">
        <v>286</v>
      </c>
      <c r="L437" t="s">
        <v>1439</v>
      </c>
      <c r="M437" t="s">
        <v>69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42</v>
      </c>
      <c r="U437" t="s">
        <v>78</v>
      </c>
      <c r="V437" t="str">
        <f t="shared" si="60"/>
        <v/>
      </c>
      <c r="W437" t="str">
        <f t="shared" si="61"/>
        <v/>
      </c>
      <c r="X437">
        <f t="shared" si="62"/>
        <v>0.3698572418644821</v>
      </c>
      <c r="Y437">
        <f t="shared" si="63"/>
        <v>2327.0535</v>
      </c>
      <c r="Z437">
        <f t="shared" si="64"/>
        <v>407.63349999999991</v>
      </c>
      <c r="AA437">
        <f t="shared" si="65"/>
        <v>0.17517152055163318</v>
      </c>
      <c r="AB437">
        <f t="shared" si="66"/>
        <v>8</v>
      </c>
      <c r="AC437" t="str">
        <f t="shared" si="67"/>
        <v>April</v>
      </c>
      <c r="AD437">
        <f t="shared" si="68"/>
        <v>2025</v>
      </c>
      <c r="AE437" t="str">
        <f t="shared" si="69"/>
        <v>WARNING</v>
      </c>
    </row>
    <row r="438" spans="1:31">
      <c r="A438" t="s">
        <v>1440</v>
      </c>
      <c r="B438" s="3">
        <v>45459</v>
      </c>
      <c r="C438" s="3">
        <v>45464</v>
      </c>
      <c r="D438" t="s">
        <v>1441</v>
      </c>
      <c r="E438" t="s">
        <v>89</v>
      </c>
      <c r="F438" t="s">
        <v>34</v>
      </c>
      <c r="G438" t="s">
        <v>64</v>
      </c>
      <c r="H438" t="s">
        <v>195</v>
      </c>
      <c r="I438" t="s">
        <v>196</v>
      </c>
      <c r="J438" t="s">
        <v>51</v>
      </c>
      <c r="K438" t="s">
        <v>67</v>
      </c>
      <c r="L438" t="s">
        <v>1442</v>
      </c>
      <c r="M438" t="s">
        <v>54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42</v>
      </c>
      <c r="U438" t="s">
        <v>113</v>
      </c>
      <c r="V438" t="str">
        <f t="shared" si="60"/>
        <v/>
      </c>
      <c r="W438" t="str">
        <f t="shared" si="61"/>
        <v/>
      </c>
      <c r="X438">
        <f t="shared" si="62"/>
        <v>-0.58747117266059101</v>
      </c>
      <c r="Y438">
        <f t="shared" si="63"/>
        <v>6593.6459999999997</v>
      </c>
      <c r="Z438">
        <f t="shared" si="64"/>
        <v>2234.2559999999994</v>
      </c>
      <c r="AA438">
        <f t="shared" si="65"/>
        <v>0.33884985636171544</v>
      </c>
      <c r="AB438">
        <f t="shared" si="66"/>
        <v>5</v>
      </c>
      <c r="AC438" t="str">
        <f t="shared" si="67"/>
        <v>June</v>
      </c>
      <c r="AD438">
        <f t="shared" si="68"/>
        <v>2024</v>
      </c>
      <c r="AE438" t="str">
        <f t="shared" si="69"/>
        <v>CLEAN</v>
      </c>
    </row>
    <row r="439" spans="1:31">
      <c r="A439" t="s">
        <v>1443</v>
      </c>
      <c r="B439" s="3">
        <v>45337</v>
      </c>
      <c r="C439" s="3">
        <v>45340</v>
      </c>
      <c r="D439" t="s">
        <v>1444</v>
      </c>
      <c r="E439" t="s">
        <v>99</v>
      </c>
      <c r="F439" t="s">
        <v>47</v>
      </c>
      <c r="G439" t="s">
        <v>64</v>
      </c>
      <c r="H439" t="s">
        <v>195</v>
      </c>
      <c r="I439" t="s">
        <v>196</v>
      </c>
      <c r="J439" t="s">
        <v>84</v>
      </c>
      <c r="K439" t="s">
        <v>85</v>
      </c>
      <c r="L439" t="s">
        <v>1445</v>
      </c>
      <c r="M439" t="s">
        <v>54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165</v>
      </c>
      <c r="U439" t="s">
        <v>113</v>
      </c>
      <c r="V439" t="str">
        <f t="shared" si="60"/>
        <v/>
      </c>
      <c r="W439" t="str">
        <f t="shared" si="61"/>
        <v/>
      </c>
      <c r="X439">
        <f t="shared" si="62"/>
        <v>-0.58747117266059101</v>
      </c>
      <c r="Y439">
        <f t="shared" si="63"/>
        <v>2886.6319999999996</v>
      </c>
      <c r="Z439">
        <f t="shared" si="64"/>
        <v>1298.4019999999996</v>
      </c>
      <c r="AA439">
        <f t="shared" si="65"/>
        <v>0.44979824238073984</v>
      </c>
      <c r="AB439">
        <f t="shared" si="66"/>
        <v>3</v>
      </c>
      <c r="AC439" t="str">
        <f t="shared" si="67"/>
        <v>February</v>
      </c>
      <c r="AD439">
        <f t="shared" si="68"/>
        <v>2024</v>
      </c>
      <c r="AE439" t="str">
        <f t="shared" si="69"/>
        <v>CLEAN</v>
      </c>
    </row>
    <row r="440" spans="1:31">
      <c r="A440" t="s">
        <v>1446</v>
      </c>
      <c r="B440" s="3">
        <v>45784</v>
      </c>
      <c r="C440" s="3">
        <v>45782</v>
      </c>
      <c r="D440" t="s">
        <v>1447</v>
      </c>
      <c r="E440" t="s">
        <v>89</v>
      </c>
      <c r="F440" t="s">
        <v>100</v>
      </c>
      <c r="G440" t="s">
        <v>48</v>
      </c>
      <c r="H440" t="s">
        <v>240</v>
      </c>
      <c r="I440" t="s">
        <v>241</v>
      </c>
      <c r="J440" t="s">
        <v>84</v>
      </c>
      <c r="K440" t="s">
        <v>181</v>
      </c>
      <c r="L440" t="s">
        <v>1448</v>
      </c>
      <c r="M440" t="s">
        <v>69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42</v>
      </c>
      <c r="U440" t="s">
        <v>43</v>
      </c>
      <c r="V440" t="str">
        <f t="shared" si="60"/>
        <v/>
      </c>
      <c r="W440" t="str">
        <f t="shared" si="61"/>
        <v>Invalid Shipping Record</v>
      </c>
      <c r="X440">
        <f t="shared" si="62"/>
        <v>0.84852144912701888</v>
      </c>
      <c r="Y440">
        <f t="shared" si="63"/>
        <v>1813.1759999999999</v>
      </c>
      <c r="Z440">
        <f t="shared" si="64"/>
        <v>449.53599999999983</v>
      </c>
      <c r="AA440">
        <f t="shared" si="65"/>
        <v>0.24792739370033567</v>
      </c>
      <c r="AB440" t="e">
        <f t="shared" si="66"/>
        <v>#NUM!</v>
      </c>
      <c r="AC440" t="str">
        <f t="shared" si="67"/>
        <v>May</v>
      </c>
      <c r="AD440">
        <f t="shared" si="68"/>
        <v>2025</v>
      </c>
      <c r="AE440" t="str">
        <f t="shared" si="69"/>
        <v>INVALID</v>
      </c>
    </row>
    <row r="441" spans="1:31">
      <c r="A441" t="s">
        <v>1449</v>
      </c>
      <c r="B441" s="3">
        <v>45838</v>
      </c>
      <c r="C441" s="3">
        <v>45841</v>
      </c>
      <c r="D441" t="s">
        <v>1450</v>
      </c>
      <c r="E441" t="s">
        <v>138</v>
      </c>
      <c r="F441" t="s">
        <v>105</v>
      </c>
      <c r="G441" t="s">
        <v>73</v>
      </c>
      <c r="H441" t="s">
        <v>200</v>
      </c>
      <c r="I441" t="s">
        <v>201</v>
      </c>
      <c r="J441" t="s">
        <v>38</v>
      </c>
      <c r="K441" t="s">
        <v>134</v>
      </c>
      <c r="L441" t="s">
        <v>1451</v>
      </c>
      <c r="M441" t="s">
        <v>54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112</v>
      </c>
      <c r="U441" t="s">
        <v>113</v>
      </c>
      <c r="V441" t="str">
        <f t="shared" si="60"/>
        <v/>
      </c>
      <c r="W441" t="str">
        <f t="shared" si="61"/>
        <v/>
      </c>
      <c r="X441">
        <f t="shared" si="62"/>
        <v>-1.0661353799231277</v>
      </c>
      <c r="Y441">
        <f t="shared" si="63"/>
        <v>3326.25</v>
      </c>
      <c r="Z441">
        <f t="shared" si="64"/>
        <v>636.88999999999987</v>
      </c>
      <c r="AA441">
        <f t="shared" si="65"/>
        <v>0.19147388199924836</v>
      </c>
      <c r="AB441">
        <f t="shared" si="66"/>
        <v>3</v>
      </c>
      <c r="AC441" t="str">
        <f t="shared" si="67"/>
        <v>June</v>
      </c>
      <c r="AD441">
        <f t="shared" si="68"/>
        <v>2025</v>
      </c>
      <c r="AE441" t="str">
        <f t="shared" si="69"/>
        <v>CLEAN</v>
      </c>
    </row>
    <row r="442" spans="1:31">
      <c r="A442" t="s">
        <v>1452</v>
      </c>
      <c r="B442" s="3">
        <v>45326</v>
      </c>
      <c r="C442" s="3">
        <v>45508</v>
      </c>
      <c r="D442" t="s">
        <v>282</v>
      </c>
      <c r="E442" t="s">
        <v>81</v>
      </c>
      <c r="F442" t="s">
        <v>100</v>
      </c>
      <c r="G442" t="s">
        <v>48</v>
      </c>
      <c r="H442" t="s">
        <v>49</v>
      </c>
      <c r="I442" t="s">
        <v>50</v>
      </c>
      <c r="J442" t="s">
        <v>84</v>
      </c>
      <c r="K442" t="s">
        <v>286</v>
      </c>
      <c r="L442" t="s">
        <v>1453</v>
      </c>
      <c r="M442" t="s">
        <v>41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42</v>
      </c>
      <c r="U442" t="s">
        <v>43</v>
      </c>
      <c r="V442" t="str">
        <f t="shared" si="60"/>
        <v/>
      </c>
      <c r="W442" t="str">
        <f t="shared" si="61"/>
        <v/>
      </c>
      <c r="X442">
        <f t="shared" si="62"/>
        <v>0.84852144912701888</v>
      </c>
      <c r="Y442">
        <f t="shared" si="63"/>
        <v>17869.632000000001</v>
      </c>
      <c r="Z442">
        <f t="shared" si="64"/>
        <v>5705.8320000000022</v>
      </c>
      <c r="AA442">
        <f t="shared" si="65"/>
        <v>0.31930327384469931</v>
      </c>
      <c r="AB442">
        <f t="shared" si="66"/>
        <v>182</v>
      </c>
      <c r="AC442" t="str">
        <f t="shared" si="67"/>
        <v>February</v>
      </c>
      <c r="AD442">
        <f t="shared" si="68"/>
        <v>2024</v>
      </c>
      <c r="AE442" t="str">
        <f t="shared" si="69"/>
        <v>CLEAN</v>
      </c>
    </row>
    <row r="443" spans="1:31">
      <c r="A443" t="s">
        <v>1454</v>
      </c>
      <c r="B443" s="3">
        <v>45568</v>
      </c>
      <c r="C443" s="3">
        <v>45568</v>
      </c>
      <c r="D443" t="s">
        <v>1455</v>
      </c>
      <c r="E443" t="s">
        <v>33</v>
      </c>
      <c r="F443" t="s">
        <v>34</v>
      </c>
      <c r="G443" t="s">
        <v>48</v>
      </c>
      <c r="H443" t="s">
        <v>155</v>
      </c>
      <c r="I443" t="s">
        <v>156</v>
      </c>
      <c r="J443" t="s">
        <v>51</v>
      </c>
      <c r="K443" t="s">
        <v>168</v>
      </c>
      <c r="L443" t="s">
        <v>1456</v>
      </c>
      <c r="M443" t="s">
        <v>69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42</v>
      </c>
      <c r="U443" t="s">
        <v>78</v>
      </c>
      <c r="V443" t="str">
        <f t="shared" si="60"/>
        <v/>
      </c>
      <c r="W443" t="str">
        <f t="shared" si="61"/>
        <v/>
      </c>
      <c r="X443">
        <f t="shared" si="62"/>
        <v>-1.0661353799231277</v>
      </c>
      <c r="Y443">
        <f t="shared" si="63"/>
        <v>25304.94</v>
      </c>
      <c r="Z443">
        <f t="shared" si="64"/>
        <v>4532.989999999998</v>
      </c>
      <c r="AA443">
        <f t="shared" si="65"/>
        <v>0.17913458795002077</v>
      </c>
      <c r="AB443">
        <f t="shared" si="66"/>
        <v>0</v>
      </c>
      <c r="AC443" t="str">
        <f t="shared" si="67"/>
        <v>October</v>
      </c>
      <c r="AD443">
        <f t="shared" si="68"/>
        <v>2024</v>
      </c>
      <c r="AE443" t="str">
        <f t="shared" si="69"/>
        <v>WARNING</v>
      </c>
    </row>
    <row r="444" spans="1:31">
      <c r="A444" t="s">
        <v>1457</v>
      </c>
      <c r="B444" s="3">
        <v>45669</v>
      </c>
      <c r="C444" s="3">
        <v>45676</v>
      </c>
      <c r="D444" t="s">
        <v>1458</v>
      </c>
      <c r="E444" t="s">
        <v>138</v>
      </c>
      <c r="F444" t="s">
        <v>34</v>
      </c>
      <c r="G444" t="s">
        <v>48</v>
      </c>
      <c r="H444" t="s">
        <v>240</v>
      </c>
      <c r="I444" t="s">
        <v>241</v>
      </c>
      <c r="J444" t="s">
        <v>51</v>
      </c>
      <c r="K444" t="s">
        <v>52</v>
      </c>
      <c r="L444" t="s">
        <v>1459</v>
      </c>
      <c r="M444" t="s">
        <v>60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42</v>
      </c>
      <c r="U444" t="s">
        <v>43</v>
      </c>
      <c r="V444" t="str">
        <f t="shared" si="60"/>
        <v/>
      </c>
      <c r="W444" t="str">
        <f t="shared" si="61"/>
        <v/>
      </c>
      <c r="X444">
        <f t="shared" si="62"/>
        <v>-1.0661353799231277</v>
      </c>
      <c r="Y444">
        <f t="shared" si="63"/>
        <v>1842.31</v>
      </c>
      <c r="Z444">
        <f t="shared" si="64"/>
        <v>823.14</v>
      </c>
      <c r="AA444">
        <f t="shared" si="65"/>
        <v>0.44679777019068451</v>
      </c>
      <c r="AB444">
        <f t="shared" si="66"/>
        <v>7</v>
      </c>
      <c r="AC444" t="str">
        <f t="shared" si="67"/>
        <v>January</v>
      </c>
      <c r="AD444">
        <f t="shared" si="68"/>
        <v>2025</v>
      </c>
      <c r="AE444" t="str">
        <f t="shared" si="69"/>
        <v>CLEAN</v>
      </c>
    </row>
    <row r="445" spans="1:31">
      <c r="A445" t="s">
        <v>1460</v>
      </c>
      <c r="B445" s="3">
        <v>45386</v>
      </c>
      <c r="C445" s="3">
        <v>45389</v>
      </c>
      <c r="D445" t="s">
        <v>1461</v>
      </c>
      <c r="E445" t="s">
        <v>151</v>
      </c>
      <c r="F445" t="s">
        <v>105</v>
      </c>
      <c r="G445" t="s">
        <v>48</v>
      </c>
      <c r="H445" t="s">
        <v>49</v>
      </c>
      <c r="I445" t="s">
        <v>50</v>
      </c>
      <c r="J445" t="s">
        <v>51</v>
      </c>
      <c r="K445" t="s">
        <v>67</v>
      </c>
      <c r="L445" t="s">
        <v>1462</v>
      </c>
      <c r="M445" t="s">
        <v>60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42</v>
      </c>
      <c r="U445" t="s">
        <v>43</v>
      </c>
      <c r="V445" t="str">
        <f t="shared" si="60"/>
        <v/>
      </c>
      <c r="W445" t="str">
        <f t="shared" si="61"/>
        <v/>
      </c>
      <c r="X445">
        <f t="shared" si="62"/>
        <v>-0.10880696539805437</v>
      </c>
      <c r="Y445">
        <f t="shared" si="63"/>
        <v>3315.375</v>
      </c>
      <c r="Z445">
        <f t="shared" si="64"/>
        <v>967.69500000000016</v>
      </c>
      <c r="AA445">
        <f t="shared" si="65"/>
        <v>0.29188100893564084</v>
      </c>
      <c r="AB445">
        <f t="shared" si="66"/>
        <v>3</v>
      </c>
      <c r="AC445" t="str">
        <f t="shared" si="67"/>
        <v>April</v>
      </c>
      <c r="AD445">
        <f t="shared" si="68"/>
        <v>2024</v>
      </c>
      <c r="AE445" t="str">
        <f t="shared" si="69"/>
        <v>CLEAN</v>
      </c>
    </row>
    <row r="446" spans="1:31">
      <c r="A446" t="s">
        <v>1463</v>
      </c>
      <c r="B446" s="3">
        <v>45881</v>
      </c>
      <c r="C446" s="3">
        <v>45885</v>
      </c>
      <c r="D446" t="s">
        <v>1464</v>
      </c>
      <c r="E446" t="s">
        <v>72</v>
      </c>
      <c r="F446" t="s">
        <v>34</v>
      </c>
      <c r="G446" t="s">
        <v>48</v>
      </c>
      <c r="H446" t="s">
        <v>176</v>
      </c>
      <c r="I446" t="s">
        <v>177</v>
      </c>
      <c r="J446" t="s">
        <v>84</v>
      </c>
      <c r="K446" t="s">
        <v>85</v>
      </c>
      <c r="L446" t="s">
        <v>1465</v>
      </c>
      <c r="M446" t="s">
        <v>54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42</v>
      </c>
      <c r="U446" t="s">
        <v>43</v>
      </c>
      <c r="V446" t="str">
        <f t="shared" si="60"/>
        <v/>
      </c>
      <c r="W446" t="str">
        <f t="shared" si="61"/>
        <v/>
      </c>
      <c r="X446">
        <f t="shared" si="62"/>
        <v>-0.58747117266059101</v>
      </c>
      <c r="Y446">
        <f t="shared" si="63"/>
        <v>20342.501999999997</v>
      </c>
      <c r="Z446">
        <f t="shared" si="64"/>
        <v>7934.9919999999966</v>
      </c>
      <c r="AA446">
        <f t="shared" si="65"/>
        <v>0.39006961877157481</v>
      </c>
      <c r="AB446">
        <f t="shared" si="66"/>
        <v>4</v>
      </c>
      <c r="AC446" t="str">
        <f t="shared" si="67"/>
        <v>August</v>
      </c>
      <c r="AD446">
        <f t="shared" si="68"/>
        <v>2025</v>
      </c>
      <c r="AE446" t="str">
        <f t="shared" si="69"/>
        <v>CLEAN</v>
      </c>
    </row>
    <row r="447" spans="1:31">
      <c r="A447" t="s">
        <v>1466</v>
      </c>
      <c r="B447" s="3">
        <v>45540</v>
      </c>
      <c r="C447" s="3">
        <v>45417</v>
      </c>
      <c r="D447" t="s">
        <v>1467</v>
      </c>
      <c r="E447" t="s">
        <v>63</v>
      </c>
      <c r="F447" t="s">
        <v>34</v>
      </c>
      <c r="G447" t="s">
        <v>48</v>
      </c>
      <c r="H447" t="s">
        <v>176</v>
      </c>
      <c r="I447" t="s">
        <v>177</v>
      </c>
      <c r="J447" t="s">
        <v>51</v>
      </c>
      <c r="K447" t="s">
        <v>168</v>
      </c>
      <c r="L447" t="s">
        <v>1468</v>
      </c>
      <c r="M447" t="s">
        <v>54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42</v>
      </c>
      <c r="U447" t="s">
        <v>43</v>
      </c>
      <c r="V447" t="str">
        <f t="shared" si="60"/>
        <v/>
      </c>
      <c r="W447" t="str">
        <f t="shared" si="61"/>
        <v>Invalid Shipping Record</v>
      </c>
      <c r="X447">
        <f t="shared" si="62"/>
        <v>0.84852144912701888</v>
      </c>
      <c r="Y447">
        <f t="shared" si="63"/>
        <v>3377.9680000000003</v>
      </c>
      <c r="Z447">
        <f t="shared" si="64"/>
        <v>881.67800000000034</v>
      </c>
      <c r="AA447">
        <f t="shared" si="65"/>
        <v>0.26100839321154029</v>
      </c>
      <c r="AB447" t="e">
        <f t="shared" si="66"/>
        <v>#NUM!</v>
      </c>
      <c r="AC447" t="str">
        <f t="shared" si="67"/>
        <v>September</v>
      </c>
      <c r="AD447">
        <f t="shared" si="68"/>
        <v>2024</v>
      </c>
      <c r="AE447" t="str">
        <f t="shared" si="69"/>
        <v>INVALID</v>
      </c>
    </row>
    <row r="448" spans="1:31">
      <c r="A448" t="s">
        <v>1469</v>
      </c>
      <c r="B448" s="3">
        <v>45918</v>
      </c>
      <c r="C448" s="3">
        <v>45919</v>
      </c>
      <c r="D448" t="s">
        <v>1470</v>
      </c>
      <c r="E448" t="s">
        <v>142</v>
      </c>
      <c r="F448" t="s">
        <v>105</v>
      </c>
      <c r="G448" t="s">
        <v>64</v>
      </c>
      <c r="H448" t="s">
        <v>94</v>
      </c>
      <c r="I448" t="s">
        <v>95</v>
      </c>
      <c r="J448" t="s">
        <v>38</v>
      </c>
      <c r="K448" t="s">
        <v>134</v>
      </c>
      <c r="L448" t="s">
        <v>1471</v>
      </c>
      <c r="M448" t="s">
        <v>54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42</v>
      </c>
      <c r="U448" t="s">
        <v>43</v>
      </c>
      <c r="V448" t="str">
        <f t="shared" si="60"/>
        <v/>
      </c>
      <c r="W448" t="str">
        <f t="shared" si="61"/>
        <v/>
      </c>
      <c r="X448">
        <f t="shared" si="62"/>
        <v>-1.0661353799231277</v>
      </c>
      <c r="Y448">
        <f t="shared" si="63"/>
        <v>33940.080000000002</v>
      </c>
      <c r="Z448">
        <f t="shared" si="64"/>
        <v>10185.890000000003</v>
      </c>
      <c r="AA448">
        <f t="shared" si="65"/>
        <v>0.30011390662603044</v>
      </c>
      <c r="AB448">
        <f t="shared" si="66"/>
        <v>1</v>
      </c>
      <c r="AC448" t="str">
        <f t="shared" si="67"/>
        <v>September</v>
      </c>
      <c r="AD448">
        <f t="shared" si="68"/>
        <v>2025</v>
      </c>
      <c r="AE448" t="str">
        <f t="shared" si="69"/>
        <v>CLEAN</v>
      </c>
    </row>
    <row r="449" spans="1:31">
      <c r="A449" t="s">
        <v>1472</v>
      </c>
      <c r="B449" s="3">
        <v>45879</v>
      </c>
      <c r="C449" s="3">
        <v>45879</v>
      </c>
      <c r="D449" t="s">
        <v>1473</v>
      </c>
      <c r="E449" t="s">
        <v>151</v>
      </c>
      <c r="F449" t="s">
        <v>105</v>
      </c>
      <c r="G449" t="s">
        <v>64</v>
      </c>
      <c r="H449" t="s">
        <v>65</v>
      </c>
      <c r="I449" t="s">
        <v>66</v>
      </c>
      <c r="J449" t="s">
        <v>51</v>
      </c>
      <c r="K449" t="s">
        <v>168</v>
      </c>
      <c r="L449" t="s">
        <v>1474</v>
      </c>
      <c r="M449" t="s">
        <v>69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121</v>
      </c>
      <c r="U449" t="s">
        <v>113</v>
      </c>
      <c r="V449" t="str">
        <f t="shared" si="60"/>
        <v/>
      </c>
      <c r="W449" t="str">
        <f t="shared" si="61"/>
        <v/>
      </c>
      <c r="X449">
        <f t="shared" si="62"/>
        <v>0.3698572418644821</v>
      </c>
      <c r="Y449">
        <f t="shared" si="63"/>
        <v>21872.369999999995</v>
      </c>
      <c r="Z449">
        <f t="shared" si="64"/>
        <v>8042.8699999999953</v>
      </c>
      <c r="AA449">
        <f t="shared" si="65"/>
        <v>0.36771826738483288</v>
      </c>
      <c r="AB449">
        <f t="shared" si="66"/>
        <v>0</v>
      </c>
      <c r="AC449" t="str">
        <f t="shared" si="67"/>
        <v>August</v>
      </c>
      <c r="AD449">
        <f t="shared" si="68"/>
        <v>2025</v>
      </c>
      <c r="AE449" t="str">
        <f t="shared" si="69"/>
        <v>CLEAN</v>
      </c>
    </row>
    <row r="450" spans="1:31">
      <c r="A450" t="s">
        <v>1475</v>
      </c>
      <c r="B450" s="3">
        <v>45306</v>
      </c>
      <c r="C450" s="3">
        <v>45309</v>
      </c>
      <c r="D450" t="s">
        <v>1476</v>
      </c>
      <c r="E450" t="s">
        <v>46</v>
      </c>
      <c r="F450" t="s">
        <v>47</v>
      </c>
      <c r="G450" t="s">
        <v>64</v>
      </c>
      <c r="H450" t="s">
        <v>94</v>
      </c>
      <c r="I450" t="s">
        <v>95</v>
      </c>
      <c r="J450" t="s">
        <v>51</v>
      </c>
      <c r="K450" t="s">
        <v>76</v>
      </c>
      <c r="L450" t="s">
        <v>1477</v>
      </c>
      <c r="M450" t="s">
        <v>60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42</v>
      </c>
      <c r="U450" t="s">
        <v>43</v>
      </c>
      <c r="V450" t="str">
        <f t="shared" si="60"/>
        <v/>
      </c>
      <c r="W450" t="str">
        <f t="shared" si="61"/>
        <v/>
      </c>
      <c r="X450">
        <f t="shared" si="62"/>
        <v>0.3698572418644821</v>
      </c>
      <c r="Y450">
        <f t="shared" si="63"/>
        <v>342.05700000000002</v>
      </c>
      <c r="Z450">
        <f t="shared" si="64"/>
        <v>97.487000000000023</v>
      </c>
      <c r="AA450">
        <f t="shared" si="65"/>
        <v>0.28500220723446684</v>
      </c>
      <c r="AB450">
        <f t="shared" si="66"/>
        <v>3</v>
      </c>
      <c r="AC450" t="str">
        <f t="shared" si="67"/>
        <v>January</v>
      </c>
      <c r="AD450">
        <f t="shared" si="68"/>
        <v>2024</v>
      </c>
      <c r="AE450" t="str">
        <f t="shared" si="69"/>
        <v>CLEAN</v>
      </c>
    </row>
    <row r="451" spans="1:31">
      <c r="A451" t="s">
        <v>1478</v>
      </c>
      <c r="B451" s="3">
        <v>45449</v>
      </c>
      <c r="C451" s="3">
        <v>45456</v>
      </c>
      <c r="D451" t="s">
        <v>1371</v>
      </c>
      <c r="E451" t="s">
        <v>99</v>
      </c>
      <c r="F451" t="s">
        <v>100</v>
      </c>
      <c r="G451" t="s">
        <v>48</v>
      </c>
      <c r="H451" t="s">
        <v>176</v>
      </c>
      <c r="I451" t="s">
        <v>177</v>
      </c>
      <c r="J451" t="s">
        <v>84</v>
      </c>
      <c r="K451" t="s">
        <v>286</v>
      </c>
      <c r="L451" t="s">
        <v>1479</v>
      </c>
      <c r="M451" t="s">
        <v>41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42</v>
      </c>
      <c r="U451" t="s">
        <v>43</v>
      </c>
      <c r="V451" t="str">
        <f t="shared" ref="V451:V514" si="70">IF(AND(N451&gt;0,O451&gt;0,Q451&gt;0,R451&gt;=0,S451&lt;&gt;""),IF(OR(P451&lt;0,ABS(P451-AVERAGE($P:$P))&gt;2*_xlfn.STDEV.P($P:$P)),"Invalid Discount",""),"")</f>
        <v/>
      </c>
      <c r="W451" t="str">
        <f t="shared" ref="W451:W514" si="71">IF(AND(B451&lt;&gt;"",C451&lt;&gt;""),IF(C451&lt;B451,"Invalid Shipping Record",""),"")</f>
        <v/>
      </c>
      <c r="X451">
        <f t="shared" ref="X451:X514" si="72">(P451-AVERAGE($P:$P))/_xlfn.STDEV.P($P:$P)</f>
        <v>-1.0661353799231277</v>
      </c>
      <c r="Y451">
        <f t="shared" ref="Y451:Y514" si="73">N451*O451*(1-P451)</f>
        <v>19622.16</v>
      </c>
      <c r="Z451">
        <f t="shared" ref="Z451:Z514" si="74">Y451-R451</f>
        <v>5350.8899999999994</v>
      </c>
      <c r="AA451">
        <f t="shared" ref="AA451:AA514" si="75">IF(Y451=0,0,Z451/Y451)</f>
        <v>0.27269627808559299</v>
      </c>
      <c r="AB451">
        <f t="shared" ref="AB451:AB514" si="76">DATEDIF(B451,C451,"d")</f>
        <v>7</v>
      </c>
      <c r="AC451" t="str">
        <f t="shared" ref="AC451:AC514" si="77">TEXT(B451,"mmmm")</f>
        <v>June</v>
      </c>
      <c r="AD451">
        <f t="shared" ref="AD451:AD514" si="78">YEAR(B451)</f>
        <v>2024</v>
      </c>
      <c r="AE451" t="str">
        <f t="shared" ref="AE451:AE514" si="79">IF(OR(V451="Invalid Discount",W451="Invalid Shipping Record"),"INVALID",IF(U451="Cancelled","WARNING","CLEAN"))</f>
        <v>CLEAN</v>
      </c>
    </row>
    <row r="452" spans="1:31">
      <c r="A452" t="s">
        <v>1480</v>
      </c>
      <c r="B452" s="3">
        <v>45997</v>
      </c>
      <c r="C452" s="3">
        <v>45827</v>
      </c>
      <c r="D452" t="s">
        <v>1481</v>
      </c>
      <c r="E452" t="s">
        <v>72</v>
      </c>
      <c r="F452" t="s">
        <v>100</v>
      </c>
      <c r="G452" t="s">
        <v>35</v>
      </c>
      <c r="H452" t="s">
        <v>362</v>
      </c>
      <c r="I452" t="s">
        <v>363</v>
      </c>
      <c r="J452" t="s">
        <v>51</v>
      </c>
      <c r="K452" t="s">
        <v>76</v>
      </c>
      <c r="L452" t="s">
        <v>1482</v>
      </c>
      <c r="M452" t="s">
        <v>69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42</v>
      </c>
      <c r="U452" t="s">
        <v>43</v>
      </c>
      <c r="V452" t="str">
        <f t="shared" si="70"/>
        <v/>
      </c>
      <c r="W452" t="str">
        <f t="shared" si="71"/>
        <v>Invalid Shipping Record</v>
      </c>
      <c r="X452">
        <f t="shared" si="72"/>
        <v>1.3271856563895552</v>
      </c>
      <c r="Y452">
        <f t="shared" si="73"/>
        <v>15380.3475</v>
      </c>
      <c r="Z452">
        <f t="shared" si="74"/>
        <v>5472.9774999999991</v>
      </c>
      <c r="AA452">
        <f t="shared" si="75"/>
        <v>0.35584225258889624</v>
      </c>
      <c r="AB452" t="e">
        <f t="shared" si="76"/>
        <v>#NUM!</v>
      </c>
      <c r="AC452" t="str">
        <f t="shared" si="77"/>
        <v>December</v>
      </c>
      <c r="AD452">
        <f t="shared" si="78"/>
        <v>2025</v>
      </c>
      <c r="AE452" t="str">
        <f t="shared" si="79"/>
        <v>INVALID</v>
      </c>
    </row>
    <row r="453" spans="1:31">
      <c r="A453" t="s">
        <v>1483</v>
      </c>
      <c r="B453" s="3">
        <v>45375</v>
      </c>
      <c r="C453" s="3">
        <v>45377</v>
      </c>
      <c r="D453" t="s">
        <v>1484</v>
      </c>
      <c r="E453" t="s">
        <v>151</v>
      </c>
      <c r="F453" t="s">
        <v>47</v>
      </c>
      <c r="G453" t="s">
        <v>35</v>
      </c>
      <c r="H453" t="s">
        <v>248</v>
      </c>
      <c r="I453" t="s">
        <v>249</v>
      </c>
      <c r="J453" t="s">
        <v>38</v>
      </c>
      <c r="K453" t="s">
        <v>39</v>
      </c>
      <c r="L453" t="s">
        <v>1485</v>
      </c>
      <c r="M453" t="s">
        <v>41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42</v>
      </c>
      <c r="U453" t="s">
        <v>78</v>
      </c>
      <c r="V453" t="str">
        <f t="shared" si="70"/>
        <v/>
      </c>
      <c r="W453" t="str">
        <f t="shared" si="71"/>
        <v/>
      </c>
      <c r="X453">
        <f t="shared" si="72"/>
        <v>0.3698572418644821</v>
      </c>
      <c r="Y453">
        <f t="shared" si="73"/>
        <v>13039.952000000001</v>
      </c>
      <c r="Z453">
        <f t="shared" si="74"/>
        <v>1912.1320000000014</v>
      </c>
      <c r="AA453">
        <f t="shared" si="75"/>
        <v>0.1466364293365498</v>
      </c>
      <c r="AB453">
        <f t="shared" si="76"/>
        <v>2</v>
      </c>
      <c r="AC453" t="str">
        <f t="shared" si="77"/>
        <v>March</v>
      </c>
      <c r="AD453">
        <f t="shared" si="78"/>
        <v>2024</v>
      </c>
      <c r="AE453" t="str">
        <f t="shared" si="79"/>
        <v>WARNING</v>
      </c>
    </row>
    <row r="454" spans="1:31">
      <c r="A454" t="s">
        <v>1486</v>
      </c>
      <c r="B454" s="3">
        <v>45422</v>
      </c>
      <c r="C454" s="3">
        <v>45428</v>
      </c>
      <c r="D454" t="s">
        <v>1487</v>
      </c>
      <c r="E454" t="s">
        <v>172</v>
      </c>
      <c r="F454" t="s">
        <v>105</v>
      </c>
      <c r="G454" t="s">
        <v>48</v>
      </c>
      <c r="H454" t="s">
        <v>240</v>
      </c>
      <c r="I454" t="s">
        <v>241</v>
      </c>
      <c r="J454" t="s">
        <v>84</v>
      </c>
      <c r="K454" t="s">
        <v>85</v>
      </c>
      <c r="L454" t="s">
        <v>1488</v>
      </c>
      <c r="M454" t="s">
        <v>41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42</v>
      </c>
      <c r="U454" t="s">
        <v>43</v>
      </c>
      <c r="V454" t="str">
        <f t="shared" si="70"/>
        <v/>
      </c>
      <c r="W454" t="str">
        <f t="shared" si="71"/>
        <v/>
      </c>
      <c r="X454">
        <f t="shared" si="72"/>
        <v>0.84852144912701888</v>
      </c>
      <c r="Y454">
        <f t="shared" si="73"/>
        <v>9663.9840000000004</v>
      </c>
      <c r="Z454">
        <f t="shared" si="74"/>
        <v>4035.0540000000001</v>
      </c>
      <c r="AA454">
        <f t="shared" si="75"/>
        <v>0.41753525254180884</v>
      </c>
      <c r="AB454">
        <f t="shared" si="76"/>
        <v>6</v>
      </c>
      <c r="AC454" t="str">
        <f t="shared" si="77"/>
        <v>May</v>
      </c>
      <c r="AD454">
        <f t="shared" si="78"/>
        <v>2024</v>
      </c>
      <c r="AE454" t="str">
        <f t="shared" si="79"/>
        <v>CLEAN</v>
      </c>
    </row>
    <row r="455" spans="1:31">
      <c r="A455" t="s">
        <v>1489</v>
      </c>
      <c r="B455" s="3">
        <v>45721</v>
      </c>
      <c r="C455" s="3">
        <v>45788</v>
      </c>
      <c r="D455" t="s">
        <v>1490</v>
      </c>
      <c r="E455" t="s">
        <v>151</v>
      </c>
      <c r="F455" t="s">
        <v>47</v>
      </c>
      <c r="G455" t="s">
        <v>73</v>
      </c>
      <c r="H455" t="s">
        <v>82</v>
      </c>
      <c r="I455" t="s">
        <v>83</v>
      </c>
      <c r="J455" t="s">
        <v>38</v>
      </c>
      <c r="K455" t="s">
        <v>101</v>
      </c>
      <c r="L455" t="s">
        <v>1491</v>
      </c>
      <c r="M455" t="s">
        <v>54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42</v>
      </c>
      <c r="U455" t="s">
        <v>43</v>
      </c>
      <c r="V455" t="str">
        <f t="shared" si="70"/>
        <v/>
      </c>
      <c r="W455" t="str">
        <f t="shared" si="71"/>
        <v/>
      </c>
      <c r="X455">
        <f t="shared" si="72"/>
        <v>-1.0661353799231277</v>
      </c>
      <c r="Y455">
        <f t="shared" si="73"/>
        <v>7417.6</v>
      </c>
      <c r="Z455">
        <f t="shared" si="74"/>
        <v>2461.7400000000007</v>
      </c>
      <c r="AA455">
        <f t="shared" si="75"/>
        <v>0.3318782355478862</v>
      </c>
      <c r="AB455">
        <f t="shared" si="76"/>
        <v>67</v>
      </c>
      <c r="AC455" t="str">
        <f t="shared" si="77"/>
        <v>March</v>
      </c>
      <c r="AD455">
        <f t="shared" si="78"/>
        <v>2025</v>
      </c>
      <c r="AE455" t="str">
        <f t="shared" si="79"/>
        <v>CLEAN</v>
      </c>
    </row>
    <row r="456" spans="1:31">
      <c r="A456" t="s">
        <v>1492</v>
      </c>
      <c r="B456" s="3">
        <v>45739</v>
      </c>
      <c r="C456" s="3">
        <v>45744</v>
      </c>
      <c r="D456" t="s">
        <v>1493</v>
      </c>
      <c r="E456" t="s">
        <v>81</v>
      </c>
      <c r="F456" t="s">
        <v>47</v>
      </c>
      <c r="G456" t="s">
        <v>35</v>
      </c>
      <c r="H456" t="s">
        <v>36</v>
      </c>
      <c r="I456" t="s">
        <v>37</v>
      </c>
      <c r="J456" t="s">
        <v>51</v>
      </c>
      <c r="K456" t="s">
        <v>67</v>
      </c>
      <c r="L456" t="s">
        <v>1494</v>
      </c>
      <c r="M456" t="s">
        <v>69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42</v>
      </c>
      <c r="U456" t="s">
        <v>43</v>
      </c>
      <c r="V456" t="str">
        <f t="shared" si="70"/>
        <v/>
      </c>
      <c r="W456" t="str">
        <f t="shared" si="71"/>
        <v/>
      </c>
      <c r="X456">
        <f t="shared" si="72"/>
        <v>0.3698572418644821</v>
      </c>
      <c r="Y456">
        <f t="shared" si="73"/>
        <v>25229.7</v>
      </c>
      <c r="Z456">
        <f t="shared" si="74"/>
        <v>5059.2700000000004</v>
      </c>
      <c r="AA456">
        <f t="shared" si="75"/>
        <v>0.20052834556098567</v>
      </c>
      <c r="AB456">
        <f t="shared" si="76"/>
        <v>5</v>
      </c>
      <c r="AC456" t="str">
        <f t="shared" si="77"/>
        <v>March</v>
      </c>
      <c r="AD456">
        <f t="shared" si="78"/>
        <v>2025</v>
      </c>
      <c r="AE456" t="str">
        <f t="shared" si="79"/>
        <v>CLEAN</v>
      </c>
    </row>
    <row r="457" spans="1:31">
      <c r="A457" t="s">
        <v>1495</v>
      </c>
      <c r="B457" s="3">
        <v>45491</v>
      </c>
      <c r="C457" s="3">
        <v>45495</v>
      </c>
      <c r="D457" t="s">
        <v>1496</v>
      </c>
      <c r="E457" t="s">
        <v>89</v>
      </c>
      <c r="F457" t="s">
        <v>47</v>
      </c>
      <c r="G457" t="s">
        <v>64</v>
      </c>
      <c r="H457" t="s">
        <v>65</v>
      </c>
      <c r="I457" t="s">
        <v>66</v>
      </c>
      <c r="J457" t="s">
        <v>38</v>
      </c>
      <c r="K457" t="s">
        <v>58</v>
      </c>
      <c r="L457" t="s">
        <v>1497</v>
      </c>
      <c r="M457" t="s">
        <v>69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42</v>
      </c>
      <c r="U457" t="s">
        <v>43</v>
      </c>
      <c r="V457" t="str">
        <f t="shared" si="70"/>
        <v/>
      </c>
      <c r="W457" t="str">
        <f t="shared" si="71"/>
        <v/>
      </c>
      <c r="X457">
        <f t="shared" si="72"/>
        <v>-1.0661353799231277</v>
      </c>
      <c r="Y457">
        <f t="shared" si="73"/>
        <v>3235.08</v>
      </c>
      <c r="Z457">
        <f t="shared" si="74"/>
        <v>1386.48</v>
      </c>
      <c r="AA457">
        <f t="shared" si="75"/>
        <v>0.42857672762342819</v>
      </c>
      <c r="AB457">
        <f t="shared" si="76"/>
        <v>4</v>
      </c>
      <c r="AC457" t="str">
        <f t="shared" si="77"/>
        <v>July</v>
      </c>
      <c r="AD457">
        <f t="shared" si="78"/>
        <v>2024</v>
      </c>
      <c r="AE457" t="str">
        <f t="shared" si="79"/>
        <v>CLEAN</v>
      </c>
    </row>
    <row r="458" spans="1:31">
      <c r="A458" t="s">
        <v>1498</v>
      </c>
      <c r="B458" s="3">
        <v>45342</v>
      </c>
      <c r="C458" s="3">
        <v>45342</v>
      </c>
      <c r="D458" t="s">
        <v>1499</v>
      </c>
      <c r="E458" t="s">
        <v>89</v>
      </c>
      <c r="F458" t="s">
        <v>100</v>
      </c>
      <c r="G458" t="s">
        <v>35</v>
      </c>
      <c r="H458" t="s">
        <v>146</v>
      </c>
      <c r="I458" t="s">
        <v>147</v>
      </c>
      <c r="J458" t="s">
        <v>84</v>
      </c>
      <c r="K458" t="s">
        <v>85</v>
      </c>
      <c r="L458" t="s">
        <v>1500</v>
      </c>
      <c r="M458" t="s">
        <v>54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42</v>
      </c>
      <c r="U458" t="s">
        <v>113</v>
      </c>
      <c r="V458" t="str">
        <f t="shared" si="70"/>
        <v/>
      </c>
      <c r="W458" t="str">
        <f t="shared" si="71"/>
        <v/>
      </c>
      <c r="X458">
        <f t="shared" si="72"/>
        <v>0.3698572418644821</v>
      </c>
      <c r="Y458">
        <f t="shared" si="73"/>
        <v>11070.867499999998</v>
      </c>
      <c r="Z458">
        <f t="shared" si="74"/>
        <v>4447.2574999999988</v>
      </c>
      <c r="AA458">
        <f t="shared" si="75"/>
        <v>0.40170813172499803</v>
      </c>
      <c r="AB458">
        <f t="shared" si="76"/>
        <v>0</v>
      </c>
      <c r="AC458" t="str">
        <f t="shared" si="77"/>
        <v>February</v>
      </c>
      <c r="AD458">
        <f t="shared" si="78"/>
        <v>2024</v>
      </c>
      <c r="AE458" t="str">
        <f t="shared" si="79"/>
        <v>CLEAN</v>
      </c>
    </row>
    <row r="459" spans="1:31">
      <c r="A459" t="s">
        <v>1501</v>
      </c>
      <c r="B459" s="3">
        <v>45387</v>
      </c>
      <c r="C459" s="3">
        <v>45416</v>
      </c>
      <c r="D459" t="s">
        <v>1502</v>
      </c>
      <c r="E459" t="s">
        <v>46</v>
      </c>
      <c r="F459" t="s">
        <v>47</v>
      </c>
      <c r="G459" t="s">
        <v>73</v>
      </c>
      <c r="H459" t="s">
        <v>200</v>
      </c>
      <c r="I459" t="s">
        <v>201</v>
      </c>
      <c r="J459" t="s">
        <v>51</v>
      </c>
      <c r="K459" t="s">
        <v>52</v>
      </c>
      <c r="L459" t="s">
        <v>1503</v>
      </c>
      <c r="M459" t="s">
        <v>69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42</v>
      </c>
      <c r="U459" t="s">
        <v>43</v>
      </c>
      <c r="V459" t="str">
        <f t="shared" si="70"/>
        <v/>
      </c>
      <c r="W459" t="str">
        <f t="shared" si="71"/>
        <v/>
      </c>
      <c r="X459">
        <f t="shared" si="72"/>
        <v>-1.0661353799231277</v>
      </c>
      <c r="Y459">
        <f t="shared" si="73"/>
        <v>19960.57</v>
      </c>
      <c r="Z459">
        <f t="shared" si="74"/>
        <v>3356.9700000000012</v>
      </c>
      <c r="AA459">
        <f t="shared" si="75"/>
        <v>0.1681800670020947</v>
      </c>
      <c r="AB459">
        <f t="shared" si="76"/>
        <v>29</v>
      </c>
      <c r="AC459" t="str">
        <f t="shared" si="77"/>
        <v>April</v>
      </c>
      <c r="AD459">
        <f t="shared" si="78"/>
        <v>2024</v>
      </c>
      <c r="AE459" t="str">
        <f t="shared" si="79"/>
        <v>CLEAN</v>
      </c>
    </row>
    <row r="460" spans="1:31">
      <c r="A460" t="s">
        <v>1504</v>
      </c>
      <c r="B460" s="3">
        <v>45332</v>
      </c>
      <c r="C460" s="3">
        <v>45598</v>
      </c>
      <c r="D460" t="s">
        <v>1505</v>
      </c>
      <c r="E460" t="s">
        <v>33</v>
      </c>
      <c r="F460" t="s">
        <v>100</v>
      </c>
      <c r="G460" t="s">
        <v>35</v>
      </c>
      <c r="H460" t="s">
        <v>36</v>
      </c>
      <c r="I460" t="s">
        <v>37</v>
      </c>
      <c r="J460" t="s">
        <v>84</v>
      </c>
      <c r="K460" t="s">
        <v>181</v>
      </c>
      <c r="L460" t="s">
        <v>1506</v>
      </c>
      <c r="M460" t="s">
        <v>41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42</v>
      </c>
      <c r="U460" t="s">
        <v>43</v>
      </c>
      <c r="V460" t="str">
        <f t="shared" si="70"/>
        <v/>
      </c>
      <c r="W460" t="str">
        <f t="shared" si="71"/>
        <v/>
      </c>
      <c r="X460">
        <f t="shared" si="72"/>
        <v>-0.10880696539805437</v>
      </c>
      <c r="Y460">
        <f t="shared" si="73"/>
        <v>8596.0439999999999</v>
      </c>
      <c r="Z460">
        <f t="shared" si="74"/>
        <v>3217.884</v>
      </c>
      <c r="AA460">
        <f t="shared" si="75"/>
        <v>0.37434475672762962</v>
      </c>
      <c r="AB460">
        <f t="shared" si="76"/>
        <v>266</v>
      </c>
      <c r="AC460" t="str">
        <f t="shared" si="77"/>
        <v>February</v>
      </c>
      <c r="AD460">
        <f t="shared" si="78"/>
        <v>2024</v>
      </c>
      <c r="AE460" t="str">
        <f t="shared" si="79"/>
        <v>CLEAN</v>
      </c>
    </row>
    <row r="461" spans="1:31">
      <c r="A461" t="s">
        <v>1507</v>
      </c>
      <c r="B461" s="3">
        <v>45379</v>
      </c>
      <c r="C461" s="3">
        <v>45386</v>
      </c>
      <c r="D461" t="s">
        <v>1508</v>
      </c>
      <c r="E461" t="s">
        <v>72</v>
      </c>
      <c r="F461" t="s">
        <v>105</v>
      </c>
      <c r="G461" t="s">
        <v>73</v>
      </c>
      <c r="H461" t="s">
        <v>200</v>
      </c>
      <c r="I461" t="s">
        <v>201</v>
      </c>
      <c r="J461" t="s">
        <v>38</v>
      </c>
      <c r="K461" t="s">
        <v>39</v>
      </c>
      <c r="L461" t="s">
        <v>1509</v>
      </c>
      <c r="M461" t="s">
        <v>60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42</v>
      </c>
      <c r="U461" t="s">
        <v>43</v>
      </c>
      <c r="V461" t="str">
        <f t="shared" si="70"/>
        <v/>
      </c>
      <c r="W461" t="str">
        <f t="shared" si="71"/>
        <v/>
      </c>
      <c r="X461">
        <f t="shared" si="72"/>
        <v>-1.0661353799231277</v>
      </c>
      <c r="Y461">
        <f t="shared" si="73"/>
        <v>3452.76</v>
      </c>
      <c r="Z461">
        <f t="shared" si="74"/>
        <v>1374.8000000000002</v>
      </c>
      <c r="AA461">
        <f t="shared" si="75"/>
        <v>0.39817421425178701</v>
      </c>
      <c r="AB461">
        <f t="shared" si="76"/>
        <v>7</v>
      </c>
      <c r="AC461" t="str">
        <f t="shared" si="77"/>
        <v>March</v>
      </c>
      <c r="AD461">
        <f t="shared" si="78"/>
        <v>2024</v>
      </c>
      <c r="AE461" t="str">
        <f t="shared" si="79"/>
        <v>CLEAN</v>
      </c>
    </row>
    <row r="462" spans="1:31">
      <c r="A462" t="s">
        <v>1510</v>
      </c>
      <c r="B462" s="3">
        <v>45930</v>
      </c>
      <c r="C462" s="3">
        <v>45936</v>
      </c>
      <c r="D462" t="s">
        <v>1511</v>
      </c>
      <c r="E462" t="s">
        <v>138</v>
      </c>
      <c r="F462" t="s">
        <v>100</v>
      </c>
      <c r="G462" t="s">
        <v>215</v>
      </c>
      <c r="H462" t="s">
        <v>36</v>
      </c>
      <c r="I462" t="s">
        <v>37</v>
      </c>
      <c r="J462" t="s">
        <v>84</v>
      </c>
      <c r="K462" t="s">
        <v>90</v>
      </c>
      <c r="L462" t="s">
        <v>1512</v>
      </c>
      <c r="M462" t="s">
        <v>41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42</v>
      </c>
      <c r="U462" t="s">
        <v>43</v>
      </c>
      <c r="V462" t="str">
        <f t="shared" si="70"/>
        <v/>
      </c>
      <c r="W462" t="str">
        <f t="shared" si="71"/>
        <v/>
      </c>
      <c r="X462">
        <f t="shared" si="72"/>
        <v>-0.58747117266059101</v>
      </c>
      <c r="Y462">
        <f t="shared" si="73"/>
        <v>11626.974000000002</v>
      </c>
      <c r="Z462">
        <f t="shared" si="74"/>
        <v>4232.9040000000023</v>
      </c>
      <c r="AA462">
        <f t="shared" si="75"/>
        <v>0.36405895463428417</v>
      </c>
      <c r="AB462">
        <f t="shared" si="76"/>
        <v>6</v>
      </c>
      <c r="AC462" t="str">
        <f t="shared" si="77"/>
        <v>September</v>
      </c>
      <c r="AD462">
        <f t="shared" si="78"/>
        <v>2025</v>
      </c>
      <c r="AE462" t="str">
        <f t="shared" si="79"/>
        <v>CLEAN</v>
      </c>
    </row>
    <row r="463" spans="1:31">
      <c r="A463" t="s">
        <v>1513</v>
      </c>
      <c r="B463" s="3">
        <v>45802</v>
      </c>
      <c r="C463" s="3">
        <v>45803</v>
      </c>
      <c r="D463" t="s">
        <v>1514</v>
      </c>
      <c r="E463" t="s">
        <v>89</v>
      </c>
      <c r="F463" t="s">
        <v>100</v>
      </c>
      <c r="G463" t="s">
        <v>64</v>
      </c>
      <c r="H463" t="s">
        <v>94</v>
      </c>
      <c r="I463" t="s">
        <v>95</v>
      </c>
      <c r="J463" t="s">
        <v>38</v>
      </c>
      <c r="K463" t="s">
        <v>39</v>
      </c>
      <c r="L463" t="s">
        <v>1515</v>
      </c>
      <c r="M463" t="s">
        <v>69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42</v>
      </c>
      <c r="U463" t="s">
        <v>43</v>
      </c>
      <c r="V463" t="str">
        <f t="shared" si="70"/>
        <v/>
      </c>
      <c r="W463" t="str">
        <f t="shared" si="71"/>
        <v/>
      </c>
      <c r="X463">
        <f t="shared" si="72"/>
        <v>0.3698572418644821</v>
      </c>
      <c r="Y463">
        <f t="shared" si="73"/>
        <v>8614.2825000000012</v>
      </c>
      <c r="Z463">
        <f t="shared" si="74"/>
        <v>1562.2025000000012</v>
      </c>
      <c r="AA463">
        <f t="shared" si="75"/>
        <v>0.18135027496486225</v>
      </c>
      <c r="AB463">
        <f t="shared" si="76"/>
        <v>1</v>
      </c>
      <c r="AC463" t="str">
        <f t="shared" si="77"/>
        <v>May</v>
      </c>
      <c r="AD463">
        <f t="shared" si="78"/>
        <v>2025</v>
      </c>
      <c r="AE463" t="str">
        <f t="shared" si="79"/>
        <v>CLEAN</v>
      </c>
    </row>
    <row r="464" spans="1:31">
      <c r="A464" t="s">
        <v>1516</v>
      </c>
      <c r="B464" s="3">
        <v>45558</v>
      </c>
      <c r="C464" s="3">
        <v>45560</v>
      </c>
      <c r="D464" t="s">
        <v>1517</v>
      </c>
      <c r="E464" t="s">
        <v>138</v>
      </c>
      <c r="F464" t="s">
        <v>105</v>
      </c>
      <c r="G464" t="s">
        <v>35</v>
      </c>
      <c r="H464" t="s">
        <v>362</v>
      </c>
      <c r="I464" t="s">
        <v>363</v>
      </c>
      <c r="J464" t="s">
        <v>38</v>
      </c>
      <c r="K464" t="s">
        <v>163</v>
      </c>
      <c r="L464" t="s">
        <v>1518</v>
      </c>
      <c r="M464" t="s">
        <v>60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42</v>
      </c>
      <c r="U464" t="s">
        <v>43</v>
      </c>
      <c r="V464" t="str">
        <f t="shared" si="70"/>
        <v/>
      </c>
      <c r="W464" t="str">
        <f t="shared" si="71"/>
        <v/>
      </c>
      <c r="X464">
        <f t="shared" si="72"/>
        <v>0.84852144912701888</v>
      </c>
      <c r="Y464">
        <f t="shared" si="73"/>
        <v>2040.2240000000002</v>
      </c>
      <c r="Z464">
        <f t="shared" si="74"/>
        <v>644.51400000000012</v>
      </c>
      <c r="AA464">
        <f t="shared" si="75"/>
        <v>0.31590354784572677</v>
      </c>
      <c r="AB464">
        <f t="shared" si="76"/>
        <v>2</v>
      </c>
      <c r="AC464" t="str">
        <f t="shared" si="77"/>
        <v>September</v>
      </c>
      <c r="AD464">
        <f t="shared" si="78"/>
        <v>2024</v>
      </c>
      <c r="AE464" t="str">
        <f t="shared" si="79"/>
        <v>CLEAN</v>
      </c>
    </row>
    <row r="465" spans="1:31">
      <c r="A465" t="s">
        <v>1519</v>
      </c>
      <c r="B465" s="3">
        <v>45695</v>
      </c>
      <c r="C465" s="3">
        <v>45696</v>
      </c>
      <c r="D465" t="s">
        <v>1520</v>
      </c>
      <c r="E465" t="s">
        <v>63</v>
      </c>
      <c r="F465" t="s">
        <v>100</v>
      </c>
      <c r="G465" t="s">
        <v>73</v>
      </c>
      <c r="H465" t="s">
        <v>82</v>
      </c>
      <c r="I465" t="s">
        <v>83</v>
      </c>
      <c r="J465" t="s">
        <v>84</v>
      </c>
      <c r="K465" t="s">
        <v>181</v>
      </c>
      <c r="L465" t="s">
        <v>1521</v>
      </c>
      <c r="M465" t="s">
        <v>69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42</v>
      </c>
      <c r="U465" t="s">
        <v>43</v>
      </c>
      <c r="V465" t="str">
        <f t="shared" si="70"/>
        <v/>
      </c>
      <c r="W465" t="str">
        <f t="shared" si="71"/>
        <v/>
      </c>
      <c r="X465">
        <f t="shared" si="72"/>
        <v>0.84852144912701888</v>
      </c>
      <c r="Y465">
        <f t="shared" si="73"/>
        <v>2846.4</v>
      </c>
      <c r="Z465">
        <f t="shared" si="74"/>
        <v>714.0300000000002</v>
      </c>
      <c r="AA465">
        <f t="shared" si="75"/>
        <v>0.25085370994940986</v>
      </c>
      <c r="AB465">
        <f t="shared" si="76"/>
        <v>1</v>
      </c>
      <c r="AC465" t="str">
        <f t="shared" si="77"/>
        <v>February</v>
      </c>
      <c r="AD465">
        <f t="shared" si="78"/>
        <v>2025</v>
      </c>
      <c r="AE465" t="str">
        <f t="shared" si="79"/>
        <v>CLEAN</v>
      </c>
    </row>
    <row r="466" spans="1:31">
      <c r="A466" t="s">
        <v>1522</v>
      </c>
      <c r="B466" s="3">
        <v>45727</v>
      </c>
      <c r="C466" s="3">
        <v>45731</v>
      </c>
      <c r="D466" t="s">
        <v>1523</v>
      </c>
      <c r="E466" t="s">
        <v>63</v>
      </c>
      <c r="F466" t="s">
        <v>100</v>
      </c>
      <c r="G466" t="s">
        <v>48</v>
      </c>
      <c r="H466" t="s">
        <v>155</v>
      </c>
      <c r="I466" t="s">
        <v>156</v>
      </c>
      <c r="J466" t="s">
        <v>38</v>
      </c>
      <c r="K466" t="s">
        <v>39</v>
      </c>
      <c r="L466" t="s">
        <v>1524</v>
      </c>
      <c r="M466" t="s">
        <v>54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121</v>
      </c>
      <c r="U466" t="s">
        <v>78</v>
      </c>
      <c r="V466" t="str">
        <f t="shared" si="70"/>
        <v/>
      </c>
      <c r="W466" t="str">
        <f t="shared" si="71"/>
        <v/>
      </c>
      <c r="X466">
        <f t="shared" si="72"/>
        <v>-0.58747117266059101</v>
      </c>
      <c r="Y466">
        <f t="shared" si="73"/>
        <v>10331.477999999999</v>
      </c>
      <c r="Z466">
        <f t="shared" si="74"/>
        <v>3199.5679999999993</v>
      </c>
      <c r="AA466">
        <f t="shared" si="75"/>
        <v>0.30969121746181905</v>
      </c>
      <c r="AB466">
        <f t="shared" si="76"/>
        <v>4</v>
      </c>
      <c r="AC466" t="str">
        <f t="shared" si="77"/>
        <v>March</v>
      </c>
      <c r="AD466">
        <f t="shared" si="78"/>
        <v>2025</v>
      </c>
      <c r="AE466" t="str">
        <f t="shared" si="79"/>
        <v>WARNING</v>
      </c>
    </row>
    <row r="467" spans="1:31">
      <c r="A467" t="s">
        <v>1525</v>
      </c>
      <c r="B467" s="3">
        <v>45320</v>
      </c>
      <c r="C467" s="3">
        <v>45328</v>
      </c>
      <c r="D467" t="s">
        <v>1526</v>
      </c>
      <c r="E467" t="s">
        <v>138</v>
      </c>
      <c r="F467" t="s">
        <v>47</v>
      </c>
      <c r="G467" t="s">
        <v>73</v>
      </c>
      <c r="H467" t="s">
        <v>82</v>
      </c>
      <c r="I467" t="s">
        <v>83</v>
      </c>
      <c r="J467" t="s">
        <v>38</v>
      </c>
      <c r="K467" t="s">
        <v>101</v>
      </c>
      <c r="L467" t="s">
        <v>1527</v>
      </c>
      <c r="M467" t="s">
        <v>69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42</v>
      </c>
      <c r="U467" t="s">
        <v>43</v>
      </c>
      <c r="V467" t="str">
        <f t="shared" si="70"/>
        <v/>
      </c>
      <c r="W467" t="str">
        <f t="shared" si="71"/>
        <v/>
      </c>
      <c r="X467">
        <f t="shared" si="72"/>
        <v>-1.0661353799231277</v>
      </c>
      <c r="Y467">
        <f t="shared" si="73"/>
        <v>2517.8000000000002</v>
      </c>
      <c r="Z467">
        <f t="shared" si="74"/>
        <v>1039.2600000000002</v>
      </c>
      <c r="AA467">
        <f t="shared" si="75"/>
        <v>0.41276511239971408</v>
      </c>
      <c r="AB467">
        <f t="shared" si="76"/>
        <v>8</v>
      </c>
      <c r="AC467" t="str">
        <f t="shared" si="77"/>
        <v>January</v>
      </c>
      <c r="AD467">
        <f t="shared" si="78"/>
        <v>2024</v>
      </c>
      <c r="AE467" t="str">
        <f t="shared" si="79"/>
        <v>CLEAN</v>
      </c>
    </row>
    <row r="468" spans="1:31">
      <c r="A468" t="s">
        <v>1528</v>
      </c>
      <c r="B468" s="3">
        <v>45295</v>
      </c>
      <c r="C468" s="3">
        <v>45505</v>
      </c>
      <c r="D468" t="s">
        <v>1529</v>
      </c>
      <c r="E468" t="s">
        <v>46</v>
      </c>
      <c r="F468" t="s">
        <v>47</v>
      </c>
      <c r="G468" t="s">
        <v>48</v>
      </c>
      <c r="H468" t="s">
        <v>155</v>
      </c>
      <c r="I468" t="s">
        <v>156</v>
      </c>
      <c r="J468" t="s">
        <v>84</v>
      </c>
      <c r="K468" t="s">
        <v>85</v>
      </c>
      <c r="L468" t="s">
        <v>1530</v>
      </c>
      <c r="M468" t="s">
        <v>54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42</v>
      </c>
      <c r="U468" t="s">
        <v>43</v>
      </c>
      <c r="V468" t="str">
        <f t="shared" si="70"/>
        <v/>
      </c>
      <c r="W468" t="str">
        <f t="shared" si="71"/>
        <v/>
      </c>
      <c r="X468">
        <f t="shared" si="72"/>
        <v>0.84852144912701888</v>
      </c>
      <c r="Y468">
        <f t="shared" si="73"/>
        <v>11462.112000000001</v>
      </c>
      <c r="Z468">
        <f t="shared" si="74"/>
        <v>4356.6320000000014</v>
      </c>
      <c r="AA468">
        <f t="shared" si="75"/>
        <v>0.38008981241851425</v>
      </c>
      <c r="AB468">
        <f t="shared" si="76"/>
        <v>210</v>
      </c>
      <c r="AC468" t="str">
        <f t="shared" si="77"/>
        <v>January</v>
      </c>
      <c r="AD468">
        <f t="shared" si="78"/>
        <v>2024</v>
      </c>
      <c r="AE468" t="str">
        <f t="shared" si="79"/>
        <v>CLEAN</v>
      </c>
    </row>
    <row r="469" spans="1:31">
      <c r="A469" t="s">
        <v>1531</v>
      </c>
      <c r="B469" s="3">
        <v>45524</v>
      </c>
      <c r="C469" s="3">
        <v>45525</v>
      </c>
      <c r="D469" t="s">
        <v>1532</v>
      </c>
      <c r="E469" t="s">
        <v>99</v>
      </c>
      <c r="F469" t="s">
        <v>100</v>
      </c>
      <c r="G469" t="s">
        <v>48</v>
      </c>
      <c r="H469" t="s">
        <v>49</v>
      </c>
      <c r="I469" t="s">
        <v>50</v>
      </c>
      <c r="J469" t="s">
        <v>84</v>
      </c>
      <c r="K469" t="s">
        <v>90</v>
      </c>
      <c r="L469" t="s">
        <v>1533</v>
      </c>
      <c r="M469" t="s">
        <v>60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112</v>
      </c>
      <c r="U469" t="s">
        <v>78</v>
      </c>
      <c r="V469" t="str">
        <f t="shared" si="70"/>
        <v/>
      </c>
      <c r="W469" t="str">
        <f t="shared" si="71"/>
        <v/>
      </c>
      <c r="X469">
        <f t="shared" si="72"/>
        <v>-0.10880696539805437</v>
      </c>
      <c r="Y469">
        <f t="shared" si="73"/>
        <v>19297.485000000001</v>
      </c>
      <c r="Z469">
        <f t="shared" si="74"/>
        <v>3845.8250000000007</v>
      </c>
      <c r="AA469">
        <f t="shared" si="75"/>
        <v>0.1992915138941681</v>
      </c>
      <c r="AB469">
        <f t="shared" si="76"/>
        <v>1</v>
      </c>
      <c r="AC469" t="str">
        <f t="shared" si="77"/>
        <v>August</v>
      </c>
      <c r="AD469">
        <f t="shared" si="78"/>
        <v>2024</v>
      </c>
      <c r="AE469" t="str">
        <f t="shared" si="79"/>
        <v>WARNING</v>
      </c>
    </row>
    <row r="470" spans="1:31">
      <c r="A470" t="s">
        <v>1534</v>
      </c>
      <c r="B470" s="3">
        <v>45666</v>
      </c>
      <c r="C470" s="3">
        <v>45664</v>
      </c>
      <c r="D470" t="s">
        <v>1535</v>
      </c>
      <c r="E470" t="s">
        <v>138</v>
      </c>
      <c r="F470" t="s">
        <v>105</v>
      </c>
      <c r="G470" t="s">
        <v>48</v>
      </c>
      <c r="H470" t="s">
        <v>109</v>
      </c>
      <c r="I470" t="s">
        <v>110</v>
      </c>
      <c r="J470" t="s">
        <v>38</v>
      </c>
      <c r="K470" t="s">
        <v>163</v>
      </c>
      <c r="L470" t="s">
        <v>1536</v>
      </c>
      <c r="M470" t="s">
        <v>41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42</v>
      </c>
      <c r="U470" t="s">
        <v>43</v>
      </c>
      <c r="V470" t="str">
        <f t="shared" si="70"/>
        <v/>
      </c>
      <c r="W470" t="str">
        <f t="shared" si="71"/>
        <v>Invalid Shipping Record</v>
      </c>
      <c r="X470">
        <f t="shared" si="72"/>
        <v>-1.0661353799231277</v>
      </c>
      <c r="Y470">
        <f t="shared" si="73"/>
        <v>6564.99</v>
      </c>
      <c r="Z470">
        <f t="shared" si="74"/>
        <v>1157.75</v>
      </c>
      <c r="AA470">
        <f t="shared" si="75"/>
        <v>0.17635213458055535</v>
      </c>
      <c r="AB470" t="e">
        <f t="shared" si="76"/>
        <v>#NUM!</v>
      </c>
      <c r="AC470" t="str">
        <f t="shared" si="77"/>
        <v>January</v>
      </c>
      <c r="AD470">
        <f t="shared" si="78"/>
        <v>2025</v>
      </c>
      <c r="AE470" t="str">
        <f t="shared" si="79"/>
        <v>INVALID</v>
      </c>
    </row>
    <row r="471" spans="1:31">
      <c r="A471" t="s">
        <v>1537</v>
      </c>
      <c r="B471" s="3">
        <v>45310</v>
      </c>
      <c r="C471" s="3">
        <v>45316</v>
      </c>
      <c r="D471" t="s">
        <v>1538</v>
      </c>
      <c r="E471" t="s">
        <v>99</v>
      </c>
      <c r="F471" t="s">
        <v>100</v>
      </c>
      <c r="G471" t="s">
        <v>73</v>
      </c>
      <c r="H471" t="s">
        <v>200</v>
      </c>
      <c r="I471" t="s">
        <v>201</v>
      </c>
      <c r="J471" t="s">
        <v>84</v>
      </c>
      <c r="K471" t="s">
        <v>90</v>
      </c>
      <c r="L471" t="s">
        <v>1539</v>
      </c>
      <c r="M471" t="s">
        <v>60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42</v>
      </c>
      <c r="U471" t="s">
        <v>43</v>
      </c>
      <c r="V471" t="str">
        <f t="shared" si="70"/>
        <v/>
      </c>
      <c r="W471" t="str">
        <f t="shared" si="71"/>
        <v/>
      </c>
      <c r="X471">
        <f t="shared" si="72"/>
        <v>-0.10880696539805437</v>
      </c>
      <c r="Y471">
        <f t="shared" si="73"/>
        <v>2812.4820000000004</v>
      </c>
      <c r="Z471">
        <f t="shared" si="74"/>
        <v>530.36200000000053</v>
      </c>
      <c r="AA471">
        <f t="shared" si="75"/>
        <v>0.18857436243147527</v>
      </c>
      <c r="AB471">
        <f t="shared" si="76"/>
        <v>6</v>
      </c>
      <c r="AC471" t="str">
        <f t="shared" si="77"/>
        <v>January</v>
      </c>
      <c r="AD471">
        <f t="shared" si="78"/>
        <v>2024</v>
      </c>
      <c r="AE471" t="str">
        <f t="shared" si="79"/>
        <v>CLEAN</v>
      </c>
    </row>
    <row r="472" spans="1:31">
      <c r="A472" t="s">
        <v>1540</v>
      </c>
      <c r="B472" s="3">
        <v>45501</v>
      </c>
      <c r="C472" s="3">
        <v>45504</v>
      </c>
      <c r="D472" t="s">
        <v>1541</v>
      </c>
      <c r="E472" t="s">
        <v>99</v>
      </c>
      <c r="F472" t="s">
        <v>34</v>
      </c>
      <c r="G472" t="s">
        <v>35</v>
      </c>
      <c r="H472" t="s">
        <v>36</v>
      </c>
      <c r="I472" t="s">
        <v>37</v>
      </c>
      <c r="J472" t="s">
        <v>51</v>
      </c>
      <c r="K472" t="s">
        <v>52</v>
      </c>
      <c r="L472" t="s">
        <v>1542</v>
      </c>
      <c r="M472" t="s">
        <v>54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42</v>
      </c>
      <c r="U472" t="s">
        <v>43</v>
      </c>
      <c r="V472" t="str">
        <f t="shared" si="70"/>
        <v/>
      </c>
      <c r="W472" t="str">
        <f t="shared" si="71"/>
        <v/>
      </c>
      <c r="X472">
        <f t="shared" si="72"/>
        <v>0.84852144912701888</v>
      </c>
      <c r="Y472">
        <f t="shared" si="73"/>
        <v>7079.6480000000001</v>
      </c>
      <c r="Z472">
        <f t="shared" si="74"/>
        <v>2613.7380000000003</v>
      </c>
      <c r="AA472">
        <f t="shared" si="75"/>
        <v>0.36919038912669105</v>
      </c>
      <c r="AB472">
        <f t="shared" si="76"/>
        <v>3</v>
      </c>
      <c r="AC472" t="str">
        <f t="shared" si="77"/>
        <v>July</v>
      </c>
      <c r="AD472">
        <f t="shared" si="78"/>
        <v>2024</v>
      </c>
      <c r="AE472" t="str">
        <f t="shared" si="79"/>
        <v>CLEAN</v>
      </c>
    </row>
    <row r="473" spans="1:31">
      <c r="A473" t="s">
        <v>1543</v>
      </c>
      <c r="B473" s="3">
        <v>45333</v>
      </c>
      <c r="C473" s="3">
        <v>45337</v>
      </c>
      <c r="D473" t="s">
        <v>1544</v>
      </c>
      <c r="E473" t="s">
        <v>276</v>
      </c>
      <c r="F473" t="s">
        <v>34</v>
      </c>
      <c r="G473" t="s">
        <v>64</v>
      </c>
      <c r="H473" t="s">
        <v>65</v>
      </c>
      <c r="I473" t="s">
        <v>66</v>
      </c>
      <c r="J473" t="s">
        <v>38</v>
      </c>
      <c r="K473" t="s">
        <v>163</v>
      </c>
      <c r="L473" t="s">
        <v>1545</v>
      </c>
      <c r="M473" t="s">
        <v>69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42</v>
      </c>
      <c r="U473" t="s">
        <v>43</v>
      </c>
      <c r="V473" t="str">
        <f t="shared" si="70"/>
        <v/>
      </c>
      <c r="W473" t="str">
        <f t="shared" si="71"/>
        <v/>
      </c>
      <c r="X473">
        <f t="shared" si="72"/>
        <v>1.3271856563895552</v>
      </c>
      <c r="Y473">
        <f t="shared" si="73"/>
        <v>6793.0650000000005</v>
      </c>
      <c r="Z473">
        <f t="shared" si="74"/>
        <v>1807.8450000000003</v>
      </c>
      <c r="AA473">
        <f t="shared" si="75"/>
        <v>0.26613097327936652</v>
      </c>
      <c r="AB473">
        <f t="shared" si="76"/>
        <v>4</v>
      </c>
      <c r="AC473" t="str">
        <f t="shared" si="77"/>
        <v>February</v>
      </c>
      <c r="AD473">
        <f t="shared" si="78"/>
        <v>2024</v>
      </c>
      <c r="AE473" t="str">
        <f t="shared" si="79"/>
        <v>CLEAN</v>
      </c>
    </row>
    <row r="474" spans="1:31">
      <c r="A474" t="s">
        <v>1546</v>
      </c>
      <c r="B474" s="3">
        <v>45353</v>
      </c>
      <c r="C474" s="3">
        <v>45476</v>
      </c>
      <c r="D474" t="s">
        <v>1547</v>
      </c>
      <c r="E474" t="s">
        <v>151</v>
      </c>
      <c r="F474" t="s">
        <v>100</v>
      </c>
      <c r="G474" t="s">
        <v>48</v>
      </c>
      <c r="H474" t="s">
        <v>49</v>
      </c>
      <c r="I474" t="s">
        <v>50</v>
      </c>
      <c r="J474" t="s">
        <v>38</v>
      </c>
      <c r="K474" t="s">
        <v>134</v>
      </c>
      <c r="L474" t="s">
        <v>1548</v>
      </c>
      <c r="M474" t="s">
        <v>69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42</v>
      </c>
      <c r="U474" t="s">
        <v>43</v>
      </c>
      <c r="V474" t="str">
        <f t="shared" si="70"/>
        <v/>
      </c>
      <c r="W474" t="str">
        <f t="shared" si="71"/>
        <v/>
      </c>
      <c r="X474">
        <f t="shared" si="72"/>
        <v>-1.0661353799231277</v>
      </c>
      <c r="Y474">
        <f t="shared" si="73"/>
        <v>1844.2199999999998</v>
      </c>
      <c r="Z474">
        <f t="shared" si="74"/>
        <v>750.00999999999976</v>
      </c>
      <c r="AA474">
        <f t="shared" si="75"/>
        <v>0.40668141544934977</v>
      </c>
      <c r="AB474">
        <f t="shared" si="76"/>
        <v>123</v>
      </c>
      <c r="AC474" t="str">
        <f t="shared" si="77"/>
        <v>March</v>
      </c>
      <c r="AD474">
        <f t="shared" si="78"/>
        <v>2024</v>
      </c>
      <c r="AE474" t="str">
        <f t="shared" si="79"/>
        <v>CLEAN</v>
      </c>
    </row>
    <row r="475" spans="1:31">
      <c r="A475" t="s">
        <v>1549</v>
      </c>
      <c r="B475" s="3">
        <v>45609</v>
      </c>
      <c r="C475" s="3">
        <v>45609</v>
      </c>
      <c r="D475" t="s">
        <v>1550</v>
      </c>
      <c r="E475" t="s">
        <v>124</v>
      </c>
      <c r="F475" t="s">
        <v>34</v>
      </c>
      <c r="G475" t="s">
        <v>73</v>
      </c>
      <c r="H475" t="s">
        <v>200</v>
      </c>
      <c r="I475" t="s">
        <v>201</v>
      </c>
      <c r="J475" t="s">
        <v>84</v>
      </c>
      <c r="K475" t="s">
        <v>90</v>
      </c>
      <c r="L475" t="s">
        <v>1551</v>
      </c>
      <c r="M475" t="s">
        <v>69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42</v>
      </c>
      <c r="U475" t="s">
        <v>43</v>
      </c>
      <c r="V475" t="str">
        <f t="shared" si="70"/>
        <v/>
      </c>
      <c r="W475" t="str">
        <f t="shared" si="71"/>
        <v/>
      </c>
      <c r="X475">
        <f t="shared" si="72"/>
        <v>0.84852144912701888</v>
      </c>
      <c r="Y475">
        <f t="shared" si="73"/>
        <v>918.95999999999992</v>
      </c>
      <c r="Z475">
        <f t="shared" si="74"/>
        <v>364.78</v>
      </c>
      <c r="AA475">
        <f t="shared" si="75"/>
        <v>0.39694872464525116</v>
      </c>
      <c r="AB475">
        <f t="shared" si="76"/>
        <v>0</v>
      </c>
      <c r="AC475" t="str">
        <f t="shared" si="77"/>
        <v>November</v>
      </c>
      <c r="AD475">
        <f t="shared" si="78"/>
        <v>2024</v>
      </c>
      <c r="AE475" t="str">
        <f t="shared" si="79"/>
        <v>CLEAN</v>
      </c>
    </row>
    <row r="476" spans="1:31">
      <c r="A476" t="s">
        <v>1552</v>
      </c>
      <c r="B476" s="3">
        <v>45446</v>
      </c>
      <c r="C476" s="3">
        <v>45453</v>
      </c>
      <c r="D476" t="s">
        <v>1553</v>
      </c>
      <c r="E476" t="s">
        <v>172</v>
      </c>
      <c r="F476" t="s">
        <v>100</v>
      </c>
      <c r="G476" t="s">
        <v>35</v>
      </c>
      <c r="H476" t="s">
        <v>132</v>
      </c>
      <c r="I476" t="s">
        <v>133</v>
      </c>
      <c r="J476" t="s">
        <v>51</v>
      </c>
      <c r="K476" t="s">
        <v>67</v>
      </c>
      <c r="L476" t="s">
        <v>1554</v>
      </c>
      <c r="M476" t="s">
        <v>69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42</v>
      </c>
      <c r="U476" t="s">
        <v>43</v>
      </c>
      <c r="V476" t="str">
        <f t="shared" si="70"/>
        <v/>
      </c>
      <c r="W476" t="str">
        <f t="shared" si="71"/>
        <v/>
      </c>
      <c r="X476">
        <f t="shared" si="72"/>
        <v>-1.0661353799231277</v>
      </c>
      <c r="Y476">
        <f t="shared" si="73"/>
        <v>4900.71</v>
      </c>
      <c r="Z476">
        <f t="shared" si="74"/>
        <v>2186.81</v>
      </c>
      <c r="AA476">
        <f t="shared" si="75"/>
        <v>0.44622309828575857</v>
      </c>
      <c r="AB476">
        <f t="shared" si="76"/>
        <v>7</v>
      </c>
      <c r="AC476" t="str">
        <f t="shared" si="77"/>
        <v>June</v>
      </c>
      <c r="AD476">
        <f t="shared" si="78"/>
        <v>2024</v>
      </c>
      <c r="AE476" t="str">
        <f t="shared" si="79"/>
        <v>CLEAN</v>
      </c>
    </row>
    <row r="477" spans="1:31">
      <c r="A477" t="s">
        <v>1555</v>
      </c>
      <c r="B477" s="3">
        <v>45660</v>
      </c>
      <c r="C477" s="3">
        <v>45724</v>
      </c>
      <c r="D477" t="s">
        <v>1556</v>
      </c>
      <c r="E477" t="s">
        <v>81</v>
      </c>
      <c r="F477" t="s">
        <v>34</v>
      </c>
      <c r="G477" t="s">
        <v>48</v>
      </c>
      <c r="H477" t="s">
        <v>109</v>
      </c>
      <c r="I477" t="s">
        <v>110</v>
      </c>
      <c r="J477" t="s">
        <v>51</v>
      </c>
      <c r="K477" t="s">
        <v>76</v>
      </c>
      <c r="L477" t="s">
        <v>1557</v>
      </c>
      <c r="M477" t="s">
        <v>54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121</v>
      </c>
      <c r="U477" t="s">
        <v>113</v>
      </c>
      <c r="V477" t="str">
        <f t="shared" si="70"/>
        <v/>
      </c>
      <c r="W477" t="str">
        <f t="shared" si="71"/>
        <v/>
      </c>
      <c r="X477">
        <f t="shared" si="72"/>
        <v>1.3271856563895552</v>
      </c>
      <c r="Y477">
        <f t="shared" si="73"/>
        <v>20272.920000000002</v>
      </c>
      <c r="Z477">
        <f t="shared" si="74"/>
        <v>4399.5400000000027</v>
      </c>
      <c r="AA477">
        <f t="shared" si="75"/>
        <v>0.21701560505344086</v>
      </c>
      <c r="AB477">
        <f t="shared" si="76"/>
        <v>64</v>
      </c>
      <c r="AC477" t="str">
        <f t="shared" si="77"/>
        <v>January</v>
      </c>
      <c r="AD477">
        <f t="shared" si="78"/>
        <v>2025</v>
      </c>
      <c r="AE477" t="str">
        <f t="shared" si="79"/>
        <v>CLEAN</v>
      </c>
    </row>
    <row r="478" spans="1:31">
      <c r="A478" t="s">
        <v>1558</v>
      </c>
      <c r="B478" s="3">
        <v>45478</v>
      </c>
      <c r="C478" s="3">
        <v>45426</v>
      </c>
      <c r="D478" t="s">
        <v>1559</v>
      </c>
      <c r="E478" t="s">
        <v>142</v>
      </c>
      <c r="F478" t="s">
        <v>47</v>
      </c>
      <c r="G478" t="s">
        <v>35</v>
      </c>
      <c r="H478" t="s">
        <v>36</v>
      </c>
      <c r="I478" t="s">
        <v>37</v>
      </c>
      <c r="J478" t="s">
        <v>38</v>
      </c>
      <c r="K478" t="s">
        <v>134</v>
      </c>
      <c r="L478" t="s">
        <v>1560</v>
      </c>
      <c r="M478" t="s">
        <v>60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42</v>
      </c>
      <c r="U478" t="s">
        <v>43</v>
      </c>
      <c r="V478" t="str">
        <f t="shared" si="70"/>
        <v/>
      </c>
      <c r="W478" t="str">
        <f t="shared" si="71"/>
        <v>Invalid Shipping Record</v>
      </c>
      <c r="X478">
        <f t="shared" si="72"/>
        <v>-0.10880696539805437</v>
      </c>
      <c r="Y478">
        <f t="shared" si="73"/>
        <v>1035.6659999999999</v>
      </c>
      <c r="Z478">
        <f t="shared" si="74"/>
        <v>440.24599999999998</v>
      </c>
      <c r="AA478">
        <f t="shared" si="75"/>
        <v>0.42508492120046426</v>
      </c>
      <c r="AB478" t="e">
        <f t="shared" si="76"/>
        <v>#NUM!</v>
      </c>
      <c r="AC478" t="str">
        <f t="shared" si="77"/>
        <v>July</v>
      </c>
      <c r="AD478">
        <f t="shared" si="78"/>
        <v>2024</v>
      </c>
      <c r="AE478" t="str">
        <f t="shared" si="79"/>
        <v>INVALID</v>
      </c>
    </row>
    <row r="479" spans="1:31">
      <c r="A479" t="s">
        <v>1561</v>
      </c>
      <c r="B479" s="3">
        <v>45892</v>
      </c>
      <c r="C479" s="3">
        <v>45897</v>
      </c>
      <c r="D479" t="s">
        <v>1562</v>
      </c>
      <c r="E479" t="s">
        <v>81</v>
      </c>
      <c r="F479" t="s">
        <v>100</v>
      </c>
      <c r="G479" t="s">
        <v>73</v>
      </c>
      <c r="H479" t="s">
        <v>190</v>
      </c>
      <c r="I479" t="s">
        <v>191</v>
      </c>
      <c r="J479" t="s">
        <v>51</v>
      </c>
      <c r="K479" t="s">
        <v>76</v>
      </c>
      <c r="L479" t="s">
        <v>1563</v>
      </c>
      <c r="M479" t="s">
        <v>69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42</v>
      </c>
      <c r="U479" t="s">
        <v>78</v>
      </c>
      <c r="V479" t="str">
        <f t="shared" si="70"/>
        <v/>
      </c>
      <c r="W479" t="str">
        <f t="shared" si="71"/>
        <v/>
      </c>
      <c r="X479">
        <f t="shared" si="72"/>
        <v>-0.10880696539805437</v>
      </c>
      <c r="Y479">
        <f t="shared" si="73"/>
        <v>11843.442000000001</v>
      </c>
      <c r="Z479">
        <f t="shared" si="74"/>
        <v>2486.5620000000017</v>
      </c>
      <c r="AA479">
        <f t="shared" si="75"/>
        <v>0.20995264721184953</v>
      </c>
      <c r="AB479">
        <f t="shared" si="76"/>
        <v>5</v>
      </c>
      <c r="AC479" t="str">
        <f t="shared" si="77"/>
        <v>August</v>
      </c>
      <c r="AD479">
        <f t="shared" si="78"/>
        <v>2025</v>
      </c>
      <c r="AE479" t="str">
        <f t="shared" si="79"/>
        <v>WARNING</v>
      </c>
    </row>
    <row r="480" spans="1:31">
      <c r="A480" t="s">
        <v>1564</v>
      </c>
      <c r="B480" s="3">
        <v>45541</v>
      </c>
      <c r="C480" s="3">
        <v>45456</v>
      </c>
      <c r="D480" t="s">
        <v>1565</v>
      </c>
      <c r="E480" t="s">
        <v>46</v>
      </c>
      <c r="F480" t="s">
        <v>105</v>
      </c>
      <c r="G480" t="s">
        <v>215</v>
      </c>
      <c r="H480" t="s">
        <v>146</v>
      </c>
      <c r="I480" t="s">
        <v>147</v>
      </c>
      <c r="J480" t="s">
        <v>84</v>
      </c>
      <c r="K480" t="s">
        <v>286</v>
      </c>
      <c r="L480" t="s">
        <v>1566</v>
      </c>
      <c r="M480" t="s">
        <v>54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112</v>
      </c>
      <c r="U480" t="s">
        <v>113</v>
      </c>
      <c r="V480" t="str">
        <f t="shared" si="70"/>
        <v/>
      </c>
      <c r="W480" t="str">
        <f t="shared" si="71"/>
        <v>Invalid Shipping Record</v>
      </c>
      <c r="X480">
        <f t="shared" si="72"/>
        <v>-0.10880696539805437</v>
      </c>
      <c r="Y480">
        <f t="shared" si="73"/>
        <v>25702.173000000003</v>
      </c>
      <c r="Z480">
        <f t="shared" si="74"/>
        <v>11130.693000000003</v>
      </c>
      <c r="AA480">
        <f t="shared" si="75"/>
        <v>0.43306427826160854</v>
      </c>
      <c r="AB480" t="e">
        <f t="shared" si="76"/>
        <v>#NUM!</v>
      </c>
      <c r="AC480" t="str">
        <f t="shared" si="77"/>
        <v>September</v>
      </c>
      <c r="AD480">
        <f t="shared" si="78"/>
        <v>2024</v>
      </c>
      <c r="AE480" t="str">
        <f t="shared" si="79"/>
        <v>INVALID</v>
      </c>
    </row>
    <row r="481" spans="1:31">
      <c r="A481" t="s">
        <v>1567</v>
      </c>
      <c r="B481" s="3">
        <v>45345</v>
      </c>
      <c r="C481" s="3">
        <v>45342</v>
      </c>
      <c r="D481" t="s">
        <v>1568</v>
      </c>
      <c r="E481" t="s">
        <v>63</v>
      </c>
      <c r="F481" t="s">
        <v>100</v>
      </c>
      <c r="G481" t="s">
        <v>48</v>
      </c>
      <c r="H481" t="s">
        <v>49</v>
      </c>
      <c r="I481" t="s">
        <v>50</v>
      </c>
      <c r="J481" t="s">
        <v>51</v>
      </c>
      <c r="K481" t="s">
        <v>76</v>
      </c>
      <c r="L481" t="s">
        <v>1569</v>
      </c>
      <c r="M481" t="s">
        <v>41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42</v>
      </c>
      <c r="U481" t="s">
        <v>43</v>
      </c>
      <c r="V481" t="str">
        <f t="shared" si="70"/>
        <v/>
      </c>
      <c r="W481" t="str">
        <f t="shared" si="71"/>
        <v>Invalid Shipping Record</v>
      </c>
      <c r="X481">
        <f t="shared" si="72"/>
        <v>-1.0661353799231277</v>
      </c>
      <c r="Y481">
        <f t="shared" si="73"/>
        <v>2202.5500000000002</v>
      </c>
      <c r="Z481">
        <f t="shared" si="74"/>
        <v>1167.9800000000002</v>
      </c>
      <c r="AA481">
        <f t="shared" si="75"/>
        <v>0.53028535107035035</v>
      </c>
      <c r="AB481" t="e">
        <f t="shared" si="76"/>
        <v>#NUM!</v>
      </c>
      <c r="AC481" t="str">
        <f t="shared" si="77"/>
        <v>February</v>
      </c>
      <c r="AD481">
        <f t="shared" si="78"/>
        <v>2024</v>
      </c>
      <c r="AE481" t="str">
        <f t="shared" si="79"/>
        <v>INVALID</v>
      </c>
    </row>
    <row r="482" spans="1:31">
      <c r="A482" t="s">
        <v>1570</v>
      </c>
      <c r="B482" s="3">
        <v>45662</v>
      </c>
      <c r="C482" s="3">
        <v>45666</v>
      </c>
      <c r="D482" t="s">
        <v>1571</v>
      </c>
      <c r="E482" t="s">
        <v>89</v>
      </c>
      <c r="F482" t="s">
        <v>47</v>
      </c>
      <c r="G482" t="s">
        <v>64</v>
      </c>
      <c r="H482" t="s">
        <v>259</v>
      </c>
      <c r="I482" t="s">
        <v>260</v>
      </c>
      <c r="J482" t="s">
        <v>38</v>
      </c>
      <c r="K482" t="s">
        <v>134</v>
      </c>
      <c r="L482" t="s">
        <v>1572</v>
      </c>
      <c r="M482" t="s">
        <v>215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42</v>
      </c>
      <c r="U482" t="s">
        <v>43</v>
      </c>
      <c r="V482" t="str">
        <f t="shared" si="70"/>
        <v/>
      </c>
      <c r="W482" t="str">
        <f t="shared" si="71"/>
        <v/>
      </c>
      <c r="X482">
        <f t="shared" si="72"/>
        <v>-1.0661353799231277</v>
      </c>
      <c r="Y482">
        <f t="shared" si="73"/>
        <v>4525.8</v>
      </c>
      <c r="Z482">
        <f t="shared" si="74"/>
        <v>1811.29</v>
      </c>
      <c r="AA482">
        <f t="shared" si="75"/>
        <v>0.40021432674886204</v>
      </c>
      <c r="AB482">
        <f t="shared" si="76"/>
        <v>4</v>
      </c>
      <c r="AC482" t="str">
        <f t="shared" si="77"/>
        <v>January</v>
      </c>
      <c r="AD482">
        <f t="shared" si="78"/>
        <v>2025</v>
      </c>
      <c r="AE482" t="str">
        <f t="shared" si="79"/>
        <v>CLEAN</v>
      </c>
    </row>
    <row r="483" spans="1:31">
      <c r="A483" t="s">
        <v>1573</v>
      </c>
      <c r="B483" s="3">
        <v>45813</v>
      </c>
      <c r="C483" s="3">
        <v>45821</v>
      </c>
      <c r="D483" t="s">
        <v>1574</v>
      </c>
      <c r="E483" t="s">
        <v>57</v>
      </c>
      <c r="F483" t="s">
        <v>34</v>
      </c>
      <c r="G483" t="s">
        <v>35</v>
      </c>
      <c r="H483" t="s">
        <v>146</v>
      </c>
      <c r="I483" t="s">
        <v>147</v>
      </c>
      <c r="J483" t="s">
        <v>84</v>
      </c>
      <c r="K483" t="s">
        <v>286</v>
      </c>
      <c r="L483" t="s">
        <v>1575</v>
      </c>
      <c r="M483" t="s">
        <v>54</v>
      </c>
      <c r="N483">
        <v>4</v>
      </c>
      <c r="O483">
        <v>2793.88</v>
      </c>
      <c r="P483" t="s">
        <v>787</v>
      </c>
      <c r="Q483">
        <v>10616.74</v>
      </c>
      <c r="R483">
        <v>6353.59</v>
      </c>
      <c r="S483">
        <v>4263.1499999999996</v>
      </c>
      <c r="T483" t="s">
        <v>42</v>
      </c>
      <c r="U483" t="s">
        <v>43</v>
      </c>
      <c r="V483" t="str">
        <f t="shared" si="70"/>
        <v>Invalid Discount</v>
      </c>
      <c r="W483" t="str">
        <f t="shared" si="71"/>
        <v/>
      </c>
      <c r="X483">
        <f t="shared" si="72"/>
        <v>7.0711561435399943</v>
      </c>
      <c r="Y483">
        <f t="shared" si="73"/>
        <v>1676.3280000000002</v>
      </c>
      <c r="Z483">
        <f t="shared" si="74"/>
        <v>-4677.2619999999997</v>
      </c>
      <c r="AA483">
        <f t="shared" si="75"/>
        <v>-2.7901830667983827</v>
      </c>
      <c r="AB483">
        <f t="shared" si="76"/>
        <v>8</v>
      </c>
      <c r="AC483" t="str">
        <f t="shared" si="77"/>
        <v>June</v>
      </c>
      <c r="AD483">
        <f t="shared" si="78"/>
        <v>2025</v>
      </c>
      <c r="AE483" t="str">
        <f t="shared" si="79"/>
        <v>INVALID</v>
      </c>
    </row>
    <row r="484" spans="1:31">
      <c r="A484" t="s">
        <v>1576</v>
      </c>
      <c r="B484" s="3">
        <v>45495</v>
      </c>
      <c r="C484" s="3">
        <v>45495</v>
      </c>
      <c r="D484" t="s">
        <v>1577</v>
      </c>
      <c r="E484" t="s">
        <v>124</v>
      </c>
      <c r="F484" t="s">
        <v>34</v>
      </c>
      <c r="G484" t="s">
        <v>64</v>
      </c>
      <c r="H484" t="s">
        <v>185</v>
      </c>
      <c r="I484" t="s">
        <v>186</v>
      </c>
      <c r="J484" t="s">
        <v>84</v>
      </c>
      <c r="K484" t="s">
        <v>85</v>
      </c>
      <c r="L484" t="s">
        <v>1578</v>
      </c>
      <c r="M484" t="s">
        <v>41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42</v>
      </c>
      <c r="U484" t="s">
        <v>43</v>
      </c>
      <c r="V484" t="str">
        <f t="shared" si="70"/>
        <v/>
      </c>
      <c r="W484" t="str">
        <f t="shared" si="71"/>
        <v/>
      </c>
      <c r="X484">
        <f t="shared" si="72"/>
        <v>1.3271856563895552</v>
      </c>
      <c r="Y484">
        <f t="shared" si="73"/>
        <v>2893.9949999999999</v>
      </c>
      <c r="Z484">
        <f t="shared" si="74"/>
        <v>1037.9649999999999</v>
      </c>
      <c r="AA484">
        <f t="shared" si="75"/>
        <v>0.35866164247001114</v>
      </c>
      <c r="AB484">
        <f t="shared" si="76"/>
        <v>0</v>
      </c>
      <c r="AC484" t="str">
        <f t="shared" si="77"/>
        <v>July</v>
      </c>
      <c r="AD484">
        <f t="shared" si="78"/>
        <v>2024</v>
      </c>
      <c r="AE484" t="str">
        <f t="shared" si="79"/>
        <v>CLEAN</v>
      </c>
    </row>
    <row r="485" spans="1:31">
      <c r="A485" t="s">
        <v>1579</v>
      </c>
      <c r="B485" s="3">
        <v>45651</v>
      </c>
      <c r="C485" s="3">
        <v>45651</v>
      </c>
      <c r="D485" t="s">
        <v>1580</v>
      </c>
      <c r="E485" t="s">
        <v>46</v>
      </c>
      <c r="F485" t="s">
        <v>100</v>
      </c>
      <c r="G485" t="s">
        <v>48</v>
      </c>
      <c r="H485" t="s">
        <v>155</v>
      </c>
      <c r="I485" t="s">
        <v>156</v>
      </c>
      <c r="J485" t="s">
        <v>84</v>
      </c>
      <c r="K485" t="s">
        <v>90</v>
      </c>
      <c r="L485" t="s">
        <v>1581</v>
      </c>
      <c r="M485" t="s">
        <v>69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42</v>
      </c>
      <c r="U485" t="s">
        <v>43</v>
      </c>
      <c r="V485" t="str">
        <f t="shared" si="70"/>
        <v/>
      </c>
      <c r="W485" t="str">
        <f t="shared" si="71"/>
        <v/>
      </c>
      <c r="X485">
        <f t="shared" si="72"/>
        <v>0.3698572418644821</v>
      </c>
      <c r="Y485">
        <f t="shared" si="73"/>
        <v>705.2109999999999</v>
      </c>
      <c r="Z485">
        <f t="shared" si="74"/>
        <v>266.89099999999991</v>
      </c>
      <c r="AA485">
        <f t="shared" si="75"/>
        <v>0.37845552607659261</v>
      </c>
      <c r="AB485">
        <f t="shared" si="76"/>
        <v>0</v>
      </c>
      <c r="AC485" t="str">
        <f t="shared" si="77"/>
        <v>December</v>
      </c>
      <c r="AD485">
        <f t="shared" si="78"/>
        <v>2024</v>
      </c>
      <c r="AE485" t="str">
        <f t="shared" si="79"/>
        <v>CLEAN</v>
      </c>
    </row>
    <row r="486" spans="1:31">
      <c r="A486" t="s">
        <v>1582</v>
      </c>
      <c r="B486" s="3">
        <v>45654</v>
      </c>
      <c r="C486" s="3">
        <v>45657</v>
      </c>
      <c r="D486" t="s">
        <v>1583</v>
      </c>
      <c r="E486" t="s">
        <v>46</v>
      </c>
      <c r="F486" t="s">
        <v>47</v>
      </c>
      <c r="G486" t="s">
        <v>64</v>
      </c>
      <c r="H486" t="s">
        <v>94</v>
      </c>
      <c r="I486" t="s">
        <v>95</v>
      </c>
      <c r="J486" t="s">
        <v>51</v>
      </c>
      <c r="K486" t="s">
        <v>67</v>
      </c>
      <c r="L486" t="s">
        <v>1584</v>
      </c>
      <c r="M486" t="s">
        <v>60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42</v>
      </c>
      <c r="U486" t="s">
        <v>43</v>
      </c>
      <c r="V486" t="str">
        <f t="shared" si="70"/>
        <v/>
      </c>
      <c r="W486" t="str">
        <f t="shared" si="71"/>
        <v/>
      </c>
      <c r="X486">
        <f t="shared" si="72"/>
        <v>1.3271856563895552</v>
      </c>
      <c r="Y486">
        <f t="shared" si="73"/>
        <v>16385.489999999998</v>
      </c>
      <c r="Z486">
        <f t="shared" si="74"/>
        <v>2706.2499999999982</v>
      </c>
      <c r="AA486">
        <f t="shared" si="75"/>
        <v>0.16516137143289572</v>
      </c>
      <c r="AB486">
        <f t="shared" si="76"/>
        <v>3</v>
      </c>
      <c r="AC486" t="str">
        <f t="shared" si="77"/>
        <v>December</v>
      </c>
      <c r="AD486">
        <f t="shared" si="78"/>
        <v>2024</v>
      </c>
      <c r="AE486" t="str">
        <f t="shared" si="79"/>
        <v>CLEAN</v>
      </c>
    </row>
    <row r="487" spans="1:31">
      <c r="A487" t="s">
        <v>1585</v>
      </c>
      <c r="B487" s="3">
        <v>45679</v>
      </c>
      <c r="C487" s="3">
        <v>45680</v>
      </c>
      <c r="D487" t="s">
        <v>1586</v>
      </c>
      <c r="E487" t="s">
        <v>128</v>
      </c>
      <c r="F487" t="s">
        <v>100</v>
      </c>
      <c r="G487" t="s">
        <v>73</v>
      </c>
      <c r="H487" t="s">
        <v>200</v>
      </c>
      <c r="I487" t="s">
        <v>201</v>
      </c>
      <c r="J487" t="s">
        <v>51</v>
      </c>
      <c r="K487" t="s">
        <v>168</v>
      </c>
      <c r="L487" t="s">
        <v>1587</v>
      </c>
      <c r="M487" t="s">
        <v>69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42</v>
      </c>
      <c r="U487" t="s">
        <v>43</v>
      </c>
      <c r="V487" t="str">
        <f t="shared" si="70"/>
        <v/>
      </c>
      <c r="W487" t="str">
        <f t="shared" si="71"/>
        <v/>
      </c>
      <c r="X487">
        <f t="shared" si="72"/>
        <v>1.3271856563895552</v>
      </c>
      <c r="Y487">
        <f t="shared" si="73"/>
        <v>7665.57</v>
      </c>
      <c r="Z487">
        <f t="shared" si="74"/>
        <v>2069.9699999999993</v>
      </c>
      <c r="AA487">
        <f t="shared" si="75"/>
        <v>0.27003471366121495</v>
      </c>
      <c r="AB487">
        <f t="shared" si="76"/>
        <v>1</v>
      </c>
      <c r="AC487" t="str">
        <f t="shared" si="77"/>
        <v>January</v>
      </c>
      <c r="AD487">
        <f t="shared" si="78"/>
        <v>2025</v>
      </c>
      <c r="AE487" t="str">
        <f t="shared" si="79"/>
        <v>CLEAN</v>
      </c>
    </row>
    <row r="488" spans="1:31">
      <c r="A488" t="s">
        <v>1588</v>
      </c>
      <c r="B488" s="3">
        <v>45830</v>
      </c>
      <c r="C488" s="3">
        <v>45834</v>
      </c>
      <c r="D488" t="s">
        <v>1589</v>
      </c>
      <c r="E488" t="s">
        <v>128</v>
      </c>
      <c r="F488" t="s">
        <v>100</v>
      </c>
      <c r="G488" t="s">
        <v>73</v>
      </c>
      <c r="H488" t="s">
        <v>200</v>
      </c>
      <c r="I488" t="s">
        <v>201</v>
      </c>
      <c r="J488" t="s">
        <v>51</v>
      </c>
      <c r="K488" t="s">
        <v>52</v>
      </c>
      <c r="L488" t="s">
        <v>1590</v>
      </c>
      <c r="M488" t="s">
        <v>69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42</v>
      </c>
      <c r="U488" t="s">
        <v>43</v>
      </c>
      <c r="V488" t="str">
        <f t="shared" si="70"/>
        <v/>
      </c>
      <c r="W488" t="str">
        <f t="shared" si="71"/>
        <v/>
      </c>
      <c r="X488">
        <f t="shared" si="72"/>
        <v>0.84852144912701888</v>
      </c>
      <c r="Y488">
        <f t="shared" si="73"/>
        <v>4670.8320000000003</v>
      </c>
      <c r="Z488">
        <f t="shared" si="74"/>
        <v>1504.3420000000006</v>
      </c>
      <c r="AA488">
        <f t="shared" si="75"/>
        <v>0.3220715281560117</v>
      </c>
      <c r="AB488">
        <f t="shared" si="76"/>
        <v>4</v>
      </c>
      <c r="AC488" t="str">
        <f t="shared" si="77"/>
        <v>June</v>
      </c>
      <c r="AD488">
        <f t="shared" si="78"/>
        <v>2025</v>
      </c>
      <c r="AE488" t="str">
        <f t="shared" si="79"/>
        <v>CLEAN</v>
      </c>
    </row>
    <row r="489" spans="1:31">
      <c r="A489" t="s">
        <v>1591</v>
      </c>
      <c r="B489" s="3">
        <v>45818</v>
      </c>
      <c r="C489" s="3">
        <v>45825</v>
      </c>
      <c r="D489" t="s">
        <v>1592</v>
      </c>
      <c r="E489" t="s">
        <v>128</v>
      </c>
      <c r="F489" t="s">
        <v>100</v>
      </c>
      <c r="G489" t="s">
        <v>64</v>
      </c>
      <c r="H489" t="s">
        <v>65</v>
      </c>
      <c r="I489" t="s">
        <v>66</v>
      </c>
      <c r="J489" t="s">
        <v>51</v>
      </c>
      <c r="K489" t="s">
        <v>67</v>
      </c>
      <c r="L489" t="s">
        <v>1593</v>
      </c>
      <c r="M489" t="s">
        <v>69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112</v>
      </c>
      <c r="U489" t="s">
        <v>113</v>
      </c>
      <c r="V489" t="str">
        <f t="shared" si="70"/>
        <v/>
      </c>
      <c r="W489" t="str">
        <f t="shared" si="71"/>
        <v/>
      </c>
      <c r="X489">
        <f t="shared" si="72"/>
        <v>-1.0661353799231277</v>
      </c>
      <c r="Y489">
        <f t="shared" si="73"/>
        <v>6155.5</v>
      </c>
      <c r="Z489">
        <f t="shared" si="74"/>
        <v>1873.4099999999999</v>
      </c>
      <c r="AA489">
        <f t="shared" si="75"/>
        <v>0.3043473316546178</v>
      </c>
      <c r="AB489">
        <f t="shared" si="76"/>
        <v>7</v>
      </c>
      <c r="AC489" t="str">
        <f t="shared" si="77"/>
        <v>June</v>
      </c>
      <c r="AD489">
        <f t="shared" si="78"/>
        <v>2025</v>
      </c>
      <c r="AE489" t="str">
        <f t="shared" si="79"/>
        <v>CLEAN</v>
      </c>
    </row>
    <row r="490" spans="1:31">
      <c r="A490" t="s">
        <v>1594</v>
      </c>
      <c r="B490" s="3">
        <v>45579</v>
      </c>
      <c r="C490" s="3">
        <v>45585</v>
      </c>
      <c r="D490" t="s">
        <v>1595</v>
      </c>
      <c r="E490" t="s">
        <v>99</v>
      </c>
      <c r="F490" t="s">
        <v>47</v>
      </c>
      <c r="G490" t="s">
        <v>35</v>
      </c>
      <c r="H490" t="s">
        <v>36</v>
      </c>
      <c r="I490" t="s">
        <v>37</v>
      </c>
      <c r="J490" t="s">
        <v>51</v>
      </c>
      <c r="K490" t="s">
        <v>52</v>
      </c>
      <c r="L490" t="s">
        <v>1596</v>
      </c>
      <c r="M490" t="s">
        <v>54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42</v>
      </c>
      <c r="U490" t="s">
        <v>43</v>
      </c>
      <c r="V490" t="str">
        <f t="shared" si="70"/>
        <v/>
      </c>
      <c r="W490" t="str">
        <f t="shared" si="71"/>
        <v/>
      </c>
      <c r="X490">
        <f t="shared" si="72"/>
        <v>0.84852144912701888</v>
      </c>
      <c r="Y490">
        <f t="shared" si="73"/>
        <v>8666.56</v>
      </c>
      <c r="Z490">
        <f t="shared" si="74"/>
        <v>2699.12</v>
      </c>
      <c r="AA490">
        <f t="shared" si="75"/>
        <v>0.31144075619392242</v>
      </c>
      <c r="AB490">
        <f t="shared" si="76"/>
        <v>6</v>
      </c>
      <c r="AC490" t="str">
        <f t="shared" si="77"/>
        <v>October</v>
      </c>
      <c r="AD490">
        <f t="shared" si="78"/>
        <v>2024</v>
      </c>
      <c r="AE490" t="str">
        <f t="shared" si="79"/>
        <v>CLEAN</v>
      </c>
    </row>
    <row r="491" spans="1:31">
      <c r="A491" t="s">
        <v>1597</v>
      </c>
      <c r="B491" s="3">
        <v>45329</v>
      </c>
      <c r="C491" s="3">
        <v>45334</v>
      </c>
      <c r="D491" t="s">
        <v>1598</v>
      </c>
      <c r="E491" t="s">
        <v>63</v>
      </c>
      <c r="F491" t="s">
        <v>105</v>
      </c>
      <c r="G491" t="s">
        <v>48</v>
      </c>
      <c r="H491" t="s">
        <v>109</v>
      </c>
      <c r="I491" t="s">
        <v>110</v>
      </c>
      <c r="J491" t="s">
        <v>84</v>
      </c>
      <c r="K491" t="s">
        <v>85</v>
      </c>
      <c r="L491" t="s">
        <v>1599</v>
      </c>
      <c r="M491" t="s">
        <v>41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42</v>
      </c>
      <c r="U491" t="s">
        <v>43</v>
      </c>
      <c r="V491" t="str">
        <f t="shared" si="70"/>
        <v/>
      </c>
      <c r="W491" t="str">
        <f t="shared" si="71"/>
        <v/>
      </c>
      <c r="X491">
        <f t="shared" si="72"/>
        <v>0.84852144912701888</v>
      </c>
      <c r="Y491">
        <f t="shared" si="73"/>
        <v>361.75200000000001</v>
      </c>
      <c r="Z491">
        <f t="shared" si="74"/>
        <v>99.222000000000037</v>
      </c>
      <c r="AA491">
        <f t="shared" si="75"/>
        <v>0.27428182843495003</v>
      </c>
      <c r="AB491">
        <f t="shared" si="76"/>
        <v>5</v>
      </c>
      <c r="AC491" t="str">
        <f t="shared" si="77"/>
        <v>February</v>
      </c>
      <c r="AD491">
        <f t="shared" si="78"/>
        <v>2024</v>
      </c>
      <c r="AE491" t="str">
        <f t="shared" si="79"/>
        <v>CLEAN</v>
      </c>
    </row>
    <row r="492" spans="1:31">
      <c r="A492" t="s">
        <v>1600</v>
      </c>
      <c r="B492" s="3">
        <v>45551</v>
      </c>
      <c r="C492" s="3">
        <v>45554</v>
      </c>
      <c r="D492" t="s">
        <v>1601</v>
      </c>
      <c r="E492" t="s">
        <v>99</v>
      </c>
      <c r="F492" t="s">
        <v>34</v>
      </c>
      <c r="G492" t="s">
        <v>73</v>
      </c>
      <c r="H492" t="s">
        <v>36</v>
      </c>
      <c r="I492" t="s">
        <v>119</v>
      </c>
      <c r="J492" t="s">
        <v>38</v>
      </c>
      <c r="K492" t="s">
        <v>163</v>
      </c>
      <c r="L492" t="s">
        <v>1602</v>
      </c>
      <c r="M492" t="s">
        <v>60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42</v>
      </c>
      <c r="U492" t="s">
        <v>43</v>
      </c>
      <c r="V492" t="str">
        <f t="shared" si="70"/>
        <v/>
      </c>
      <c r="W492" t="str">
        <f t="shared" si="71"/>
        <v/>
      </c>
      <c r="X492">
        <f t="shared" si="72"/>
        <v>0.3698572418644821</v>
      </c>
      <c r="Y492">
        <f t="shared" si="73"/>
        <v>2418.1990000000001</v>
      </c>
      <c r="Z492">
        <f t="shared" si="74"/>
        <v>804.37900000000013</v>
      </c>
      <c r="AA492">
        <f t="shared" si="75"/>
        <v>0.33263556886757462</v>
      </c>
      <c r="AB492">
        <f t="shared" si="76"/>
        <v>3</v>
      </c>
      <c r="AC492" t="str">
        <f t="shared" si="77"/>
        <v>September</v>
      </c>
      <c r="AD492">
        <f t="shared" si="78"/>
        <v>2024</v>
      </c>
      <c r="AE492" t="str">
        <f t="shared" si="79"/>
        <v>CLEAN</v>
      </c>
    </row>
    <row r="493" spans="1:31">
      <c r="A493" t="s">
        <v>1603</v>
      </c>
      <c r="B493" s="3">
        <v>45776</v>
      </c>
      <c r="C493" s="3">
        <v>45777</v>
      </c>
      <c r="D493" t="s">
        <v>1604</v>
      </c>
      <c r="E493" t="s">
        <v>46</v>
      </c>
      <c r="F493" t="s">
        <v>100</v>
      </c>
      <c r="G493" t="s">
        <v>64</v>
      </c>
      <c r="H493" t="s">
        <v>195</v>
      </c>
      <c r="I493" t="s">
        <v>196</v>
      </c>
      <c r="J493" t="s">
        <v>84</v>
      </c>
      <c r="K493" t="s">
        <v>85</v>
      </c>
      <c r="L493" t="s">
        <v>1605</v>
      </c>
      <c r="M493" t="s">
        <v>69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42</v>
      </c>
      <c r="U493" t="s">
        <v>43</v>
      </c>
      <c r="V493" t="str">
        <f t="shared" si="70"/>
        <v/>
      </c>
      <c r="W493" t="str">
        <f t="shared" si="71"/>
        <v/>
      </c>
      <c r="X493">
        <f t="shared" si="72"/>
        <v>0.84852144912701888</v>
      </c>
      <c r="Y493">
        <f t="shared" si="73"/>
        <v>1941.0560000000003</v>
      </c>
      <c r="Z493">
        <f t="shared" si="74"/>
        <v>733.63600000000019</v>
      </c>
      <c r="AA493">
        <f t="shared" si="75"/>
        <v>0.37795715321969076</v>
      </c>
      <c r="AB493">
        <f t="shared" si="76"/>
        <v>1</v>
      </c>
      <c r="AC493" t="str">
        <f t="shared" si="77"/>
        <v>April</v>
      </c>
      <c r="AD493">
        <f t="shared" si="78"/>
        <v>2025</v>
      </c>
      <c r="AE493" t="str">
        <f t="shared" si="79"/>
        <v>CLEAN</v>
      </c>
    </row>
    <row r="494" spans="1:31">
      <c r="A494" t="s">
        <v>1606</v>
      </c>
      <c r="B494" s="3">
        <v>45836</v>
      </c>
      <c r="C494" s="3">
        <v>45695</v>
      </c>
      <c r="D494" t="s">
        <v>1607</v>
      </c>
      <c r="E494" t="s">
        <v>72</v>
      </c>
      <c r="F494" t="s">
        <v>100</v>
      </c>
      <c r="G494" t="s">
        <v>64</v>
      </c>
      <c r="H494" t="s">
        <v>94</v>
      </c>
      <c r="I494" t="s">
        <v>95</v>
      </c>
      <c r="J494" t="s">
        <v>38</v>
      </c>
      <c r="K494" t="s">
        <v>134</v>
      </c>
      <c r="L494" t="s">
        <v>1608</v>
      </c>
      <c r="M494" t="s">
        <v>41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42</v>
      </c>
      <c r="U494" t="s">
        <v>43</v>
      </c>
      <c r="V494" t="str">
        <f t="shared" si="70"/>
        <v/>
      </c>
      <c r="W494" t="str">
        <f t="shared" si="71"/>
        <v>Invalid Shipping Record</v>
      </c>
      <c r="X494">
        <f t="shared" si="72"/>
        <v>1.3271856563895552</v>
      </c>
      <c r="Y494">
        <f t="shared" si="73"/>
        <v>4088.16</v>
      </c>
      <c r="Z494">
        <f t="shared" si="74"/>
        <v>882.48</v>
      </c>
      <c r="AA494">
        <f t="shared" si="75"/>
        <v>0.21586239286133616</v>
      </c>
      <c r="AB494" t="e">
        <f t="shared" si="76"/>
        <v>#NUM!</v>
      </c>
      <c r="AC494" t="str">
        <f t="shared" si="77"/>
        <v>June</v>
      </c>
      <c r="AD494">
        <f t="shared" si="78"/>
        <v>2025</v>
      </c>
      <c r="AE494" t="str">
        <f t="shared" si="79"/>
        <v>INVALID</v>
      </c>
    </row>
    <row r="495" spans="1:31">
      <c r="A495" t="s">
        <v>1609</v>
      </c>
      <c r="B495" s="3">
        <v>45701</v>
      </c>
      <c r="C495" s="3">
        <v>45701</v>
      </c>
      <c r="D495" t="s">
        <v>1610</v>
      </c>
      <c r="E495" t="s">
        <v>276</v>
      </c>
      <c r="F495" t="s">
        <v>100</v>
      </c>
      <c r="G495" t="s">
        <v>48</v>
      </c>
      <c r="H495" t="s">
        <v>49</v>
      </c>
      <c r="I495" t="s">
        <v>50</v>
      </c>
      <c r="J495" t="s">
        <v>38</v>
      </c>
      <c r="K495" t="s">
        <v>39</v>
      </c>
      <c r="L495" t="s">
        <v>1611</v>
      </c>
      <c r="M495" t="s">
        <v>41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42</v>
      </c>
      <c r="U495" t="s">
        <v>1612</v>
      </c>
      <c r="V495" t="str">
        <f t="shared" si="70"/>
        <v/>
      </c>
      <c r="W495" t="str">
        <f t="shared" si="71"/>
        <v/>
      </c>
      <c r="X495">
        <f t="shared" si="72"/>
        <v>-0.58747117266059101</v>
      </c>
      <c r="Y495">
        <f t="shared" si="73"/>
        <v>15273.054999999997</v>
      </c>
      <c r="Z495">
        <f t="shared" si="74"/>
        <v>4184.2949999999964</v>
      </c>
      <c r="AA495">
        <f t="shared" si="75"/>
        <v>0.27396581757873573</v>
      </c>
      <c r="AB495">
        <f t="shared" si="76"/>
        <v>0</v>
      </c>
      <c r="AC495" t="str">
        <f t="shared" si="77"/>
        <v>February</v>
      </c>
      <c r="AD495">
        <f t="shared" si="78"/>
        <v>2025</v>
      </c>
      <c r="AE495" t="str">
        <f t="shared" si="79"/>
        <v>CLEAN</v>
      </c>
    </row>
    <row r="496" spans="1:31">
      <c r="A496" t="s">
        <v>1613</v>
      </c>
      <c r="B496" s="3">
        <v>45610</v>
      </c>
      <c r="C496" s="3">
        <v>45618</v>
      </c>
      <c r="D496" t="s">
        <v>1614</v>
      </c>
      <c r="E496" t="s">
        <v>57</v>
      </c>
      <c r="F496" t="s">
        <v>34</v>
      </c>
      <c r="G496" t="s">
        <v>73</v>
      </c>
      <c r="H496" t="s">
        <v>82</v>
      </c>
      <c r="I496" t="s">
        <v>83</v>
      </c>
      <c r="J496" t="s">
        <v>84</v>
      </c>
      <c r="K496" t="s">
        <v>181</v>
      </c>
      <c r="L496" t="s">
        <v>1615</v>
      </c>
      <c r="M496" t="s">
        <v>69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165</v>
      </c>
      <c r="U496" t="s">
        <v>78</v>
      </c>
      <c r="V496" t="str">
        <f t="shared" si="70"/>
        <v>Invalid Discount</v>
      </c>
      <c r="W496" t="str">
        <f t="shared" si="71"/>
        <v/>
      </c>
      <c r="X496">
        <f t="shared" si="72"/>
        <v>-2.3106623188057229</v>
      </c>
      <c r="Y496">
        <f t="shared" si="73"/>
        <v>2276.9951999999998</v>
      </c>
      <c r="Z496">
        <f t="shared" si="74"/>
        <v>707.61519999999973</v>
      </c>
      <c r="AA496">
        <f t="shared" si="75"/>
        <v>0.31076710218800629</v>
      </c>
      <c r="AB496">
        <f t="shared" si="76"/>
        <v>8</v>
      </c>
      <c r="AC496" t="str">
        <f t="shared" si="77"/>
        <v>November</v>
      </c>
      <c r="AD496">
        <f t="shared" si="78"/>
        <v>2024</v>
      </c>
      <c r="AE496" t="str">
        <f t="shared" si="79"/>
        <v>INVALID</v>
      </c>
    </row>
    <row r="497" spans="1:31">
      <c r="A497" t="s">
        <v>1616</v>
      </c>
      <c r="B497" s="3">
        <v>45540</v>
      </c>
      <c r="C497" s="3">
        <v>45427</v>
      </c>
      <c r="D497" t="s">
        <v>1617</v>
      </c>
      <c r="E497" t="s">
        <v>46</v>
      </c>
      <c r="F497" t="s">
        <v>47</v>
      </c>
      <c r="G497" t="s">
        <v>48</v>
      </c>
      <c r="H497" t="s">
        <v>176</v>
      </c>
      <c r="I497" t="s">
        <v>177</v>
      </c>
      <c r="J497" t="s">
        <v>84</v>
      </c>
      <c r="K497" t="s">
        <v>181</v>
      </c>
      <c r="L497" t="s">
        <v>1618</v>
      </c>
      <c r="M497" t="s">
        <v>41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112</v>
      </c>
      <c r="U497" t="s">
        <v>113</v>
      </c>
      <c r="V497" t="str">
        <f t="shared" si="70"/>
        <v/>
      </c>
      <c r="W497" t="str">
        <f t="shared" si="71"/>
        <v>Invalid Shipping Record</v>
      </c>
      <c r="X497">
        <f t="shared" si="72"/>
        <v>-0.58747117266059101</v>
      </c>
      <c r="Y497">
        <f t="shared" si="73"/>
        <v>3784.7239999999997</v>
      </c>
      <c r="Z497">
        <f t="shared" si="74"/>
        <v>1365.4839999999999</v>
      </c>
      <c r="AA497">
        <f t="shared" si="75"/>
        <v>0.36078826355633858</v>
      </c>
      <c r="AB497" t="e">
        <f t="shared" si="76"/>
        <v>#NUM!</v>
      </c>
      <c r="AC497" t="str">
        <f t="shared" si="77"/>
        <v>September</v>
      </c>
      <c r="AD497">
        <f t="shared" si="78"/>
        <v>2024</v>
      </c>
      <c r="AE497" t="str">
        <f t="shared" si="79"/>
        <v>INVALID</v>
      </c>
    </row>
    <row r="498" spans="1:31">
      <c r="A498" t="s">
        <v>1619</v>
      </c>
      <c r="B498" s="3">
        <v>45842</v>
      </c>
      <c r="C498" s="3">
        <v>45844</v>
      </c>
      <c r="D498" t="s">
        <v>1620</v>
      </c>
      <c r="E498" t="s">
        <v>276</v>
      </c>
      <c r="F498" t="s">
        <v>47</v>
      </c>
      <c r="G498" t="s">
        <v>48</v>
      </c>
      <c r="H498" t="s">
        <v>240</v>
      </c>
      <c r="I498" t="s">
        <v>241</v>
      </c>
      <c r="J498" t="s">
        <v>51</v>
      </c>
      <c r="K498" t="s">
        <v>76</v>
      </c>
      <c r="L498" t="s">
        <v>1621</v>
      </c>
      <c r="M498" t="s">
        <v>41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42</v>
      </c>
      <c r="U498" t="s">
        <v>43</v>
      </c>
      <c r="V498" t="str">
        <f t="shared" si="70"/>
        <v/>
      </c>
      <c r="W498" t="str">
        <f t="shared" si="71"/>
        <v/>
      </c>
      <c r="X498">
        <f t="shared" si="72"/>
        <v>-0.10880696539805437</v>
      </c>
      <c r="Y498">
        <f t="shared" si="73"/>
        <v>6635.5560000000005</v>
      </c>
      <c r="Z498">
        <f t="shared" si="74"/>
        <v>2982.6460000000006</v>
      </c>
      <c r="AA498">
        <f t="shared" si="75"/>
        <v>0.44949451108543131</v>
      </c>
      <c r="AB498">
        <f t="shared" si="76"/>
        <v>2</v>
      </c>
      <c r="AC498" t="str">
        <f t="shared" si="77"/>
        <v>July</v>
      </c>
      <c r="AD498">
        <f t="shared" si="78"/>
        <v>2025</v>
      </c>
      <c r="AE498" t="str">
        <f t="shared" si="79"/>
        <v>CLEAN</v>
      </c>
    </row>
    <row r="499" spans="1:31">
      <c r="A499" t="s">
        <v>1622</v>
      </c>
      <c r="B499" s="3">
        <v>45533</v>
      </c>
      <c r="C499" s="3">
        <v>45533</v>
      </c>
      <c r="D499" t="s">
        <v>1623</v>
      </c>
      <c r="E499" t="s">
        <v>142</v>
      </c>
      <c r="F499" t="s">
        <v>47</v>
      </c>
      <c r="G499" t="s">
        <v>493</v>
      </c>
      <c r="H499" t="s">
        <v>146</v>
      </c>
      <c r="I499" t="s">
        <v>147</v>
      </c>
      <c r="J499" t="s">
        <v>84</v>
      </c>
      <c r="K499" t="s">
        <v>85</v>
      </c>
      <c r="L499" t="s">
        <v>1624</v>
      </c>
      <c r="M499" t="s">
        <v>41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42</v>
      </c>
      <c r="U499" t="s">
        <v>78</v>
      </c>
      <c r="V499" t="str">
        <f t="shared" si="70"/>
        <v/>
      </c>
      <c r="W499" t="str">
        <f t="shared" si="71"/>
        <v/>
      </c>
      <c r="X499">
        <f t="shared" si="72"/>
        <v>0.84852144912701888</v>
      </c>
      <c r="Y499">
        <f t="shared" si="73"/>
        <v>2485.5040000000004</v>
      </c>
      <c r="Z499">
        <f t="shared" si="74"/>
        <v>457.0740000000003</v>
      </c>
      <c r="AA499">
        <f t="shared" si="75"/>
        <v>0.18389590199814615</v>
      </c>
      <c r="AB499">
        <f t="shared" si="76"/>
        <v>0</v>
      </c>
      <c r="AC499" t="str">
        <f t="shared" si="77"/>
        <v>August</v>
      </c>
      <c r="AD499">
        <f t="shared" si="78"/>
        <v>2024</v>
      </c>
      <c r="AE499" t="str">
        <f t="shared" si="79"/>
        <v>WARNING</v>
      </c>
    </row>
    <row r="500" spans="1:31">
      <c r="A500" t="s">
        <v>1625</v>
      </c>
      <c r="B500" s="3">
        <v>45907</v>
      </c>
      <c r="C500" s="3">
        <v>45910</v>
      </c>
      <c r="D500" t="s">
        <v>1626</v>
      </c>
      <c r="E500" t="s">
        <v>33</v>
      </c>
      <c r="F500" t="s">
        <v>34</v>
      </c>
      <c r="G500" t="s">
        <v>35</v>
      </c>
      <c r="H500" t="s">
        <v>132</v>
      </c>
      <c r="I500" t="s">
        <v>133</v>
      </c>
      <c r="J500" t="s">
        <v>51</v>
      </c>
      <c r="K500" t="s">
        <v>76</v>
      </c>
      <c r="L500" t="s">
        <v>1627</v>
      </c>
      <c r="M500" t="s">
        <v>54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112</v>
      </c>
      <c r="U500" t="s">
        <v>1628</v>
      </c>
      <c r="V500" t="str">
        <f t="shared" si="70"/>
        <v/>
      </c>
      <c r="W500" t="str">
        <f t="shared" si="71"/>
        <v/>
      </c>
      <c r="X500">
        <f t="shared" si="72"/>
        <v>-0.58747117266059101</v>
      </c>
      <c r="Y500">
        <f t="shared" si="73"/>
        <v>850.34500000000003</v>
      </c>
      <c r="Z500">
        <f t="shared" si="74"/>
        <v>249.36500000000001</v>
      </c>
      <c r="AA500">
        <f t="shared" si="75"/>
        <v>0.29325156260106194</v>
      </c>
      <c r="AB500">
        <f t="shared" si="76"/>
        <v>3</v>
      </c>
      <c r="AC500" t="str">
        <f t="shared" si="77"/>
        <v>September</v>
      </c>
      <c r="AD500">
        <f t="shared" si="78"/>
        <v>2025</v>
      </c>
      <c r="AE500" t="str">
        <f t="shared" si="79"/>
        <v>WARNING</v>
      </c>
    </row>
    <row r="501" spans="1:31">
      <c r="A501" t="s">
        <v>1629</v>
      </c>
      <c r="B501" s="3">
        <v>45648</v>
      </c>
      <c r="C501" s="3">
        <v>45652</v>
      </c>
      <c r="D501" t="s">
        <v>1630</v>
      </c>
      <c r="E501" t="s">
        <v>128</v>
      </c>
      <c r="F501" t="s">
        <v>105</v>
      </c>
      <c r="G501" t="s">
        <v>35</v>
      </c>
      <c r="H501" t="s">
        <v>146</v>
      </c>
      <c r="I501" t="s">
        <v>147</v>
      </c>
      <c r="J501" t="s">
        <v>51</v>
      </c>
      <c r="K501" t="s">
        <v>76</v>
      </c>
      <c r="L501" t="s">
        <v>1631</v>
      </c>
      <c r="M501" t="s">
        <v>69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42</v>
      </c>
      <c r="U501" t="s">
        <v>78</v>
      </c>
      <c r="V501" t="str">
        <f t="shared" si="70"/>
        <v/>
      </c>
      <c r="W501" t="str">
        <f t="shared" si="71"/>
        <v/>
      </c>
      <c r="X501">
        <f t="shared" si="72"/>
        <v>-1.0661353799231277</v>
      </c>
      <c r="Y501">
        <f t="shared" si="73"/>
        <v>9997.8299999999981</v>
      </c>
      <c r="Z501">
        <f t="shared" si="74"/>
        <v>3938.7599999999984</v>
      </c>
      <c r="AA501">
        <f t="shared" si="75"/>
        <v>0.3939614896432525</v>
      </c>
      <c r="AB501">
        <f t="shared" si="76"/>
        <v>4</v>
      </c>
      <c r="AC501" t="str">
        <f t="shared" si="77"/>
        <v>December</v>
      </c>
      <c r="AD501">
        <f t="shared" si="78"/>
        <v>2024</v>
      </c>
      <c r="AE501" t="str">
        <f t="shared" si="79"/>
        <v>WARNING</v>
      </c>
    </row>
    <row r="502" spans="1:31">
      <c r="A502" t="s">
        <v>1632</v>
      </c>
      <c r="B502" s="3">
        <v>45429</v>
      </c>
      <c r="C502" s="3">
        <v>45434</v>
      </c>
      <c r="D502" t="s">
        <v>1633</v>
      </c>
      <c r="E502" t="s">
        <v>142</v>
      </c>
      <c r="F502" t="s">
        <v>34</v>
      </c>
      <c r="G502" t="s">
        <v>64</v>
      </c>
      <c r="H502" t="s">
        <v>195</v>
      </c>
      <c r="I502" t="s">
        <v>196</v>
      </c>
      <c r="J502" t="s">
        <v>84</v>
      </c>
      <c r="K502" t="s">
        <v>181</v>
      </c>
      <c r="L502" t="s">
        <v>1634</v>
      </c>
      <c r="M502" t="s">
        <v>54</v>
      </c>
      <c r="N502">
        <v>9</v>
      </c>
      <c r="O502">
        <v>3795.99</v>
      </c>
      <c r="P502" t="s">
        <v>787</v>
      </c>
      <c r="Q502">
        <v>34163.910000000003</v>
      </c>
      <c r="R502">
        <v>28577.15</v>
      </c>
      <c r="S502">
        <v>5586.76</v>
      </c>
      <c r="T502" t="s">
        <v>42</v>
      </c>
      <c r="U502" t="s">
        <v>43</v>
      </c>
      <c r="V502" t="str">
        <f t="shared" si="70"/>
        <v>Invalid Discount</v>
      </c>
      <c r="W502" t="str">
        <f t="shared" si="71"/>
        <v/>
      </c>
      <c r="X502">
        <f t="shared" si="72"/>
        <v>7.0711561435399943</v>
      </c>
      <c r="Y502">
        <f t="shared" si="73"/>
        <v>5124.5865000000003</v>
      </c>
      <c r="Z502">
        <f t="shared" si="74"/>
        <v>-23452.5635</v>
      </c>
      <c r="AA502">
        <f t="shared" si="75"/>
        <v>-4.5764791949555343</v>
      </c>
      <c r="AB502">
        <f t="shared" si="76"/>
        <v>5</v>
      </c>
      <c r="AC502" t="str">
        <f t="shared" si="77"/>
        <v>May</v>
      </c>
      <c r="AD502">
        <f t="shared" si="78"/>
        <v>2024</v>
      </c>
      <c r="AE502" t="str">
        <f t="shared" si="79"/>
        <v>INVALID</v>
      </c>
    </row>
    <row r="503" spans="1:31">
      <c r="A503" t="s">
        <v>1635</v>
      </c>
      <c r="B503" s="3">
        <v>45515</v>
      </c>
      <c r="C503" s="3">
        <v>45521</v>
      </c>
      <c r="D503" t="s">
        <v>829</v>
      </c>
      <c r="E503" t="s">
        <v>89</v>
      </c>
      <c r="F503" t="s">
        <v>34</v>
      </c>
      <c r="G503" t="s">
        <v>48</v>
      </c>
      <c r="H503" t="s">
        <v>240</v>
      </c>
      <c r="I503" t="s">
        <v>241</v>
      </c>
      <c r="J503" t="s">
        <v>38</v>
      </c>
      <c r="K503" t="s">
        <v>58</v>
      </c>
      <c r="L503" t="s">
        <v>1636</v>
      </c>
      <c r="M503" t="s">
        <v>41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42</v>
      </c>
      <c r="U503" t="s">
        <v>43</v>
      </c>
      <c r="V503" t="str">
        <f t="shared" si="70"/>
        <v/>
      </c>
      <c r="W503" t="str">
        <f t="shared" si="71"/>
        <v/>
      </c>
      <c r="X503">
        <f t="shared" si="72"/>
        <v>0.3698572418644821</v>
      </c>
      <c r="Y503">
        <f t="shared" si="73"/>
        <v>17837.453999999998</v>
      </c>
      <c r="Z503">
        <f t="shared" si="74"/>
        <v>4210.4339999999975</v>
      </c>
      <c r="AA503">
        <f t="shared" si="75"/>
        <v>0.23604456106796395</v>
      </c>
      <c r="AB503">
        <f t="shared" si="76"/>
        <v>6</v>
      </c>
      <c r="AC503" t="str">
        <f t="shared" si="77"/>
        <v>August</v>
      </c>
      <c r="AD503">
        <f t="shared" si="78"/>
        <v>2024</v>
      </c>
      <c r="AE503" t="str">
        <f t="shared" si="79"/>
        <v>CLEAN</v>
      </c>
    </row>
    <row r="504" spans="1:31">
      <c r="A504" t="s">
        <v>1637</v>
      </c>
      <c r="B504" s="3">
        <v>45295</v>
      </c>
      <c r="C504" s="3">
        <v>45391</v>
      </c>
      <c r="D504" t="s">
        <v>1638</v>
      </c>
      <c r="E504" t="s">
        <v>124</v>
      </c>
      <c r="F504" t="s">
        <v>47</v>
      </c>
      <c r="G504" t="s">
        <v>48</v>
      </c>
      <c r="H504" t="s">
        <v>49</v>
      </c>
      <c r="I504" t="s">
        <v>50</v>
      </c>
      <c r="J504" t="s">
        <v>84</v>
      </c>
      <c r="K504" t="s">
        <v>90</v>
      </c>
      <c r="L504" t="s">
        <v>1639</v>
      </c>
      <c r="M504" t="s">
        <v>41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42</v>
      </c>
      <c r="U504" t="s">
        <v>43</v>
      </c>
      <c r="V504" t="str">
        <f t="shared" si="70"/>
        <v/>
      </c>
      <c r="W504" t="str">
        <f t="shared" si="71"/>
        <v/>
      </c>
      <c r="X504">
        <f t="shared" si="72"/>
        <v>-0.10880696539805437</v>
      </c>
      <c r="Y504">
        <f t="shared" si="73"/>
        <v>4465.4220000000005</v>
      </c>
      <c r="Z504">
        <f t="shared" si="74"/>
        <v>1088.3220000000006</v>
      </c>
      <c r="AA504">
        <f t="shared" si="75"/>
        <v>0.24372209390288319</v>
      </c>
      <c r="AB504">
        <f t="shared" si="76"/>
        <v>96</v>
      </c>
      <c r="AC504" t="str">
        <f t="shared" si="77"/>
        <v>January</v>
      </c>
      <c r="AD504">
        <f t="shared" si="78"/>
        <v>2024</v>
      </c>
      <c r="AE504" t="str">
        <f t="shared" si="79"/>
        <v>CLEAN</v>
      </c>
    </row>
    <row r="505" spans="1:31">
      <c r="A505" t="s">
        <v>1640</v>
      </c>
      <c r="B505" s="3">
        <v>45563</v>
      </c>
      <c r="C505" s="3">
        <v>45570</v>
      </c>
      <c r="D505" t="s">
        <v>1641</v>
      </c>
      <c r="E505" t="s">
        <v>138</v>
      </c>
      <c r="F505" t="s">
        <v>34</v>
      </c>
      <c r="G505" t="s">
        <v>64</v>
      </c>
      <c r="H505" t="s">
        <v>259</v>
      </c>
      <c r="I505" t="s">
        <v>260</v>
      </c>
      <c r="J505" t="s">
        <v>84</v>
      </c>
      <c r="K505" t="s">
        <v>181</v>
      </c>
      <c r="L505" t="s">
        <v>1642</v>
      </c>
      <c r="M505" t="s">
        <v>69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42</v>
      </c>
      <c r="U505" t="s">
        <v>43</v>
      </c>
      <c r="V505" t="str">
        <f t="shared" si="70"/>
        <v/>
      </c>
      <c r="W505" t="str">
        <f t="shared" si="71"/>
        <v/>
      </c>
      <c r="X505">
        <f t="shared" si="72"/>
        <v>-0.10880696539805437</v>
      </c>
      <c r="Y505">
        <f t="shared" si="73"/>
        <v>10594.08</v>
      </c>
      <c r="Z505">
        <f t="shared" si="74"/>
        <v>3433.7699999999995</v>
      </c>
      <c r="AA505">
        <f t="shared" si="75"/>
        <v>0.32412158488514337</v>
      </c>
      <c r="AB505">
        <f t="shared" si="76"/>
        <v>7</v>
      </c>
      <c r="AC505" t="str">
        <f t="shared" si="77"/>
        <v>September</v>
      </c>
      <c r="AD505">
        <f t="shared" si="78"/>
        <v>2024</v>
      </c>
      <c r="AE505" t="str">
        <f t="shared" si="79"/>
        <v>CLEAN</v>
      </c>
    </row>
    <row r="506" spans="1:31">
      <c r="A506" t="s">
        <v>1643</v>
      </c>
      <c r="B506" s="3">
        <v>45700</v>
      </c>
      <c r="C506" s="3">
        <v>45705</v>
      </c>
      <c r="D506" t="s">
        <v>1644</v>
      </c>
      <c r="E506" t="s">
        <v>63</v>
      </c>
      <c r="F506" t="s">
        <v>100</v>
      </c>
      <c r="G506" t="s">
        <v>73</v>
      </c>
      <c r="H506" t="s">
        <v>190</v>
      </c>
      <c r="I506" t="s">
        <v>191</v>
      </c>
      <c r="J506" t="s">
        <v>38</v>
      </c>
      <c r="K506" t="s">
        <v>58</v>
      </c>
      <c r="L506" t="s">
        <v>1645</v>
      </c>
      <c r="M506" t="s">
        <v>69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42</v>
      </c>
      <c r="U506" t="s">
        <v>43</v>
      </c>
      <c r="V506" t="str">
        <f t="shared" si="70"/>
        <v/>
      </c>
      <c r="W506" t="str">
        <f t="shared" si="71"/>
        <v/>
      </c>
      <c r="X506">
        <f t="shared" si="72"/>
        <v>-1.0661353799231277</v>
      </c>
      <c r="Y506">
        <f t="shared" si="73"/>
        <v>17312.48</v>
      </c>
      <c r="Z506">
        <f t="shared" si="74"/>
        <v>2888.26</v>
      </c>
      <c r="AA506">
        <f t="shared" si="75"/>
        <v>0.16683109525613893</v>
      </c>
      <c r="AB506">
        <f t="shared" si="76"/>
        <v>5</v>
      </c>
      <c r="AC506" t="str">
        <f t="shared" si="77"/>
        <v>February</v>
      </c>
      <c r="AD506">
        <f t="shared" si="78"/>
        <v>2025</v>
      </c>
      <c r="AE506" t="str">
        <f t="shared" si="79"/>
        <v>CLEAN</v>
      </c>
    </row>
    <row r="507" spans="1:31">
      <c r="A507" t="s">
        <v>1646</v>
      </c>
      <c r="B507" s="3">
        <v>45605</v>
      </c>
      <c r="C507" s="3">
        <v>45610</v>
      </c>
      <c r="D507" t="s">
        <v>1647</v>
      </c>
      <c r="E507" t="s">
        <v>89</v>
      </c>
      <c r="F507" t="s">
        <v>100</v>
      </c>
      <c r="G507" t="s">
        <v>73</v>
      </c>
      <c r="H507" t="s">
        <v>82</v>
      </c>
      <c r="I507" t="s">
        <v>83</v>
      </c>
      <c r="J507" t="s">
        <v>38</v>
      </c>
      <c r="K507" t="s">
        <v>58</v>
      </c>
      <c r="L507" t="s">
        <v>1648</v>
      </c>
      <c r="M507" t="s">
        <v>60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42</v>
      </c>
      <c r="U507" t="s">
        <v>78</v>
      </c>
      <c r="V507" t="str">
        <f t="shared" si="70"/>
        <v/>
      </c>
      <c r="W507" t="str">
        <f t="shared" si="71"/>
        <v/>
      </c>
      <c r="X507">
        <f t="shared" si="72"/>
        <v>0.84852144912701888</v>
      </c>
      <c r="Y507">
        <f t="shared" si="73"/>
        <v>17555.688000000002</v>
      </c>
      <c r="Z507">
        <f t="shared" si="74"/>
        <v>4262.4880000000012</v>
      </c>
      <c r="AA507">
        <f t="shared" si="75"/>
        <v>0.24279811762432785</v>
      </c>
      <c r="AB507">
        <f t="shared" si="76"/>
        <v>5</v>
      </c>
      <c r="AC507" t="str">
        <f t="shared" si="77"/>
        <v>November</v>
      </c>
      <c r="AD507">
        <f t="shared" si="78"/>
        <v>2024</v>
      </c>
      <c r="AE507" t="str">
        <f t="shared" si="79"/>
        <v>WARNING</v>
      </c>
    </row>
    <row r="508" spans="1:31">
      <c r="A508" t="s">
        <v>1649</v>
      </c>
      <c r="B508" s="3">
        <v>45641</v>
      </c>
      <c r="C508" s="3">
        <v>45641</v>
      </c>
      <c r="D508" t="s">
        <v>1650</v>
      </c>
      <c r="E508" t="s">
        <v>138</v>
      </c>
      <c r="F508" t="s">
        <v>47</v>
      </c>
      <c r="G508" t="s">
        <v>35</v>
      </c>
      <c r="H508" t="s">
        <v>132</v>
      </c>
      <c r="I508" t="s">
        <v>133</v>
      </c>
      <c r="J508" t="s">
        <v>51</v>
      </c>
      <c r="K508" t="s">
        <v>67</v>
      </c>
      <c r="L508" t="s">
        <v>1651</v>
      </c>
      <c r="M508" t="s">
        <v>60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112</v>
      </c>
      <c r="U508" t="s">
        <v>113</v>
      </c>
      <c r="V508" t="str">
        <f t="shared" si="70"/>
        <v/>
      </c>
      <c r="W508" t="str">
        <f t="shared" si="71"/>
        <v/>
      </c>
      <c r="X508">
        <f t="shared" si="72"/>
        <v>-0.10880696539805437</v>
      </c>
      <c r="Y508">
        <f t="shared" si="73"/>
        <v>1205.6399999999999</v>
      </c>
      <c r="Z508">
        <f t="shared" si="74"/>
        <v>363.56999999999982</v>
      </c>
      <c r="AA508">
        <f t="shared" si="75"/>
        <v>0.30155767890912699</v>
      </c>
      <c r="AB508">
        <f t="shared" si="76"/>
        <v>0</v>
      </c>
      <c r="AC508" t="str">
        <f t="shared" si="77"/>
        <v>December</v>
      </c>
      <c r="AD508">
        <f t="shared" si="78"/>
        <v>2024</v>
      </c>
      <c r="AE508" t="str">
        <f t="shared" si="79"/>
        <v>CLEAN</v>
      </c>
    </row>
    <row r="509" spans="1:31">
      <c r="A509" t="s">
        <v>1652</v>
      </c>
      <c r="B509" s="3">
        <v>45762</v>
      </c>
      <c r="C509" s="3">
        <v>45769</v>
      </c>
      <c r="D509" t="s">
        <v>1653</v>
      </c>
      <c r="E509" t="s">
        <v>57</v>
      </c>
      <c r="F509" t="s">
        <v>47</v>
      </c>
      <c r="G509" t="s">
        <v>35</v>
      </c>
      <c r="H509" t="s">
        <v>248</v>
      </c>
      <c r="I509" t="s">
        <v>249</v>
      </c>
      <c r="J509" t="s">
        <v>38</v>
      </c>
      <c r="K509" t="s">
        <v>163</v>
      </c>
      <c r="L509" t="s">
        <v>1654</v>
      </c>
      <c r="M509" t="s">
        <v>54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42</v>
      </c>
      <c r="U509" t="s">
        <v>43</v>
      </c>
      <c r="V509" t="str">
        <f t="shared" si="70"/>
        <v/>
      </c>
      <c r="W509" t="str">
        <f t="shared" si="71"/>
        <v/>
      </c>
      <c r="X509">
        <f t="shared" si="72"/>
        <v>1.3271856563895552</v>
      </c>
      <c r="Y509">
        <f t="shared" si="73"/>
        <v>8971.26</v>
      </c>
      <c r="Z509">
        <f t="shared" si="74"/>
        <v>2156.91</v>
      </c>
      <c r="AA509">
        <f t="shared" si="75"/>
        <v>0.24042442198754688</v>
      </c>
      <c r="AB509">
        <f t="shared" si="76"/>
        <v>7</v>
      </c>
      <c r="AC509" t="str">
        <f t="shared" si="77"/>
        <v>April</v>
      </c>
      <c r="AD509">
        <f t="shared" si="78"/>
        <v>2025</v>
      </c>
      <c r="AE509" t="str">
        <f t="shared" si="79"/>
        <v>CLEAN</v>
      </c>
    </row>
    <row r="510" spans="1:31">
      <c r="A510" t="s">
        <v>1655</v>
      </c>
      <c r="B510" s="3">
        <v>45382</v>
      </c>
      <c r="C510" s="3">
        <v>45389</v>
      </c>
      <c r="D510" t="s">
        <v>1656</v>
      </c>
      <c r="E510" t="s">
        <v>57</v>
      </c>
      <c r="F510" t="s">
        <v>47</v>
      </c>
      <c r="G510" t="s">
        <v>35</v>
      </c>
      <c r="H510" t="s">
        <v>248</v>
      </c>
      <c r="I510" t="s">
        <v>249</v>
      </c>
      <c r="J510" t="s">
        <v>84</v>
      </c>
      <c r="K510" t="s">
        <v>286</v>
      </c>
      <c r="L510" t="s">
        <v>1657</v>
      </c>
      <c r="M510" t="s">
        <v>41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42</v>
      </c>
      <c r="U510" t="s">
        <v>43</v>
      </c>
      <c r="V510" t="str">
        <f t="shared" si="70"/>
        <v/>
      </c>
      <c r="W510" t="str">
        <f t="shared" si="71"/>
        <v/>
      </c>
      <c r="X510">
        <f t="shared" si="72"/>
        <v>-1.0661353799231277</v>
      </c>
      <c r="Y510">
        <f t="shared" si="73"/>
        <v>7324</v>
      </c>
      <c r="Z510">
        <f t="shared" si="74"/>
        <v>3144.37</v>
      </c>
      <c r="AA510">
        <f t="shared" si="75"/>
        <v>0.42932413981430911</v>
      </c>
      <c r="AB510">
        <f t="shared" si="76"/>
        <v>7</v>
      </c>
      <c r="AC510" t="str">
        <f t="shared" si="77"/>
        <v>March</v>
      </c>
      <c r="AD510">
        <f t="shared" si="78"/>
        <v>2024</v>
      </c>
      <c r="AE510" t="str">
        <f t="shared" si="79"/>
        <v>CLEAN</v>
      </c>
    </row>
    <row r="511" spans="1:31">
      <c r="A511" t="s">
        <v>1658</v>
      </c>
      <c r="B511" s="3">
        <v>45789</v>
      </c>
      <c r="C511" s="3">
        <v>45791</v>
      </c>
      <c r="D511" t="s">
        <v>1659</v>
      </c>
      <c r="E511" t="s">
        <v>89</v>
      </c>
      <c r="F511" t="s">
        <v>34</v>
      </c>
      <c r="G511" t="s">
        <v>73</v>
      </c>
      <c r="H511" t="s">
        <v>190</v>
      </c>
      <c r="I511" t="s">
        <v>191</v>
      </c>
      <c r="J511" t="s">
        <v>84</v>
      </c>
      <c r="K511" t="s">
        <v>286</v>
      </c>
      <c r="L511" t="s">
        <v>1660</v>
      </c>
      <c r="M511" t="s">
        <v>54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42</v>
      </c>
      <c r="U511" t="s">
        <v>43</v>
      </c>
      <c r="V511" t="str">
        <f t="shared" si="70"/>
        <v/>
      </c>
      <c r="W511" t="str">
        <f t="shared" si="71"/>
        <v/>
      </c>
      <c r="X511">
        <f t="shared" si="72"/>
        <v>0.84852144912701888</v>
      </c>
      <c r="Y511">
        <f t="shared" si="73"/>
        <v>23241.216</v>
      </c>
      <c r="Z511">
        <f t="shared" si="74"/>
        <v>6020.3159999999989</v>
      </c>
      <c r="AA511">
        <f t="shared" si="75"/>
        <v>0.25903618812371948</v>
      </c>
      <c r="AB511">
        <f t="shared" si="76"/>
        <v>2</v>
      </c>
      <c r="AC511" t="str">
        <f t="shared" si="77"/>
        <v>May</v>
      </c>
      <c r="AD511">
        <f t="shared" si="78"/>
        <v>2025</v>
      </c>
      <c r="AE511" t="str">
        <f t="shared" si="79"/>
        <v>CLEAN</v>
      </c>
    </row>
    <row r="512" spans="1:31">
      <c r="A512" t="s">
        <v>1661</v>
      </c>
      <c r="B512" s="3">
        <v>45583</v>
      </c>
      <c r="C512" s="3">
        <v>45586</v>
      </c>
      <c r="D512" t="s">
        <v>1662</v>
      </c>
      <c r="E512" t="s">
        <v>138</v>
      </c>
      <c r="F512" t="s">
        <v>34</v>
      </c>
      <c r="G512" t="s">
        <v>64</v>
      </c>
      <c r="H512" t="s">
        <v>185</v>
      </c>
      <c r="I512" t="s">
        <v>186</v>
      </c>
      <c r="J512" t="s">
        <v>38</v>
      </c>
      <c r="K512" t="s">
        <v>134</v>
      </c>
      <c r="L512" t="s">
        <v>1663</v>
      </c>
      <c r="M512" t="s">
        <v>41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42</v>
      </c>
      <c r="U512" t="s">
        <v>43</v>
      </c>
      <c r="V512" t="str">
        <f t="shared" si="70"/>
        <v/>
      </c>
      <c r="W512" t="str">
        <f t="shared" si="71"/>
        <v/>
      </c>
      <c r="X512">
        <f t="shared" si="72"/>
        <v>-1.0661353799231277</v>
      </c>
      <c r="Y512">
        <f t="shared" si="73"/>
        <v>8477.02</v>
      </c>
      <c r="Z512">
        <f t="shared" si="74"/>
        <v>1592.0600000000004</v>
      </c>
      <c r="AA512">
        <f t="shared" si="75"/>
        <v>0.18780892341884298</v>
      </c>
      <c r="AB512">
        <f t="shared" si="76"/>
        <v>3</v>
      </c>
      <c r="AC512" t="str">
        <f t="shared" si="77"/>
        <v>October</v>
      </c>
      <c r="AD512">
        <f t="shared" si="78"/>
        <v>2024</v>
      </c>
      <c r="AE512" t="str">
        <f t="shared" si="79"/>
        <v>CLEAN</v>
      </c>
    </row>
    <row r="513" spans="1:31">
      <c r="A513" t="s">
        <v>1664</v>
      </c>
      <c r="B513" s="3">
        <v>45588</v>
      </c>
      <c r="C513" s="3">
        <v>45591</v>
      </c>
      <c r="D513" t="s">
        <v>1665</v>
      </c>
      <c r="E513" t="s">
        <v>142</v>
      </c>
      <c r="F513" t="s">
        <v>34</v>
      </c>
      <c r="G513" t="s">
        <v>73</v>
      </c>
      <c r="H513" t="s">
        <v>82</v>
      </c>
      <c r="I513" t="s">
        <v>83</v>
      </c>
      <c r="J513" t="s">
        <v>51</v>
      </c>
      <c r="K513" t="s">
        <v>168</v>
      </c>
      <c r="L513" t="s">
        <v>1666</v>
      </c>
      <c r="M513" t="s">
        <v>69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42</v>
      </c>
      <c r="U513" t="s">
        <v>43</v>
      </c>
      <c r="V513" t="str">
        <f t="shared" si="70"/>
        <v/>
      </c>
      <c r="W513" t="str">
        <f t="shared" si="71"/>
        <v/>
      </c>
      <c r="X513">
        <f t="shared" si="72"/>
        <v>1.3271856563895552</v>
      </c>
      <c r="Y513">
        <f t="shared" si="73"/>
        <v>3673.8225000000002</v>
      </c>
      <c r="Z513">
        <f t="shared" si="74"/>
        <v>1585.6725000000001</v>
      </c>
      <c r="AA513">
        <f t="shared" si="75"/>
        <v>0.43161380278987349</v>
      </c>
      <c r="AB513">
        <f t="shared" si="76"/>
        <v>3</v>
      </c>
      <c r="AC513" t="str">
        <f t="shared" si="77"/>
        <v>October</v>
      </c>
      <c r="AD513">
        <f t="shared" si="78"/>
        <v>2024</v>
      </c>
      <c r="AE513" t="str">
        <f t="shared" si="79"/>
        <v>CLEAN</v>
      </c>
    </row>
    <row r="514" spans="1:31">
      <c r="A514" t="s">
        <v>1667</v>
      </c>
      <c r="B514" s="3">
        <v>45691</v>
      </c>
      <c r="C514" s="3">
        <v>45719</v>
      </c>
      <c r="D514" t="s">
        <v>1273</v>
      </c>
      <c r="E514" t="s">
        <v>57</v>
      </c>
      <c r="F514" t="s">
        <v>100</v>
      </c>
      <c r="G514" t="s">
        <v>64</v>
      </c>
      <c r="H514" t="s">
        <v>195</v>
      </c>
      <c r="I514" t="s">
        <v>196</v>
      </c>
      <c r="J514" t="s">
        <v>38</v>
      </c>
      <c r="K514" t="s">
        <v>101</v>
      </c>
      <c r="L514" t="s">
        <v>1668</v>
      </c>
      <c r="M514" t="s">
        <v>41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42</v>
      </c>
      <c r="U514" t="s">
        <v>43</v>
      </c>
      <c r="V514" t="str">
        <f t="shared" si="70"/>
        <v/>
      </c>
      <c r="W514" t="str">
        <f t="shared" si="71"/>
        <v/>
      </c>
      <c r="X514">
        <f t="shared" si="72"/>
        <v>1.3271856563895552</v>
      </c>
      <c r="Y514">
        <f t="shared" si="73"/>
        <v>6047.1749999999993</v>
      </c>
      <c r="Z514">
        <f t="shared" si="74"/>
        <v>2678.3849999999993</v>
      </c>
      <c r="AA514">
        <f t="shared" si="75"/>
        <v>0.44291508018206843</v>
      </c>
      <c r="AB514">
        <f t="shared" si="76"/>
        <v>28</v>
      </c>
      <c r="AC514" t="str">
        <f t="shared" si="77"/>
        <v>February</v>
      </c>
      <c r="AD514">
        <f t="shared" si="78"/>
        <v>2025</v>
      </c>
      <c r="AE514" t="str">
        <f t="shared" si="79"/>
        <v>CLEAN</v>
      </c>
    </row>
    <row r="515" spans="1:31">
      <c r="A515" t="s">
        <v>1669</v>
      </c>
      <c r="B515" s="3">
        <v>45835</v>
      </c>
      <c r="C515" s="3">
        <v>45695</v>
      </c>
      <c r="D515" t="s">
        <v>1670</v>
      </c>
      <c r="E515" t="s">
        <v>138</v>
      </c>
      <c r="F515" t="s">
        <v>100</v>
      </c>
      <c r="G515" t="s">
        <v>64</v>
      </c>
      <c r="H515" t="s">
        <v>195</v>
      </c>
      <c r="I515" t="s">
        <v>196</v>
      </c>
      <c r="J515" t="s">
        <v>84</v>
      </c>
      <c r="K515" t="s">
        <v>85</v>
      </c>
      <c r="L515" t="s">
        <v>1671</v>
      </c>
      <c r="M515" t="s">
        <v>60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42</v>
      </c>
      <c r="U515" t="s">
        <v>43</v>
      </c>
      <c r="V515" t="str">
        <f t="shared" ref="V515:V578" si="80">IF(AND(N515&gt;0,O515&gt;0,Q515&gt;0,R515&gt;=0,S515&lt;&gt;""),IF(OR(P515&lt;0,ABS(P515-AVERAGE($P:$P))&gt;2*_xlfn.STDEV.P($P:$P)),"Invalid Discount",""),"")</f>
        <v/>
      </c>
      <c r="W515" t="str">
        <f t="shared" ref="W515:W578" si="81">IF(AND(B515&lt;&gt;"",C515&lt;&gt;""),IF(C515&lt;B515,"Invalid Shipping Record",""),"")</f>
        <v>Invalid Shipping Record</v>
      </c>
      <c r="X515">
        <f t="shared" ref="X515:X578" si="82">(P515-AVERAGE($P:$P))/_xlfn.STDEV.P($P:$P)</f>
        <v>-0.10880696539805437</v>
      </c>
      <c r="Y515">
        <f t="shared" ref="Y515:Y578" si="83">N515*O515*(1-P515)</f>
        <v>5937.246000000001</v>
      </c>
      <c r="Z515">
        <f t="shared" ref="Z515:Z578" si="84">Y515-R515</f>
        <v>1848.786000000001</v>
      </c>
      <c r="AA515">
        <f t="shared" ref="AA515:AA578" si="85">IF(Y515=0,0,Z515/Y515)</f>
        <v>0.31138780505304997</v>
      </c>
      <c r="AB515" t="e">
        <f t="shared" ref="AB515:AB578" si="86">DATEDIF(B515,C515,"d")</f>
        <v>#NUM!</v>
      </c>
      <c r="AC515" t="str">
        <f t="shared" ref="AC515:AC578" si="87">TEXT(B515,"mmmm")</f>
        <v>June</v>
      </c>
      <c r="AD515">
        <f t="shared" ref="AD515:AD578" si="88">YEAR(B515)</f>
        <v>2025</v>
      </c>
      <c r="AE515" t="str">
        <f t="shared" ref="AE515:AE578" si="89">IF(OR(V515="Invalid Discount",W515="Invalid Shipping Record"),"INVALID",IF(U515="Cancelled","WARNING","CLEAN"))</f>
        <v>INVALID</v>
      </c>
    </row>
    <row r="516" spans="1:31">
      <c r="A516" t="s">
        <v>1672</v>
      </c>
      <c r="B516" s="3">
        <v>45614</v>
      </c>
      <c r="C516" s="3">
        <v>45618</v>
      </c>
      <c r="D516" t="s">
        <v>1673</v>
      </c>
      <c r="E516" t="s">
        <v>33</v>
      </c>
      <c r="F516" t="s">
        <v>105</v>
      </c>
      <c r="G516" t="s">
        <v>64</v>
      </c>
      <c r="H516" t="s">
        <v>195</v>
      </c>
      <c r="I516" t="s">
        <v>196</v>
      </c>
      <c r="J516" t="s">
        <v>84</v>
      </c>
      <c r="K516" t="s">
        <v>85</v>
      </c>
      <c r="L516" t="s">
        <v>1674</v>
      </c>
      <c r="M516" t="s">
        <v>69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42</v>
      </c>
      <c r="U516" t="s">
        <v>43</v>
      </c>
      <c r="V516" t="str">
        <f t="shared" si="80"/>
        <v/>
      </c>
      <c r="W516" t="str">
        <f t="shared" si="81"/>
        <v/>
      </c>
      <c r="X516">
        <f t="shared" si="82"/>
        <v>-0.10880696539805437</v>
      </c>
      <c r="Y516">
        <f t="shared" si="83"/>
        <v>20913.876</v>
      </c>
      <c r="Z516">
        <f t="shared" si="84"/>
        <v>9229.1959999999999</v>
      </c>
      <c r="AA516">
        <f t="shared" si="85"/>
        <v>0.44129533903710627</v>
      </c>
      <c r="AB516">
        <f t="shared" si="86"/>
        <v>4</v>
      </c>
      <c r="AC516" t="str">
        <f t="shared" si="87"/>
        <v>November</v>
      </c>
      <c r="AD516">
        <f t="shared" si="88"/>
        <v>2024</v>
      </c>
      <c r="AE516" t="str">
        <f t="shared" si="89"/>
        <v>CLEAN</v>
      </c>
    </row>
    <row r="517" spans="1:31">
      <c r="A517" t="s">
        <v>1675</v>
      </c>
      <c r="B517" s="3">
        <v>45965</v>
      </c>
      <c r="C517" s="3">
        <v>45758</v>
      </c>
      <c r="D517" t="s">
        <v>1676</v>
      </c>
      <c r="E517" t="s">
        <v>128</v>
      </c>
      <c r="F517" t="s">
        <v>100</v>
      </c>
      <c r="G517" t="s">
        <v>35</v>
      </c>
      <c r="H517" t="s">
        <v>362</v>
      </c>
      <c r="I517" t="s">
        <v>363</v>
      </c>
      <c r="J517" t="s">
        <v>38</v>
      </c>
      <c r="K517" t="s">
        <v>39</v>
      </c>
      <c r="L517" t="s">
        <v>1677</v>
      </c>
      <c r="M517" t="s">
        <v>69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42</v>
      </c>
      <c r="U517" t="s">
        <v>43</v>
      </c>
      <c r="V517" t="str">
        <f t="shared" si="80"/>
        <v>Invalid Discount</v>
      </c>
      <c r="W517" t="str">
        <f t="shared" si="81"/>
        <v>Invalid Shipping Record</v>
      </c>
      <c r="X517">
        <f t="shared" si="82"/>
        <v>-1.7362652700906791</v>
      </c>
      <c r="Y517">
        <f t="shared" si="83"/>
        <v>4770.5843000000004</v>
      </c>
      <c r="Z517">
        <f t="shared" si="84"/>
        <v>2687.1743000000006</v>
      </c>
      <c r="AA517">
        <f t="shared" si="85"/>
        <v>0.56327991101635089</v>
      </c>
      <c r="AB517" t="e">
        <f t="shared" si="86"/>
        <v>#NUM!</v>
      </c>
      <c r="AC517" t="str">
        <f t="shared" si="87"/>
        <v>November</v>
      </c>
      <c r="AD517">
        <f t="shared" si="88"/>
        <v>2025</v>
      </c>
      <c r="AE517" t="str">
        <f t="shared" si="89"/>
        <v>INVALID</v>
      </c>
    </row>
    <row r="518" spans="1:31">
      <c r="A518" t="s">
        <v>1678</v>
      </c>
      <c r="B518" s="3">
        <v>45563</v>
      </c>
      <c r="C518" s="3">
        <v>45569</v>
      </c>
      <c r="D518" t="s">
        <v>1679</v>
      </c>
      <c r="E518" t="s">
        <v>276</v>
      </c>
      <c r="F518" t="s">
        <v>105</v>
      </c>
      <c r="G518" t="s">
        <v>35</v>
      </c>
      <c r="H518" t="s">
        <v>362</v>
      </c>
      <c r="I518" t="s">
        <v>363</v>
      </c>
      <c r="J518" t="s">
        <v>84</v>
      </c>
      <c r="K518" t="s">
        <v>90</v>
      </c>
      <c r="L518" t="s">
        <v>1680</v>
      </c>
      <c r="M518" t="s">
        <v>69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165</v>
      </c>
      <c r="U518" t="s">
        <v>113</v>
      </c>
      <c r="V518" t="str">
        <f t="shared" si="80"/>
        <v/>
      </c>
      <c r="W518" t="str">
        <f t="shared" si="81"/>
        <v/>
      </c>
      <c r="X518">
        <f t="shared" si="82"/>
        <v>-1.0661353799231277</v>
      </c>
      <c r="Y518">
        <f t="shared" si="83"/>
        <v>2233.1799999999998</v>
      </c>
      <c r="Z518">
        <f t="shared" si="84"/>
        <v>647.3599999999999</v>
      </c>
      <c r="AA518">
        <f t="shared" si="85"/>
        <v>0.28988258895386843</v>
      </c>
      <c r="AB518">
        <f t="shared" si="86"/>
        <v>6</v>
      </c>
      <c r="AC518" t="str">
        <f t="shared" si="87"/>
        <v>September</v>
      </c>
      <c r="AD518">
        <f t="shared" si="88"/>
        <v>2024</v>
      </c>
      <c r="AE518" t="str">
        <f t="shared" si="89"/>
        <v>CLEAN</v>
      </c>
    </row>
    <row r="519" spans="1:31">
      <c r="A519" t="s">
        <v>1681</v>
      </c>
      <c r="B519" s="3">
        <v>45802</v>
      </c>
      <c r="C519" s="3">
        <v>45804</v>
      </c>
      <c r="D519" t="s">
        <v>1682</v>
      </c>
      <c r="E519" t="s">
        <v>128</v>
      </c>
      <c r="F519" t="s">
        <v>34</v>
      </c>
      <c r="G519" t="s">
        <v>48</v>
      </c>
      <c r="H519" t="s">
        <v>49</v>
      </c>
      <c r="I519" t="s">
        <v>50</v>
      </c>
      <c r="J519" t="s">
        <v>51</v>
      </c>
      <c r="K519" t="s">
        <v>67</v>
      </c>
      <c r="L519" t="s">
        <v>1683</v>
      </c>
      <c r="M519" t="s">
        <v>41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112</v>
      </c>
      <c r="U519" t="s">
        <v>113</v>
      </c>
      <c r="V519" t="str">
        <f t="shared" si="80"/>
        <v/>
      </c>
      <c r="W519" t="str">
        <f t="shared" si="81"/>
        <v/>
      </c>
      <c r="X519">
        <f t="shared" si="82"/>
        <v>0.84852144912701888</v>
      </c>
      <c r="Y519">
        <f t="shared" si="83"/>
        <v>11890.368000000002</v>
      </c>
      <c r="Z519">
        <f t="shared" si="84"/>
        <v>2655.8380000000016</v>
      </c>
      <c r="AA519">
        <f t="shared" si="85"/>
        <v>0.22336045444514427</v>
      </c>
      <c r="AB519">
        <f t="shared" si="86"/>
        <v>2</v>
      </c>
      <c r="AC519" t="str">
        <f t="shared" si="87"/>
        <v>May</v>
      </c>
      <c r="AD519">
        <f t="shared" si="88"/>
        <v>2025</v>
      </c>
      <c r="AE519" t="str">
        <f t="shared" si="89"/>
        <v>CLEAN</v>
      </c>
    </row>
    <row r="520" spans="1:31">
      <c r="A520" t="s">
        <v>1684</v>
      </c>
      <c r="B520" s="3">
        <v>45777</v>
      </c>
      <c r="C520" s="3">
        <v>45773</v>
      </c>
      <c r="D520" t="s">
        <v>1685</v>
      </c>
      <c r="E520" t="s">
        <v>172</v>
      </c>
      <c r="F520" t="s">
        <v>100</v>
      </c>
      <c r="G520" t="s">
        <v>48</v>
      </c>
      <c r="H520" t="s">
        <v>49</v>
      </c>
      <c r="I520" t="s">
        <v>50</v>
      </c>
      <c r="J520" t="s">
        <v>51</v>
      </c>
      <c r="K520" t="s">
        <v>52</v>
      </c>
      <c r="L520" t="s">
        <v>1686</v>
      </c>
      <c r="M520" t="s">
        <v>60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42</v>
      </c>
      <c r="U520" t="s">
        <v>78</v>
      </c>
      <c r="V520" t="str">
        <f t="shared" si="80"/>
        <v/>
      </c>
      <c r="W520" t="str">
        <f t="shared" si="81"/>
        <v>Invalid Shipping Record</v>
      </c>
      <c r="X520">
        <f t="shared" si="82"/>
        <v>1.3271856563895552</v>
      </c>
      <c r="Y520">
        <f t="shared" si="83"/>
        <v>8421.682499999999</v>
      </c>
      <c r="Z520">
        <f t="shared" si="84"/>
        <v>1887.2124999999987</v>
      </c>
      <c r="AA520">
        <f t="shared" si="85"/>
        <v>0.22408972316398759</v>
      </c>
      <c r="AB520" t="e">
        <f t="shared" si="86"/>
        <v>#NUM!</v>
      </c>
      <c r="AC520" t="str">
        <f t="shared" si="87"/>
        <v>April</v>
      </c>
      <c r="AD520">
        <f t="shared" si="88"/>
        <v>2025</v>
      </c>
      <c r="AE520" t="str">
        <f t="shared" si="89"/>
        <v>INVALID</v>
      </c>
    </row>
    <row r="521" spans="1:31">
      <c r="A521" t="s">
        <v>1687</v>
      </c>
      <c r="B521" s="3">
        <v>45841</v>
      </c>
      <c r="C521" s="3">
        <v>45845</v>
      </c>
      <c r="D521" t="s">
        <v>1688</v>
      </c>
      <c r="E521" t="s">
        <v>124</v>
      </c>
      <c r="F521" t="s">
        <v>34</v>
      </c>
      <c r="G521" t="s">
        <v>35</v>
      </c>
      <c r="H521" t="s">
        <v>146</v>
      </c>
      <c r="I521" t="s">
        <v>147</v>
      </c>
      <c r="J521" t="s">
        <v>51</v>
      </c>
      <c r="K521" t="s">
        <v>52</v>
      </c>
      <c r="L521" t="s">
        <v>1689</v>
      </c>
      <c r="M521" t="s">
        <v>69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121</v>
      </c>
      <c r="U521" t="s">
        <v>78</v>
      </c>
      <c r="V521" t="str">
        <f t="shared" si="80"/>
        <v/>
      </c>
      <c r="W521" t="str">
        <f t="shared" si="81"/>
        <v/>
      </c>
      <c r="X521">
        <f t="shared" si="82"/>
        <v>0.84852144912701888</v>
      </c>
      <c r="Y521">
        <f t="shared" si="83"/>
        <v>13968.672</v>
      </c>
      <c r="Z521">
        <f t="shared" si="84"/>
        <v>5111.0920000000006</v>
      </c>
      <c r="AA521">
        <f t="shared" si="85"/>
        <v>0.36589677243477409</v>
      </c>
      <c r="AB521">
        <f t="shared" si="86"/>
        <v>4</v>
      </c>
      <c r="AC521" t="str">
        <f t="shared" si="87"/>
        <v>July</v>
      </c>
      <c r="AD521">
        <f t="shared" si="88"/>
        <v>2025</v>
      </c>
      <c r="AE521" t="str">
        <f t="shared" si="89"/>
        <v>WARNING</v>
      </c>
    </row>
    <row r="522" spans="1:31">
      <c r="A522" t="s">
        <v>1690</v>
      </c>
      <c r="B522" s="3">
        <v>45489</v>
      </c>
      <c r="C522" s="3">
        <v>45496</v>
      </c>
      <c r="D522" t="s">
        <v>1691</v>
      </c>
      <c r="E522" t="s">
        <v>138</v>
      </c>
      <c r="F522" t="s">
        <v>105</v>
      </c>
      <c r="G522" t="s">
        <v>64</v>
      </c>
      <c r="H522" t="s">
        <v>185</v>
      </c>
      <c r="I522" t="s">
        <v>186</v>
      </c>
      <c r="J522" t="s">
        <v>84</v>
      </c>
      <c r="K522" t="s">
        <v>286</v>
      </c>
      <c r="L522" t="s">
        <v>1692</v>
      </c>
      <c r="M522" t="s">
        <v>54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42</v>
      </c>
      <c r="U522" t="s">
        <v>43</v>
      </c>
      <c r="V522" t="str">
        <f t="shared" si="80"/>
        <v/>
      </c>
      <c r="W522" t="str">
        <f t="shared" si="81"/>
        <v/>
      </c>
      <c r="X522">
        <f t="shared" si="82"/>
        <v>-0.58747117266059101</v>
      </c>
      <c r="Y522">
        <f t="shared" si="83"/>
        <v>1611.1144999999999</v>
      </c>
      <c r="Z522">
        <f t="shared" si="84"/>
        <v>715.96449999999993</v>
      </c>
      <c r="AA522">
        <f t="shared" si="85"/>
        <v>0.44439082386757739</v>
      </c>
      <c r="AB522">
        <f t="shared" si="86"/>
        <v>7</v>
      </c>
      <c r="AC522" t="str">
        <f t="shared" si="87"/>
        <v>July</v>
      </c>
      <c r="AD522">
        <f t="shared" si="88"/>
        <v>2024</v>
      </c>
      <c r="AE522" t="str">
        <f t="shared" si="89"/>
        <v>CLEAN</v>
      </c>
    </row>
    <row r="523" spans="1:31">
      <c r="A523" t="s">
        <v>1693</v>
      </c>
      <c r="B523" s="3">
        <v>45741</v>
      </c>
      <c r="C523" s="3">
        <v>45748</v>
      </c>
      <c r="D523" t="s">
        <v>1694</v>
      </c>
      <c r="E523" t="s">
        <v>172</v>
      </c>
      <c r="F523" t="s">
        <v>34</v>
      </c>
      <c r="G523" t="s">
        <v>35</v>
      </c>
      <c r="H523" t="s">
        <v>132</v>
      </c>
      <c r="I523" t="s">
        <v>133</v>
      </c>
      <c r="J523" t="s">
        <v>38</v>
      </c>
      <c r="K523" t="s">
        <v>101</v>
      </c>
      <c r="L523" t="s">
        <v>1695</v>
      </c>
      <c r="M523" t="s">
        <v>41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42</v>
      </c>
      <c r="U523" t="s">
        <v>43</v>
      </c>
      <c r="V523" t="str">
        <f t="shared" si="80"/>
        <v/>
      </c>
      <c r="W523" t="str">
        <f t="shared" si="81"/>
        <v/>
      </c>
      <c r="X523">
        <f t="shared" si="82"/>
        <v>-0.58747117266059101</v>
      </c>
      <c r="Y523">
        <f t="shared" si="83"/>
        <v>12495.027</v>
      </c>
      <c r="Z523">
        <f t="shared" si="84"/>
        <v>3310.5069999999996</v>
      </c>
      <c r="AA523">
        <f t="shared" si="85"/>
        <v>0.26494596610315446</v>
      </c>
      <c r="AB523">
        <f t="shared" si="86"/>
        <v>7</v>
      </c>
      <c r="AC523" t="str">
        <f t="shared" si="87"/>
        <v>March</v>
      </c>
      <c r="AD523">
        <f t="shared" si="88"/>
        <v>2025</v>
      </c>
      <c r="AE523" t="str">
        <f t="shared" si="89"/>
        <v>CLEAN</v>
      </c>
    </row>
    <row r="524" spans="1:31">
      <c r="A524" t="s">
        <v>1696</v>
      </c>
      <c r="B524" s="3">
        <v>45716</v>
      </c>
      <c r="C524" s="3">
        <v>45724</v>
      </c>
      <c r="D524" t="s">
        <v>1697</v>
      </c>
      <c r="E524" t="s">
        <v>89</v>
      </c>
      <c r="F524" t="s">
        <v>47</v>
      </c>
      <c r="G524" t="s">
        <v>48</v>
      </c>
      <c r="H524" t="s">
        <v>240</v>
      </c>
      <c r="I524" t="s">
        <v>241</v>
      </c>
      <c r="J524" t="s">
        <v>84</v>
      </c>
      <c r="K524" t="s">
        <v>181</v>
      </c>
      <c r="L524" t="s">
        <v>1698</v>
      </c>
      <c r="M524" t="s">
        <v>60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42</v>
      </c>
      <c r="U524" t="s">
        <v>43</v>
      </c>
      <c r="V524" t="str">
        <f t="shared" si="80"/>
        <v/>
      </c>
      <c r="W524" t="str">
        <f t="shared" si="81"/>
        <v/>
      </c>
      <c r="X524">
        <f t="shared" si="82"/>
        <v>-1.0661353799231277</v>
      </c>
      <c r="Y524">
        <f t="shared" si="83"/>
        <v>33034.86</v>
      </c>
      <c r="Z524">
        <f t="shared" si="84"/>
        <v>8495.0299999999988</v>
      </c>
      <c r="AA524">
        <f t="shared" si="85"/>
        <v>0.25715350390466307</v>
      </c>
      <c r="AB524">
        <f t="shared" si="86"/>
        <v>8</v>
      </c>
      <c r="AC524" t="str">
        <f t="shared" si="87"/>
        <v>February</v>
      </c>
      <c r="AD524">
        <f t="shared" si="88"/>
        <v>2025</v>
      </c>
      <c r="AE524" t="str">
        <f t="shared" si="89"/>
        <v>CLEAN</v>
      </c>
    </row>
    <row r="525" spans="1:31">
      <c r="A525" t="s">
        <v>1699</v>
      </c>
      <c r="B525" s="3">
        <v>45384</v>
      </c>
      <c r="C525" s="3">
        <v>45385</v>
      </c>
      <c r="D525" t="s">
        <v>1700</v>
      </c>
      <c r="E525" t="s">
        <v>276</v>
      </c>
      <c r="F525" t="s">
        <v>105</v>
      </c>
      <c r="G525" t="s">
        <v>73</v>
      </c>
      <c r="H525" t="s">
        <v>200</v>
      </c>
      <c r="I525" t="s">
        <v>201</v>
      </c>
      <c r="J525" t="s">
        <v>38</v>
      </c>
      <c r="K525" t="s">
        <v>39</v>
      </c>
      <c r="L525" t="s">
        <v>1701</v>
      </c>
      <c r="M525" t="s">
        <v>41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42</v>
      </c>
      <c r="U525" t="s">
        <v>113</v>
      </c>
      <c r="V525" t="str">
        <f t="shared" si="80"/>
        <v/>
      </c>
      <c r="W525" t="str">
        <f t="shared" si="81"/>
        <v/>
      </c>
      <c r="X525">
        <f t="shared" si="82"/>
        <v>-1.0661353799231277</v>
      </c>
      <c r="Y525">
        <f t="shared" si="83"/>
        <v>5805.26</v>
      </c>
      <c r="Z525">
        <f t="shared" si="84"/>
        <v>1150.9000000000005</v>
      </c>
      <c r="AA525">
        <f t="shared" si="85"/>
        <v>0.19825124111581574</v>
      </c>
      <c r="AB525">
        <f t="shared" si="86"/>
        <v>1</v>
      </c>
      <c r="AC525" t="str">
        <f t="shared" si="87"/>
        <v>April</v>
      </c>
      <c r="AD525">
        <f t="shared" si="88"/>
        <v>2024</v>
      </c>
      <c r="AE525" t="str">
        <f t="shared" si="89"/>
        <v>CLEAN</v>
      </c>
    </row>
    <row r="526" spans="1:31">
      <c r="A526" t="s">
        <v>1702</v>
      </c>
      <c r="B526" s="3">
        <v>45626</v>
      </c>
      <c r="C526" s="3">
        <v>45627</v>
      </c>
      <c r="D526" t="s">
        <v>1703</v>
      </c>
      <c r="E526" t="s">
        <v>72</v>
      </c>
      <c r="F526" t="s">
        <v>100</v>
      </c>
      <c r="G526" t="s">
        <v>73</v>
      </c>
      <c r="H526" t="s">
        <v>190</v>
      </c>
      <c r="I526" t="s">
        <v>191</v>
      </c>
      <c r="J526" t="s">
        <v>51</v>
      </c>
      <c r="K526" t="s">
        <v>76</v>
      </c>
      <c r="L526" t="s">
        <v>1704</v>
      </c>
      <c r="M526" t="s">
        <v>60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42</v>
      </c>
      <c r="U526" t="s">
        <v>43</v>
      </c>
      <c r="V526" t="str">
        <f t="shared" si="80"/>
        <v/>
      </c>
      <c r="W526" t="str">
        <f t="shared" si="81"/>
        <v/>
      </c>
      <c r="X526">
        <f t="shared" si="82"/>
        <v>-0.10880696539805437</v>
      </c>
      <c r="Y526">
        <f t="shared" si="83"/>
        <v>34079.616000000002</v>
      </c>
      <c r="Z526">
        <f t="shared" si="84"/>
        <v>12208.226000000002</v>
      </c>
      <c r="AA526">
        <f t="shared" si="85"/>
        <v>0.35822663025311091</v>
      </c>
      <c r="AB526">
        <f t="shared" si="86"/>
        <v>1</v>
      </c>
      <c r="AC526" t="str">
        <f t="shared" si="87"/>
        <v>November</v>
      </c>
      <c r="AD526">
        <f t="shared" si="88"/>
        <v>2024</v>
      </c>
      <c r="AE526" t="str">
        <f t="shared" si="89"/>
        <v>CLEAN</v>
      </c>
    </row>
    <row r="527" spans="1:31">
      <c r="A527" t="s">
        <v>1705</v>
      </c>
      <c r="B527" s="3">
        <v>45582</v>
      </c>
      <c r="C527" s="3">
        <v>45582</v>
      </c>
      <c r="D527" t="s">
        <v>1706</v>
      </c>
      <c r="E527" t="s">
        <v>124</v>
      </c>
      <c r="F527" t="s">
        <v>105</v>
      </c>
      <c r="G527" t="s">
        <v>48</v>
      </c>
      <c r="H527" t="s">
        <v>109</v>
      </c>
      <c r="I527" t="s">
        <v>110</v>
      </c>
      <c r="J527" t="s">
        <v>51</v>
      </c>
      <c r="K527" t="s">
        <v>76</v>
      </c>
      <c r="L527" t="s">
        <v>1707</v>
      </c>
      <c r="M527" t="s">
        <v>69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42</v>
      </c>
      <c r="U527" t="s">
        <v>43</v>
      </c>
      <c r="V527" t="str">
        <f t="shared" si="80"/>
        <v/>
      </c>
      <c r="W527" t="str">
        <f t="shared" si="81"/>
        <v/>
      </c>
      <c r="X527">
        <f t="shared" si="82"/>
        <v>-0.10880696539805437</v>
      </c>
      <c r="Y527">
        <f t="shared" si="83"/>
        <v>11359.800000000001</v>
      </c>
      <c r="Z527">
        <f t="shared" si="84"/>
        <v>4297.3600000000015</v>
      </c>
      <c r="AA527">
        <f t="shared" si="85"/>
        <v>0.37829539252451638</v>
      </c>
      <c r="AB527">
        <f t="shared" si="86"/>
        <v>0</v>
      </c>
      <c r="AC527" t="str">
        <f t="shared" si="87"/>
        <v>October</v>
      </c>
      <c r="AD527">
        <f t="shared" si="88"/>
        <v>2024</v>
      </c>
      <c r="AE527" t="str">
        <f t="shared" si="89"/>
        <v>CLEAN</v>
      </c>
    </row>
    <row r="528" spans="1:31">
      <c r="A528" t="s">
        <v>1708</v>
      </c>
      <c r="B528" s="3">
        <v>45856</v>
      </c>
      <c r="C528" s="3">
        <v>45859</v>
      </c>
      <c r="D528" t="s">
        <v>1709</v>
      </c>
      <c r="E528" t="s">
        <v>124</v>
      </c>
      <c r="F528" t="s">
        <v>34</v>
      </c>
      <c r="G528" t="s">
        <v>48</v>
      </c>
      <c r="H528" t="s">
        <v>49</v>
      </c>
      <c r="I528" t="s">
        <v>50</v>
      </c>
      <c r="J528" t="s">
        <v>51</v>
      </c>
      <c r="K528" t="s">
        <v>52</v>
      </c>
      <c r="L528" t="s">
        <v>1710</v>
      </c>
      <c r="M528" t="s">
        <v>41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42</v>
      </c>
      <c r="U528" t="s">
        <v>43</v>
      </c>
      <c r="V528" t="str">
        <f t="shared" si="80"/>
        <v/>
      </c>
      <c r="W528" t="str">
        <f t="shared" si="81"/>
        <v/>
      </c>
      <c r="X528">
        <f t="shared" si="82"/>
        <v>-1.0661353799231277</v>
      </c>
      <c r="Y528">
        <f t="shared" si="83"/>
        <v>1136.1600000000001</v>
      </c>
      <c r="Z528">
        <f t="shared" si="84"/>
        <v>564.08000000000004</v>
      </c>
      <c r="AA528">
        <f t="shared" si="85"/>
        <v>0.49647936910294327</v>
      </c>
      <c r="AB528">
        <f t="shared" si="86"/>
        <v>3</v>
      </c>
      <c r="AC528" t="str">
        <f t="shared" si="87"/>
        <v>July</v>
      </c>
      <c r="AD528">
        <f t="shared" si="88"/>
        <v>2025</v>
      </c>
      <c r="AE528" t="str">
        <f t="shared" si="89"/>
        <v>CLEAN</v>
      </c>
    </row>
    <row r="529" spans="1:31">
      <c r="A529" t="s">
        <v>1711</v>
      </c>
      <c r="B529" s="3">
        <v>45931</v>
      </c>
      <c r="C529" s="3">
        <v>45935</v>
      </c>
      <c r="D529" t="s">
        <v>1712</v>
      </c>
      <c r="E529" t="s">
        <v>99</v>
      </c>
      <c r="F529" t="s">
        <v>105</v>
      </c>
      <c r="G529" t="s">
        <v>35</v>
      </c>
      <c r="H529" t="s">
        <v>248</v>
      </c>
      <c r="I529" t="s">
        <v>249</v>
      </c>
      <c r="J529" t="s">
        <v>38</v>
      </c>
      <c r="K529" t="s">
        <v>39</v>
      </c>
      <c r="L529" t="s">
        <v>1713</v>
      </c>
      <c r="M529" t="s">
        <v>60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42</v>
      </c>
      <c r="U529" t="s">
        <v>43</v>
      </c>
      <c r="V529" t="str">
        <f t="shared" si="80"/>
        <v/>
      </c>
      <c r="W529" t="str">
        <f t="shared" si="81"/>
        <v/>
      </c>
      <c r="X529">
        <f t="shared" si="82"/>
        <v>0.3698572418644821</v>
      </c>
      <c r="Y529">
        <f t="shared" si="83"/>
        <v>13802.13</v>
      </c>
      <c r="Z529">
        <f t="shared" si="84"/>
        <v>3726.1999999999989</v>
      </c>
      <c r="AA529">
        <f t="shared" si="85"/>
        <v>0.26997282303528508</v>
      </c>
      <c r="AB529">
        <f t="shared" si="86"/>
        <v>4</v>
      </c>
      <c r="AC529" t="str">
        <f t="shared" si="87"/>
        <v>October</v>
      </c>
      <c r="AD529">
        <f t="shared" si="88"/>
        <v>2025</v>
      </c>
      <c r="AE529" t="str">
        <f t="shared" si="89"/>
        <v>CLEAN</v>
      </c>
    </row>
    <row r="530" spans="1:31">
      <c r="A530" t="s">
        <v>1714</v>
      </c>
      <c r="B530" s="3">
        <v>45572</v>
      </c>
      <c r="C530" s="3">
        <v>45574</v>
      </c>
      <c r="D530" t="s">
        <v>1715</v>
      </c>
      <c r="E530" t="s">
        <v>172</v>
      </c>
      <c r="F530" t="s">
        <v>34</v>
      </c>
      <c r="G530" t="s">
        <v>64</v>
      </c>
      <c r="H530" t="s">
        <v>259</v>
      </c>
      <c r="I530" t="s">
        <v>260</v>
      </c>
      <c r="J530" t="s">
        <v>38</v>
      </c>
      <c r="K530" t="s">
        <v>163</v>
      </c>
      <c r="L530" t="s">
        <v>1716</v>
      </c>
      <c r="M530" t="s">
        <v>69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121</v>
      </c>
      <c r="U530" t="s">
        <v>113</v>
      </c>
      <c r="V530" t="str">
        <f t="shared" si="80"/>
        <v/>
      </c>
      <c r="W530" t="str">
        <f t="shared" si="81"/>
        <v/>
      </c>
      <c r="X530">
        <f t="shared" si="82"/>
        <v>-0.58747117266059101</v>
      </c>
      <c r="Y530">
        <f t="shared" si="83"/>
        <v>29558.119500000001</v>
      </c>
      <c r="Z530">
        <f t="shared" si="84"/>
        <v>8255.9894999999997</v>
      </c>
      <c r="AA530">
        <f t="shared" si="85"/>
        <v>0.27931376013281223</v>
      </c>
      <c r="AB530">
        <f t="shared" si="86"/>
        <v>2</v>
      </c>
      <c r="AC530" t="str">
        <f t="shared" si="87"/>
        <v>October</v>
      </c>
      <c r="AD530">
        <f t="shared" si="88"/>
        <v>2024</v>
      </c>
      <c r="AE530" t="str">
        <f t="shared" si="89"/>
        <v>CLEAN</v>
      </c>
    </row>
    <row r="531" spans="1:31">
      <c r="A531" t="s">
        <v>1717</v>
      </c>
      <c r="B531" s="3">
        <v>45328</v>
      </c>
      <c r="C531" s="3">
        <v>45330</v>
      </c>
      <c r="D531" t="s">
        <v>748</v>
      </c>
      <c r="E531" t="s">
        <v>33</v>
      </c>
      <c r="F531" t="s">
        <v>34</v>
      </c>
      <c r="G531" t="s">
        <v>48</v>
      </c>
      <c r="H531" t="s">
        <v>240</v>
      </c>
      <c r="I531" t="s">
        <v>241</v>
      </c>
      <c r="J531" t="s">
        <v>51</v>
      </c>
      <c r="K531" t="s">
        <v>168</v>
      </c>
      <c r="L531" t="s">
        <v>1718</v>
      </c>
      <c r="M531" t="s">
        <v>41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42</v>
      </c>
      <c r="U531" t="s">
        <v>43</v>
      </c>
      <c r="V531" t="str">
        <f t="shared" si="80"/>
        <v/>
      </c>
      <c r="W531" t="str">
        <f t="shared" si="81"/>
        <v/>
      </c>
      <c r="X531">
        <f t="shared" si="82"/>
        <v>-1.0661353799231277</v>
      </c>
      <c r="Y531">
        <f t="shared" si="83"/>
        <v>16400.25</v>
      </c>
      <c r="Z531">
        <f t="shared" si="84"/>
        <v>4253.2900000000009</v>
      </c>
      <c r="AA531">
        <f t="shared" si="85"/>
        <v>0.25934299782015524</v>
      </c>
      <c r="AB531">
        <f t="shared" si="86"/>
        <v>2</v>
      </c>
      <c r="AC531" t="str">
        <f t="shared" si="87"/>
        <v>February</v>
      </c>
      <c r="AD531">
        <f t="shared" si="88"/>
        <v>2024</v>
      </c>
      <c r="AE531" t="str">
        <f t="shared" si="89"/>
        <v>CLEAN</v>
      </c>
    </row>
    <row r="532" spans="1:31">
      <c r="A532" t="s">
        <v>1719</v>
      </c>
      <c r="B532" s="3">
        <v>45807</v>
      </c>
      <c r="C532" s="3">
        <v>45809</v>
      </c>
      <c r="D532" t="s">
        <v>1720</v>
      </c>
      <c r="E532" t="s">
        <v>128</v>
      </c>
      <c r="F532" t="s">
        <v>105</v>
      </c>
      <c r="G532" t="s">
        <v>64</v>
      </c>
      <c r="H532" t="s">
        <v>259</v>
      </c>
      <c r="I532" t="s">
        <v>260</v>
      </c>
      <c r="J532" t="s">
        <v>38</v>
      </c>
      <c r="K532" t="s">
        <v>163</v>
      </c>
      <c r="L532" t="s">
        <v>1721</v>
      </c>
      <c r="M532" t="s">
        <v>69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42</v>
      </c>
      <c r="U532" t="s">
        <v>43</v>
      </c>
      <c r="V532" t="str">
        <f t="shared" si="80"/>
        <v/>
      </c>
      <c r="W532" t="str">
        <f t="shared" si="81"/>
        <v/>
      </c>
      <c r="X532">
        <f t="shared" si="82"/>
        <v>-0.58747117266059101</v>
      </c>
      <c r="Y532">
        <f t="shared" si="83"/>
        <v>17053.0605</v>
      </c>
      <c r="Z532">
        <f t="shared" si="84"/>
        <v>6310.6805000000004</v>
      </c>
      <c r="AA532">
        <f t="shared" si="85"/>
        <v>0.37006146198801093</v>
      </c>
      <c r="AB532">
        <f t="shared" si="86"/>
        <v>2</v>
      </c>
      <c r="AC532" t="str">
        <f t="shared" si="87"/>
        <v>May</v>
      </c>
      <c r="AD532">
        <f t="shared" si="88"/>
        <v>2025</v>
      </c>
      <c r="AE532" t="str">
        <f t="shared" si="89"/>
        <v>CLEAN</v>
      </c>
    </row>
    <row r="533" spans="1:31">
      <c r="A533" t="s">
        <v>1722</v>
      </c>
      <c r="B533" s="3">
        <v>45505</v>
      </c>
      <c r="C533" s="3">
        <v>45512</v>
      </c>
      <c r="D533" t="s">
        <v>1723</v>
      </c>
      <c r="E533" t="s">
        <v>172</v>
      </c>
      <c r="F533" t="s">
        <v>47</v>
      </c>
      <c r="G533" t="s">
        <v>73</v>
      </c>
      <c r="H533" t="s">
        <v>74</v>
      </c>
      <c r="I533" t="s">
        <v>75</v>
      </c>
      <c r="J533" t="s">
        <v>38</v>
      </c>
      <c r="K533" t="s">
        <v>134</v>
      </c>
      <c r="L533" t="s">
        <v>1724</v>
      </c>
      <c r="M533" t="s">
        <v>215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42</v>
      </c>
      <c r="U533" t="s">
        <v>43</v>
      </c>
      <c r="V533" t="str">
        <f t="shared" si="80"/>
        <v/>
      </c>
      <c r="W533" t="str">
        <f t="shared" si="81"/>
        <v/>
      </c>
      <c r="X533">
        <f t="shared" si="82"/>
        <v>-0.10880696539805437</v>
      </c>
      <c r="Y533">
        <f t="shared" si="83"/>
        <v>398.67300000000006</v>
      </c>
      <c r="Z533">
        <f t="shared" si="84"/>
        <v>87.013000000000034</v>
      </c>
      <c r="AA533">
        <f t="shared" si="85"/>
        <v>0.21825656615822997</v>
      </c>
      <c r="AB533">
        <f t="shared" si="86"/>
        <v>7</v>
      </c>
      <c r="AC533" t="str">
        <f t="shared" si="87"/>
        <v>August</v>
      </c>
      <c r="AD533">
        <f t="shared" si="88"/>
        <v>2024</v>
      </c>
      <c r="AE533" t="str">
        <f t="shared" si="89"/>
        <v>CLEAN</v>
      </c>
    </row>
    <row r="534" spans="1:31">
      <c r="A534" t="s">
        <v>1725</v>
      </c>
      <c r="B534" s="3">
        <v>45935</v>
      </c>
      <c r="C534" s="3">
        <v>45940</v>
      </c>
      <c r="D534" t="s">
        <v>1726</v>
      </c>
      <c r="E534" t="s">
        <v>124</v>
      </c>
      <c r="F534" t="s">
        <v>100</v>
      </c>
      <c r="G534" t="s">
        <v>48</v>
      </c>
      <c r="H534" t="s">
        <v>176</v>
      </c>
      <c r="I534" t="s">
        <v>177</v>
      </c>
      <c r="J534" t="s">
        <v>51</v>
      </c>
      <c r="K534" t="s">
        <v>52</v>
      </c>
      <c r="L534" t="s">
        <v>1727</v>
      </c>
      <c r="M534" t="s">
        <v>41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165</v>
      </c>
      <c r="U534" t="s">
        <v>78</v>
      </c>
      <c r="V534" t="str">
        <f t="shared" si="80"/>
        <v/>
      </c>
      <c r="W534" t="str">
        <f t="shared" si="81"/>
        <v/>
      </c>
      <c r="X534">
        <f t="shared" si="82"/>
        <v>-0.58747117266059101</v>
      </c>
      <c r="Y534">
        <f t="shared" si="83"/>
        <v>17862.146999999997</v>
      </c>
      <c r="Z534">
        <f t="shared" si="84"/>
        <v>7969.9369999999981</v>
      </c>
      <c r="AA534">
        <f t="shared" si="85"/>
        <v>0.44619143488182017</v>
      </c>
      <c r="AB534">
        <f t="shared" si="86"/>
        <v>5</v>
      </c>
      <c r="AC534" t="str">
        <f t="shared" si="87"/>
        <v>October</v>
      </c>
      <c r="AD534">
        <f t="shared" si="88"/>
        <v>2025</v>
      </c>
      <c r="AE534" t="str">
        <f t="shared" si="89"/>
        <v>WARNING</v>
      </c>
    </row>
    <row r="535" spans="1:31">
      <c r="A535" t="s">
        <v>1728</v>
      </c>
      <c r="B535" s="3">
        <v>45529</v>
      </c>
      <c r="C535" s="3">
        <v>45536</v>
      </c>
      <c r="D535" t="s">
        <v>1729</v>
      </c>
      <c r="E535" t="s">
        <v>57</v>
      </c>
      <c r="F535" t="s">
        <v>105</v>
      </c>
      <c r="G535" t="s">
        <v>35</v>
      </c>
      <c r="H535" t="s">
        <v>36</v>
      </c>
      <c r="I535" t="s">
        <v>37</v>
      </c>
      <c r="J535" t="s">
        <v>51</v>
      </c>
      <c r="K535" t="s">
        <v>52</v>
      </c>
      <c r="L535" t="s">
        <v>1730</v>
      </c>
      <c r="M535" t="s">
        <v>54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42</v>
      </c>
      <c r="U535" t="s">
        <v>43</v>
      </c>
      <c r="V535" t="str">
        <f t="shared" si="80"/>
        <v/>
      </c>
      <c r="W535" t="str">
        <f t="shared" si="81"/>
        <v/>
      </c>
      <c r="X535">
        <f t="shared" si="82"/>
        <v>1.3271856563895552</v>
      </c>
      <c r="Y535">
        <f t="shared" si="83"/>
        <v>2165.8500000000004</v>
      </c>
      <c r="Z535">
        <f t="shared" si="84"/>
        <v>41.370000000000346</v>
      </c>
      <c r="AA535">
        <f t="shared" si="85"/>
        <v>1.91010457787937E-2</v>
      </c>
      <c r="AB535">
        <f t="shared" si="86"/>
        <v>7</v>
      </c>
      <c r="AC535" t="str">
        <f t="shared" si="87"/>
        <v>August</v>
      </c>
      <c r="AD535">
        <f t="shared" si="88"/>
        <v>2024</v>
      </c>
      <c r="AE535" t="str">
        <f t="shared" si="89"/>
        <v>CLEAN</v>
      </c>
    </row>
    <row r="536" spans="1:31">
      <c r="A536" t="s">
        <v>1731</v>
      </c>
      <c r="B536" s="3">
        <v>45774</v>
      </c>
      <c r="C536" s="3">
        <v>45782</v>
      </c>
      <c r="D536" t="s">
        <v>1732</v>
      </c>
      <c r="E536" t="s">
        <v>151</v>
      </c>
      <c r="F536" t="s">
        <v>105</v>
      </c>
      <c r="G536" t="s">
        <v>48</v>
      </c>
      <c r="H536" t="s">
        <v>155</v>
      </c>
      <c r="I536" t="s">
        <v>156</v>
      </c>
      <c r="J536" t="s">
        <v>84</v>
      </c>
      <c r="K536" t="s">
        <v>85</v>
      </c>
      <c r="L536" t="s">
        <v>1733</v>
      </c>
      <c r="M536" t="s">
        <v>41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121</v>
      </c>
      <c r="U536" t="s">
        <v>113</v>
      </c>
      <c r="V536" t="str">
        <f t="shared" si="80"/>
        <v/>
      </c>
      <c r="W536" t="str">
        <f t="shared" si="81"/>
        <v/>
      </c>
      <c r="X536">
        <f t="shared" si="82"/>
        <v>-0.10880696539805437</v>
      </c>
      <c r="Y536">
        <f t="shared" si="83"/>
        <v>14268.204</v>
      </c>
      <c r="Z536">
        <f t="shared" si="84"/>
        <v>2562.9040000000005</v>
      </c>
      <c r="AA536">
        <f t="shared" si="85"/>
        <v>0.17962344805274724</v>
      </c>
      <c r="AB536">
        <f t="shared" si="86"/>
        <v>8</v>
      </c>
      <c r="AC536" t="str">
        <f t="shared" si="87"/>
        <v>April</v>
      </c>
      <c r="AD536">
        <f t="shared" si="88"/>
        <v>2025</v>
      </c>
      <c r="AE536" t="str">
        <f t="shared" si="89"/>
        <v>CLEAN</v>
      </c>
    </row>
    <row r="537" spans="1:31">
      <c r="A537" t="s">
        <v>1734</v>
      </c>
      <c r="B537" s="3">
        <v>45431</v>
      </c>
      <c r="C537" s="3">
        <v>45433</v>
      </c>
      <c r="D537" t="s">
        <v>1735</v>
      </c>
      <c r="E537" t="s">
        <v>172</v>
      </c>
      <c r="F537" t="s">
        <v>47</v>
      </c>
      <c r="G537" t="s">
        <v>73</v>
      </c>
      <c r="H537" t="s">
        <v>74</v>
      </c>
      <c r="I537" t="s">
        <v>75</v>
      </c>
      <c r="J537" t="s">
        <v>84</v>
      </c>
      <c r="K537" t="s">
        <v>90</v>
      </c>
      <c r="L537" t="s">
        <v>1736</v>
      </c>
      <c r="M537" t="s">
        <v>60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42</v>
      </c>
      <c r="U537" t="s">
        <v>43</v>
      </c>
      <c r="V537" t="str">
        <f t="shared" si="80"/>
        <v/>
      </c>
      <c r="W537" t="str">
        <f t="shared" si="81"/>
        <v/>
      </c>
      <c r="X537">
        <f t="shared" si="82"/>
        <v>0.84852144912701888</v>
      </c>
      <c r="Y537">
        <f t="shared" si="83"/>
        <v>9602.3520000000008</v>
      </c>
      <c r="Z537">
        <f t="shared" si="84"/>
        <v>2214.7820000000011</v>
      </c>
      <c r="AA537">
        <f t="shared" si="85"/>
        <v>0.23064994909580494</v>
      </c>
      <c r="AB537">
        <f t="shared" si="86"/>
        <v>2</v>
      </c>
      <c r="AC537" t="str">
        <f t="shared" si="87"/>
        <v>May</v>
      </c>
      <c r="AD537">
        <f t="shared" si="88"/>
        <v>2024</v>
      </c>
      <c r="AE537" t="str">
        <f t="shared" si="89"/>
        <v>CLEAN</v>
      </c>
    </row>
    <row r="538" spans="1:31">
      <c r="A538" t="s">
        <v>1737</v>
      </c>
      <c r="B538" s="3">
        <v>45757</v>
      </c>
      <c r="C538" s="3">
        <v>45764</v>
      </c>
      <c r="D538" t="s">
        <v>1738</v>
      </c>
      <c r="E538" t="s">
        <v>72</v>
      </c>
      <c r="F538" t="s">
        <v>47</v>
      </c>
      <c r="G538" t="s">
        <v>73</v>
      </c>
      <c r="H538" t="s">
        <v>36</v>
      </c>
      <c r="I538" t="s">
        <v>119</v>
      </c>
      <c r="J538" t="s">
        <v>51</v>
      </c>
      <c r="K538" t="s">
        <v>76</v>
      </c>
      <c r="L538" t="s">
        <v>1739</v>
      </c>
      <c r="M538" t="s">
        <v>60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165</v>
      </c>
      <c r="U538" t="s">
        <v>78</v>
      </c>
      <c r="V538" t="str">
        <f t="shared" si="80"/>
        <v/>
      </c>
      <c r="W538" t="str">
        <f t="shared" si="81"/>
        <v/>
      </c>
      <c r="X538">
        <f t="shared" si="82"/>
        <v>1.3271856563895552</v>
      </c>
      <c r="Y538">
        <f t="shared" si="83"/>
        <v>19891.724999999999</v>
      </c>
      <c r="Z538">
        <f t="shared" si="84"/>
        <v>7595.9649999999983</v>
      </c>
      <c r="AA538">
        <f t="shared" si="85"/>
        <v>0.38186557475533162</v>
      </c>
      <c r="AB538">
        <f t="shared" si="86"/>
        <v>7</v>
      </c>
      <c r="AC538" t="str">
        <f t="shared" si="87"/>
        <v>April</v>
      </c>
      <c r="AD538">
        <f t="shared" si="88"/>
        <v>2025</v>
      </c>
      <c r="AE538" t="str">
        <f t="shared" si="89"/>
        <v>WARNING</v>
      </c>
    </row>
    <row r="539" spans="1:31">
      <c r="A539" t="s">
        <v>1740</v>
      </c>
      <c r="B539" s="3">
        <v>45313</v>
      </c>
      <c r="C539" s="3">
        <v>45321</v>
      </c>
      <c r="D539" t="s">
        <v>1741</v>
      </c>
      <c r="E539" t="s">
        <v>72</v>
      </c>
      <c r="F539" t="s">
        <v>47</v>
      </c>
      <c r="G539" t="s">
        <v>35</v>
      </c>
      <c r="H539" t="s">
        <v>248</v>
      </c>
      <c r="I539" t="s">
        <v>249</v>
      </c>
      <c r="J539" t="s">
        <v>38</v>
      </c>
      <c r="K539" t="s">
        <v>58</v>
      </c>
      <c r="L539" t="s">
        <v>1742</v>
      </c>
      <c r="M539" t="s">
        <v>54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165</v>
      </c>
      <c r="U539" t="s">
        <v>78</v>
      </c>
      <c r="V539" t="str">
        <f t="shared" si="80"/>
        <v/>
      </c>
      <c r="W539" t="str">
        <f t="shared" si="81"/>
        <v/>
      </c>
      <c r="X539">
        <f t="shared" si="82"/>
        <v>-0.58747117266059101</v>
      </c>
      <c r="Y539">
        <f t="shared" si="83"/>
        <v>1927.6545000000001</v>
      </c>
      <c r="Z539">
        <f t="shared" si="84"/>
        <v>467.05450000000019</v>
      </c>
      <c r="AA539">
        <f t="shared" si="85"/>
        <v>0.24229160360427668</v>
      </c>
      <c r="AB539">
        <f t="shared" si="86"/>
        <v>8</v>
      </c>
      <c r="AC539" t="str">
        <f t="shared" si="87"/>
        <v>January</v>
      </c>
      <c r="AD539">
        <f t="shared" si="88"/>
        <v>2024</v>
      </c>
      <c r="AE539" t="str">
        <f t="shared" si="89"/>
        <v>WARNING</v>
      </c>
    </row>
    <row r="540" spans="1:31">
      <c r="A540" t="s">
        <v>1743</v>
      </c>
      <c r="B540" s="3">
        <v>45560</v>
      </c>
      <c r="C540" s="3">
        <v>45566</v>
      </c>
      <c r="D540" t="s">
        <v>1744</v>
      </c>
      <c r="E540" t="s">
        <v>172</v>
      </c>
      <c r="F540" t="s">
        <v>47</v>
      </c>
      <c r="G540" t="s">
        <v>48</v>
      </c>
      <c r="H540" t="s">
        <v>240</v>
      </c>
      <c r="I540" t="s">
        <v>241</v>
      </c>
      <c r="J540" t="s">
        <v>51</v>
      </c>
      <c r="K540" t="s">
        <v>52</v>
      </c>
      <c r="L540" t="s">
        <v>1745</v>
      </c>
      <c r="M540" t="s">
        <v>41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42</v>
      </c>
      <c r="U540" t="s">
        <v>43</v>
      </c>
      <c r="V540" t="str">
        <f t="shared" si="80"/>
        <v/>
      </c>
      <c r="W540" t="str">
        <f t="shared" si="81"/>
        <v/>
      </c>
      <c r="X540">
        <f t="shared" si="82"/>
        <v>0.3698572418644821</v>
      </c>
      <c r="Y540">
        <f t="shared" si="83"/>
        <v>29900.79</v>
      </c>
      <c r="Z540">
        <f t="shared" si="84"/>
        <v>5250.1200000000026</v>
      </c>
      <c r="AA540">
        <f t="shared" si="85"/>
        <v>0.17558465846554563</v>
      </c>
      <c r="AB540">
        <f t="shared" si="86"/>
        <v>6</v>
      </c>
      <c r="AC540" t="str">
        <f t="shared" si="87"/>
        <v>September</v>
      </c>
      <c r="AD540">
        <f t="shared" si="88"/>
        <v>2024</v>
      </c>
      <c r="AE540" t="str">
        <f t="shared" si="89"/>
        <v>CLEAN</v>
      </c>
    </row>
    <row r="541" spans="1:31">
      <c r="A541" t="s">
        <v>1746</v>
      </c>
      <c r="B541" s="3">
        <v>45754</v>
      </c>
      <c r="C541" s="3">
        <v>45842</v>
      </c>
      <c r="D541" t="s">
        <v>1747</v>
      </c>
      <c r="E541" t="s">
        <v>1748</v>
      </c>
      <c r="F541" t="s">
        <v>47</v>
      </c>
      <c r="G541" t="s">
        <v>64</v>
      </c>
      <c r="H541" t="s">
        <v>259</v>
      </c>
      <c r="I541" t="s">
        <v>260</v>
      </c>
      <c r="J541" t="s">
        <v>51</v>
      </c>
      <c r="K541" t="s">
        <v>76</v>
      </c>
      <c r="L541" t="s">
        <v>1749</v>
      </c>
      <c r="M541" t="s">
        <v>69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42</v>
      </c>
      <c r="U541" t="s">
        <v>78</v>
      </c>
      <c r="V541" t="str">
        <f t="shared" si="80"/>
        <v/>
      </c>
      <c r="W541" t="str">
        <f t="shared" si="81"/>
        <v/>
      </c>
      <c r="X541">
        <f t="shared" si="82"/>
        <v>-0.10880696539805437</v>
      </c>
      <c r="Y541">
        <f t="shared" si="83"/>
        <v>1904.4450000000002</v>
      </c>
      <c r="Z541">
        <f t="shared" si="84"/>
        <v>587.9050000000002</v>
      </c>
      <c r="AA541">
        <f t="shared" si="85"/>
        <v>0.30870148520960183</v>
      </c>
      <c r="AB541">
        <f t="shared" si="86"/>
        <v>88</v>
      </c>
      <c r="AC541" t="str">
        <f t="shared" si="87"/>
        <v>April</v>
      </c>
      <c r="AD541">
        <f t="shared" si="88"/>
        <v>2025</v>
      </c>
      <c r="AE541" t="str">
        <f t="shared" si="89"/>
        <v>WARNING</v>
      </c>
    </row>
    <row r="542" spans="1:31">
      <c r="A542" t="s">
        <v>1750</v>
      </c>
      <c r="B542" s="3">
        <v>45348</v>
      </c>
      <c r="C542" s="3">
        <v>45345</v>
      </c>
      <c r="D542" t="s">
        <v>1751</v>
      </c>
      <c r="E542" t="s">
        <v>276</v>
      </c>
      <c r="F542" t="s">
        <v>34</v>
      </c>
      <c r="G542" t="s">
        <v>73</v>
      </c>
      <c r="H542" t="s">
        <v>190</v>
      </c>
      <c r="I542" t="s">
        <v>191</v>
      </c>
      <c r="J542" t="s">
        <v>51</v>
      </c>
      <c r="K542" t="s">
        <v>67</v>
      </c>
      <c r="L542" t="s">
        <v>1752</v>
      </c>
      <c r="M542" t="s">
        <v>69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42</v>
      </c>
      <c r="U542" t="s">
        <v>43</v>
      </c>
      <c r="V542" t="str">
        <f t="shared" si="80"/>
        <v/>
      </c>
      <c r="W542" t="str">
        <f t="shared" si="81"/>
        <v>Invalid Shipping Record</v>
      </c>
      <c r="X542">
        <f t="shared" si="82"/>
        <v>0.84852144912701888</v>
      </c>
      <c r="Y542">
        <f t="shared" si="83"/>
        <v>21571.592000000004</v>
      </c>
      <c r="Z542">
        <f t="shared" si="84"/>
        <v>4453.5220000000045</v>
      </c>
      <c r="AA542">
        <f t="shared" si="85"/>
        <v>0.20645309813017063</v>
      </c>
      <c r="AB542" t="e">
        <f t="shared" si="86"/>
        <v>#NUM!</v>
      </c>
      <c r="AC542" t="str">
        <f t="shared" si="87"/>
        <v>February</v>
      </c>
      <c r="AD542">
        <f t="shared" si="88"/>
        <v>2024</v>
      </c>
      <c r="AE542" t="str">
        <f t="shared" si="89"/>
        <v>INVALID</v>
      </c>
    </row>
    <row r="543" spans="1:31">
      <c r="A543" t="s">
        <v>1753</v>
      </c>
      <c r="B543" s="3">
        <v>45846</v>
      </c>
      <c r="C543" s="3">
        <v>45847</v>
      </c>
      <c r="D543" t="s">
        <v>1754</v>
      </c>
      <c r="E543" t="s">
        <v>142</v>
      </c>
      <c r="F543" t="s">
        <v>34</v>
      </c>
      <c r="G543" t="s">
        <v>73</v>
      </c>
      <c r="H543" t="s">
        <v>74</v>
      </c>
      <c r="I543" t="s">
        <v>75</v>
      </c>
      <c r="J543" t="s">
        <v>84</v>
      </c>
      <c r="K543" t="s">
        <v>90</v>
      </c>
      <c r="L543" t="s">
        <v>1755</v>
      </c>
      <c r="M543" t="s">
        <v>54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42</v>
      </c>
      <c r="U543" t="s">
        <v>113</v>
      </c>
      <c r="V543" t="str">
        <f t="shared" si="80"/>
        <v/>
      </c>
      <c r="W543" t="str">
        <f t="shared" si="81"/>
        <v/>
      </c>
      <c r="X543">
        <f t="shared" si="82"/>
        <v>-1.0661353799231277</v>
      </c>
      <c r="Y543">
        <f t="shared" si="83"/>
        <v>8641.68</v>
      </c>
      <c r="Z543">
        <f t="shared" si="84"/>
        <v>2894.59</v>
      </c>
      <c r="AA543">
        <f t="shared" si="85"/>
        <v>0.33495686024013849</v>
      </c>
      <c r="AB543">
        <f t="shared" si="86"/>
        <v>1</v>
      </c>
      <c r="AC543" t="str">
        <f t="shared" si="87"/>
        <v>July</v>
      </c>
      <c r="AD543">
        <f t="shared" si="88"/>
        <v>2025</v>
      </c>
      <c r="AE543" t="str">
        <f t="shared" si="89"/>
        <v>CLEAN</v>
      </c>
    </row>
    <row r="544" spans="1:31">
      <c r="A544" t="s">
        <v>1756</v>
      </c>
      <c r="B544" s="3">
        <v>45552</v>
      </c>
      <c r="C544" s="3">
        <v>45558</v>
      </c>
      <c r="D544" t="s">
        <v>1757</v>
      </c>
      <c r="E544" t="s">
        <v>128</v>
      </c>
      <c r="F544" t="s">
        <v>105</v>
      </c>
      <c r="G544" t="s">
        <v>64</v>
      </c>
      <c r="H544" t="s">
        <v>195</v>
      </c>
      <c r="I544" t="s">
        <v>196</v>
      </c>
      <c r="J544" t="s">
        <v>51</v>
      </c>
      <c r="K544" t="s">
        <v>168</v>
      </c>
      <c r="L544" t="s">
        <v>1758</v>
      </c>
      <c r="M544" t="s">
        <v>41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42</v>
      </c>
      <c r="U544" t="s">
        <v>1759</v>
      </c>
      <c r="V544" t="str">
        <f t="shared" si="80"/>
        <v/>
      </c>
      <c r="W544" t="str">
        <f t="shared" si="81"/>
        <v/>
      </c>
      <c r="X544">
        <f t="shared" si="82"/>
        <v>0.84852144912701888</v>
      </c>
      <c r="Y544">
        <f t="shared" si="83"/>
        <v>9762.2880000000005</v>
      </c>
      <c r="Z544">
        <f t="shared" si="84"/>
        <v>1394.0480000000007</v>
      </c>
      <c r="AA544">
        <f t="shared" si="85"/>
        <v>0.14279931098119628</v>
      </c>
      <c r="AB544">
        <f t="shared" si="86"/>
        <v>6</v>
      </c>
      <c r="AC544" t="str">
        <f t="shared" si="87"/>
        <v>September</v>
      </c>
      <c r="AD544">
        <f t="shared" si="88"/>
        <v>2024</v>
      </c>
      <c r="AE544" t="str">
        <f t="shared" si="89"/>
        <v>WARNING</v>
      </c>
    </row>
    <row r="545" spans="1:31">
      <c r="A545" t="s">
        <v>1760</v>
      </c>
      <c r="B545" s="3">
        <v>45487</v>
      </c>
      <c r="C545" s="3">
        <v>45493</v>
      </c>
      <c r="D545" t="s">
        <v>1761</v>
      </c>
      <c r="E545" t="s">
        <v>46</v>
      </c>
      <c r="F545" t="s">
        <v>34</v>
      </c>
      <c r="G545" t="s">
        <v>48</v>
      </c>
      <c r="H545" t="s">
        <v>155</v>
      </c>
      <c r="I545" t="s">
        <v>156</v>
      </c>
      <c r="J545" t="s">
        <v>84</v>
      </c>
      <c r="K545" t="s">
        <v>90</v>
      </c>
      <c r="L545" t="s">
        <v>1762</v>
      </c>
      <c r="M545" t="s">
        <v>54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42</v>
      </c>
      <c r="U545" t="s">
        <v>43</v>
      </c>
      <c r="V545" t="str">
        <f t="shared" si="80"/>
        <v/>
      </c>
      <c r="W545" t="str">
        <f t="shared" si="81"/>
        <v/>
      </c>
      <c r="X545">
        <f t="shared" si="82"/>
        <v>0.3698572418644821</v>
      </c>
      <c r="Y545">
        <f t="shared" si="83"/>
        <v>418.76949999999999</v>
      </c>
      <c r="Z545">
        <f t="shared" si="84"/>
        <v>105.04949999999997</v>
      </c>
      <c r="AA545">
        <f t="shared" si="85"/>
        <v>0.25085279610859906</v>
      </c>
      <c r="AB545">
        <f t="shared" si="86"/>
        <v>6</v>
      </c>
      <c r="AC545" t="str">
        <f t="shared" si="87"/>
        <v>July</v>
      </c>
      <c r="AD545">
        <f t="shared" si="88"/>
        <v>2024</v>
      </c>
      <c r="AE545" t="str">
        <f t="shared" si="89"/>
        <v>CLEAN</v>
      </c>
    </row>
    <row r="546" spans="1:31">
      <c r="A546" t="s">
        <v>1763</v>
      </c>
      <c r="B546" s="3">
        <v>45686</v>
      </c>
      <c r="C546" s="3">
        <v>45779</v>
      </c>
      <c r="D546" t="s">
        <v>1764</v>
      </c>
      <c r="E546" t="s">
        <v>72</v>
      </c>
      <c r="F546" t="s">
        <v>34</v>
      </c>
      <c r="G546" t="s">
        <v>64</v>
      </c>
      <c r="H546" t="s">
        <v>195</v>
      </c>
      <c r="I546" t="s">
        <v>196</v>
      </c>
      <c r="J546" t="s">
        <v>38</v>
      </c>
      <c r="K546" t="s">
        <v>58</v>
      </c>
      <c r="L546" t="s">
        <v>1765</v>
      </c>
      <c r="M546" t="s">
        <v>54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42</v>
      </c>
      <c r="U546" t="s">
        <v>78</v>
      </c>
      <c r="V546" t="str">
        <f t="shared" si="80"/>
        <v/>
      </c>
      <c r="W546" t="str">
        <f t="shared" si="81"/>
        <v/>
      </c>
      <c r="X546">
        <f t="shared" si="82"/>
        <v>1.3271856563895552</v>
      </c>
      <c r="Y546">
        <f t="shared" si="83"/>
        <v>21861.72</v>
      </c>
      <c r="Z546">
        <f t="shared" si="84"/>
        <v>3397.380000000001</v>
      </c>
      <c r="AA546">
        <f t="shared" si="85"/>
        <v>0.1554031430280875</v>
      </c>
      <c r="AB546">
        <f t="shared" si="86"/>
        <v>93</v>
      </c>
      <c r="AC546" t="str">
        <f t="shared" si="87"/>
        <v>January</v>
      </c>
      <c r="AD546">
        <f t="shared" si="88"/>
        <v>2025</v>
      </c>
      <c r="AE546" t="str">
        <f t="shared" si="89"/>
        <v>WARNING</v>
      </c>
    </row>
    <row r="547" spans="1:31">
      <c r="A547" t="s">
        <v>1766</v>
      </c>
      <c r="B547" s="3">
        <v>45439</v>
      </c>
      <c r="C547" s="3">
        <v>45442</v>
      </c>
      <c r="D547" t="s">
        <v>1767</v>
      </c>
      <c r="E547" t="s">
        <v>276</v>
      </c>
      <c r="F547" t="s">
        <v>47</v>
      </c>
      <c r="G547" t="s">
        <v>48</v>
      </c>
      <c r="H547" t="s">
        <v>240</v>
      </c>
      <c r="I547" t="s">
        <v>241</v>
      </c>
      <c r="J547" t="s">
        <v>38</v>
      </c>
      <c r="K547" t="s">
        <v>134</v>
      </c>
      <c r="L547" t="s">
        <v>1768</v>
      </c>
      <c r="M547" t="s">
        <v>54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42</v>
      </c>
      <c r="U547" t="s">
        <v>43</v>
      </c>
      <c r="V547" t="str">
        <f t="shared" si="80"/>
        <v/>
      </c>
      <c r="W547" t="str">
        <f t="shared" si="81"/>
        <v/>
      </c>
      <c r="X547">
        <f t="shared" si="82"/>
        <v>0.3698572418644821</v>
      </c>
      <c r="Y547">
        <f t="shared" si="83"/>
        <v>17260.116999999998</v>
      </c>
      <c r="Z547">
        <f t="shared" si="84"/>
        <v>3746.6069999999982</v>
      </c>
      <c r="AA547">
        <f t="shared" si="85"/>
        <v>0.21706730029697935</v>
      </c>
      <c r="AB547">
        <f t="shared" si="86"/>
        <v>3</v>
      </c>
      <c r="AC547" t="str">
        <f t="shared" si="87"/>
        <v>May</v>
      </c>
      <c r="AD547">
        <f t="shared" si="88"/>
        <v>2024</v>
      </c>
      <c r="AE547" t="str">
        <f t="shared" si="89"/>
        <v>CLEAN</v>
      </c>
    </row>
    <row r="548" spans="1:31">
      <c r="A548" t="s">
        <v>1769</v>
      </c>
      <c r="B548" s="3">
        <v>45883</v>
      </c>
      <c r="C548" s="3">
        <v>45891</v>
      </c>
      <c r="D548" t="s">
        <v>1770</v>
      </c>
      <c r="E548" t="s">
        <v>63</v>
      </c>
      <c r="F548" t="s">
        <v>100</v>
      </c>
      <c r="G548" t="s">
        <v>73</v>
      </c>
      <c r="H548" t="s">
        <v>190</v>
      </c>
      <c r="I548" t="s">
        <v>191</v>
      </c>
      <c r="J548" t="s">
        <v>1771</v>
      </c>
      <c r="K548" t="s">
        <v>39</v>
      </c>
      <c r="L548" t="s">
        <v>1772</v>
      </c>
      <c r="M548" t="s">
        <v>60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42</v>
      </c>
      <c r="U548" t="s">
        <v>43</v>
      </c>
      <c r="V548" t="str">
        <f t="shared" si="80"/>
        <v/>
      </c>
      <c r="W548" t="str">
        <f t="shared" si="81"/>
        <v/>
      </c>
      <c r="X548">
        <f t="shared" si="82"/>
        <v>0.3698572418644821</v>
      </c>
      <c r="Y548">
        <f t="shared" si="83"/>
        <v>10911.322499999998</v>
      </c>
      <c r="Z548">
        <f t="shared" si="84"/>
        <v>3944.8824999999988</v>
      </c>
      <c r="AA548">
        <f t="shared" si="85"/>
        <v>0.36154027158486052</v>
      </c>
      <c r="AB548">
        <f t="shared" si="86"/>
        <v>8</v>
      </c>
      <c r="AC548" t="str">
        <f t="shared" si="87"/>
        <v>August</v>
      </c>
      <c r="AD548">
        <f t="shared" si="88"/>
        <v>2025</v>
      </c>
      <c r="AE548" t="str">
        <f t="shared" si="89"/>
        <v>CLEAN</v>
      </c>
    </row>
    <row r="549" spans="1:31">
      <c r="A549" t="s">
        <v>1773</v>
      </c>
      <c r="B549" s="3">
        <v>45428</v>
      </c>
      <c r="C549" s="3">
        <v>45435</v>
      </c>
      <c r="D549" t="s">
        <v>1774</v>
      </c>
      <c r="E549" t="s">
        <v>89</v>
      </c>
      <c r="F549" t="s">
        <v>47</v>
      </c>
      <c r="G549" t="s">
        <v>35</v>
      </c>
      <c r="H549" t="s">
        <v>146</v>
      </c>
      <c r="I549" t="s">
        <v>147</v>
      </c>
      <c r="J549" t="s">
        <v>84</v>
      </c>
      <c r="K549" t="s">
        <v>90</v>
      </c>
      <c r="L549" t="s">
        <v>1775</v>
      </c>
      <c r="M549" t="s">
        <v>69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42</v>
      </c>
      <c r="U549" t="s">
        <v>43</v>
      </c>
      <c r="V549" t="str">
        <f t="shared" si="80"/>
        <v/>
      </c>
      <c r="W549" t="str">
        <f t="shared" si="81"/>
        <v/>
      </c>
      <c r="X549">
        <f t="shared" si="82"/>
        <v>-0.10880696539805437</v>
      </c>
      <c r="Y549">
        <f t="shared" si="83"/>
        <v>30148.929</v>
      </c>
      <c r="Z549">
        <f t="shared" si="84"/>
        <v>4993.8590000000004</v>
      </c>
      <c r="AA549">
        <f t="shared" si="85"/>
        <v>0.16563968159532302</v>
      </c>
      <c r="AB549">
        <f t="shared" si="86"/>
        <v>7</v>
      </c>
      <c r="AC549" t="str">
        <f t="shared" si="87"/>
        <v>May</v>
      </c>
      <c r="AD549">
        <f t="shared" si="88"/>
        <v>2024</v>
      </c>
      <c r="AE549" t="str">
        <f t="shared" si="89"/>
        <v>CLEAN</v>
      </c>
    </row>
    <row r="550" spans="1:31">
      <c r="A550" t="s">
        <v>1776</v>
      </c>
      <c r="B550" s="3">
        <v>45441</v>
      </c>
      <c r="C550" s="3">
        <v>45441</v>
      </c>
      <c r="D550" t="s">
        <v>1777</v>
      </c>
      <c r="E550" t="s">
        <v>151</v>
      </c>
      <c r="F550" t="s">
        <v>100</v>
      </c>
      <c r="G550" t="s">
        <v>48</v>
      </c>
      <c r="H550" t="s">
        <v>155</v>
      </c>
      <c r="I550" t="s">
        <v>156</v>
      </c>
      <c r="J550" t="s">
        <v>51</v>
      </c>
      <c r="K550" t="s">
        <v>168</v>
      </c>
      <c r="L550" t="s">
        <v>1778</v>
      </c>
      <c r="M550" t="s">
        <v>54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121</v>
      </c>
      <c r="U550" t="s">
        <v>78</v>
      </c>
      <c r="V550" t="str">
        <f t="shared" si="80"/>
        <v/>
      </c>
      <c r="W550" t="str">
        <f t="shared" si="81"/>
        <v/>
      </c>
      <c r="X550">
        <f t="shared" si="82"/>
        <v>-1.0661353799231277</v>
      </c>
      <c r="Y550">
        <f t="shared" si="83"/>
        <v>1072.01</v>
      </c>
      <c r="Z550">
        <f t="shared" si="84"/>
        <v>219.39</v>
      </c>
      <c r="AA550">
        <f t="shared" si="85"/>
        <v>0.20465294167032022</v>
      </c>
      <c r="AB550">
        <f t="shared" si="86"/>
        <v>0</v>
      </c>
      <c r="AC550" t="str">
        <f t="shared" si="87"/>
        <v>May</v>
      </c>
      <c r="AD550">
        <f t="shared" si="88"/>
        <v>2024</v>
      </c>
      <c r="AE550" t="str">
        <f t="shared" si="89"/>
        <v>WARNING</v>
      </c>
    </row>
    <row r="551" spans="1:31">
      <c r="A551" t="s">
        <v>1779</v>
      </c>
      <c r="B551" s="3">
        <v>45971</v>
      </c>
      <c r="C551" s="3">
        <v>45943</v>
      </c>
      <c r="D551" t="s">
        <v>1780</v>
      </c>
      <c r="E551" t="s">
        <v>46</v>
      </c>
      <c r="F551" t="s">
        <v>100</v>
      </c>
      <c r="G551" t="s">
        <v>64</v>
      </c>
      <c r="H551" t="s">
        <v>65</v>
      </c>
      <c r="I551" t="s">
        <v>66</v>
      </c>
      <c r="J551" t="s">
        <v>38</v>
      </c>
      <c r="K551" t="s">
        <v>58</v>
      </c>
      <c r="L551" t="s">
        <v>1781</v>
      </c>
      <c r="M551" t="s">
        <v>41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42</v>
      </c>
      <c r="U551" t="s">
        <v>43</v>
      </c>
      <c r="V551" t="str">
        <f t="shared" si="80"/>
        <v/>
      </c>
      <c r="W551" t="str">
        <f t="shared" si="81"/>
        <v>Invalid Shipping Record</v>
      </c>
      <c r="X551">
        <f t="shared" si="82"/>
        <v>-0.10880696539805437</v>
      </c>
      <c r="Y551">
        <f t="shared" si="83"/>
        <v>10271.529</v>
      </c>
      <c r="Z551">
        <f t="shared" si="84"/>
        <v>1999.2890000000007</v>
      </c>
      <c r="AA551">
        <f t="shared" si="85"/>
        <v>0.19464375751652949</v>
      </c>
      <c r="AB551" t="e">
        <f t="shared" si="86"/>
        <v>#NUM!</v>
      </c>
      <c r="AC551" t="str">
        <f t="shared" si="87"/>
        <v>November</v>
      </c>
      <c r="AD551">
        <f t="shared" si="88"/>
        <v>2025</v>
      </c>
      <c r="AE551" t="str">
        <f t="shared" si="89"/>
        <v>INVALID</v>
      </c>
    </row>
    <row r="552" spans="1:31">
      <c r="A552" t="s">
        <v>1782</v>
      </c>
      <c r="B552" s="3">
        <v>45506</v>
      </c>
      <c r="C552" s="3">
        <v>45573</v>
      </c>
      <c r="D552" t="s">
        <v>1783</v>
      </c>
      <c r="E552" t="s">
        <v>46</v>
      </c>
      <c r="F552" t="s">
        <v>105</v>
      </c>
      <c r="G552" t="s">
        <v>48</v>
      </c>
      <c r="H552" t="s">
        <v>49</v>
      </c>
      <c r="I552" t="s">
        <v>50</v>
      </c>
      <c r="J552" t="s">
        <v>84</v>
      </c>
      <c r="K552" t="s">
        <v>85</v>
      </c>
      <c r="L552" t="s">
        <v>1784</v>
      </c>
      <c r="M552" t="s">
        <v>69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42</v>
      </c>
      <c r="U552" t="s">
        <v>43</v>
      </c>
      <c r="V552" t="str">
        <f t="shared" si="80"/>
        <v/>
      </c>
      <c r="W552" t="str">
        <f t="shared" si="81"/>
        <v/>
      </c>
      <c r="X552">
        <f t="shared" si="82"/>
        <v>0.84852144912701888</v>
      </c>
      <c r="Y552">
        <f t="shared" si="83"/>
        <v>10206.912</v>
      </c>
      <c r="Z552">
        <f t="shared" si="84"/>
        <v>3442.3820000000005</v>
      </c>
      <c r="AA552">
        <f t="shared" si="85"/>
        <v>0.33725988820125036</v>
      </c>
      <c r="AB552">
        <f t="shared" si="86"/>
        <v>67</v>
      </c>
      <c r="AC552" t="str">
        <f t="shared" si="87"/>
        <v>August</v>
      </c>
      <c r="AD552">
        <f t="shared" si="88"/>
        <v>2024</v>
      </c>
      <c r="AE552" t="str">
        <f t="shared" si="89"/>
        <v>CLEAN</v>
      </c>
    </row>
    <row r="553" spans="1:31">
      <c r="A553" t="s">
        <v>1785</v>
      </c>
      <c r="B553" s="3">
        <v>45349</v>
      </c>
      <c r="C553" s="3">
        <v>45349</v>
      </c>
      <c r="D553" t="s">
        <v>1786</v>
      </c>
      <c r="E553" t="s">
        <v>142</v>
      </c>
      <c r="F553" t="s">
        <v>34</v>
      </c>
      <c r="G553" t="s">
        <v>48</v>
      </c>
      <c r="H553" t="s">
        <v>240</v>
      </c>
      <c r="I553" t="s">
        <v>241</v>
      </c>
      <c r="J553" t="s">
        <v>51</v>
      </c>
      <c r="K553" t="s">
        <v>76</v>
      </c>
      <c r="L553" t="s">
        <v>1787</v>
      </c>
      <c r="M553" t="s">
        <v>41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42</v>
      </c>
      <c r="U553" t="s">
        <v>43</v>
      </c>
      <c r="V553" t="str">
        <f t="shared" si="80"/>
        <v/>
      </c>
      <c r="W553" t="str">
        <f t="shared" si="81"/>
        <v/>
      </c>
      <c r="X553">
        <f t="shared" si="82"/>
        <v>0.3698572418644821</v>
      </c>
      <c r="Y553">
        <f t="shared" si="83"/>
        <v>8027.6295</v>
      </c>
      <c r="Z553">
        <f t="shared" si="84"/>
        <v>2531.5394999999999</v>
      </c>
      <c r="AA553">
        <f t="shared" si="85"/>
        <v>0.31535330572991688</v>
      </c>
      <c r="AB553">
        <f t="shared" si="86"/>
        <v>0</v>
      </c>
      <c r="AC553" t="str">
        <f t="shared" si="87"/>
        <v>February</v>
      </c>
      <c r="AD553">
        <f t="shared" si="88"/>
        <v>2024</v>
      </c>
      <c r="AE553" t="str">
        <f t="shared" si="89"/>
        <v>CLEAN</v>
      </c>
    </row>
    <row r="554" spans="1:31">
      <c r="A554" t="s">
        <v>1788</v>
      </c>
      <c r="B554" s="3">
        <v>45681</v>
      </c>
      <c r="C554" s="3">
        <v>45687</v>
      </c>
      <c r="D554" t="s">
        <v>1789</v>
      </c>
      <c r="E554" t="s">
        <v>72</v>
      </c>
      <c r="F554" t="s">
        <v>100</v>
      </c>
      <c r="G554" t="s">
        <v>48</v>
      </c>
      <c r="H554" t="s">
        <v>109</v>
      </c>
      <c r="I554" t="s">
        <v>110</v>
      </c>
      <c r="J554" t="s">
        <v>84</v>
      </c>
      <c r="K554" t="s">
        <v>90</v>
      </c>
      <c r="L554" t="s">
        <v>1790</v>
      </c>
      <c r="M554" t="s">
        <v>69</v>
      </c>
      <c r="N554">
        <v>8</v>
      </c>
      <c r="O554">
        <v>312.52999999999997</v>
      </c>
      <c r="P554" t="s">
        <v>475</v>
      </c>
      <c r="Q554">
        <v>1875.18</v>
      </c>
      <c r="R554">
        <v>1579.17</v>
      </c>
      <c r="S554">
        <v>296.01</v>
      </c>
      <c r="T554" t="s">
        <v>42</v>
      </c>
      <c r="U554" t="s">
        <v>43</v>
      </c>
      <c r="V554" t="str">
        <f t="shared" si="80"/>
        <v>Invalid Discount</v>
      </c>
      <c r="W554" t="str">
        <f t="shared" si="81"/>
        <v/>
      </c>
      <c r="X554">
        <f t="shared" si="82"/>
        <v>5.6351635217523848</v>
      </c>
      <c r="Y554">
        <f t="shared" si="83"/>
        <v>750.072</v>
      </c>
      <c r="Z554">
        <f t="shared" si="84"/>
        <v>-829.09800000000007</v>
      </c>
      <c r="AA554">
        <f t="shared" si="85"/>
        <v>-1.1053578856429784</v>
      </c>
      <c r="AB554">
        <f t="shared" si="86"/>
        <v>6</v>
      </c>
      <c r="AC554" t="str">
        <f t="shared" si="87"/>
        <v>January</v>
      </c>
      <c r="AD554">
        <f t="shared" si="88"/>
        <v>2025</v>
      </c>
      <c r="AE554" t="str">
        <f t="shared" si="89"/>
        <v>INVALID</v>
      </c>
    </row>
    <row r="555" spans="1:31">
      <c r="A555" t="s">
        <v>1791</v>
      </c>
      <c r="B555" s="3">
        <v>45772</v>
      </c>
      <c r="C555" s="3">
        <v>45775</v>
      </c>
      <c r="D555" t="s">
        <v>1792</v>
      </c>
      <c r="E555" t="s">
        <v>138</v>
      </c>
      <c r="F555" t="s">
        <v>47</v>
      </c>
      <c r="G555" t="s">
        <v>73</v>
      </c>
      <c r="H555" t="s">
        <v>190</v>
      </c>
      <c r="I555" t="s">
        <v>191</v>
      </c>
      <c r="J555" t="s">
        <v>38</v>
      </c>
      <c r="K555" t="s">
        <v>134</v>
      </c>
      <c r="L555" t="s">
        <v>1793</v>
      </c>
      <c r="M555" t="s">
        <v>60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42</v>
      </c>
      <c r="U555" t="s">
        <v>43</v>
      </c>
      <c r="V555" t="str">
        <f t="shared" si="80"/>
        <v/>
      </c>
      <c r="W555" t="str">
        <f t="shared" si="81"/>
        <v/>
      </c>
      <c r="X555">
        <f t="shared" si="82"/>
        <v>1.3271856563895552</v>
      </c>
      <c r="Y555">
        <f t="shared" si="83"/>
        <v>8735.2425000000003</v>
      </c>
      <c r="Z555">
        <f t="shared" si="84"/>
        <v>2115.1725000000006</v>
      </c>
      <c r="AA555">
        <f t="shared" si="85"/>
        <v>0.24214239043735769</v>
      </c>
      <c r="AB555">
        <f t="shared" si="86"/>
        <v>3</v>
      </c>
      <c r="AC555" t="str">
        <f t="shared" si="87"/>
        <v>April</v>
      </c>
      <c r="AD555">
        <f t="shared" si="88"/>
        <v>2025</v>
      </c>
      <c r="AE555" t="str">
        <f t="shared" si="89"/>
        <v>CLEAN</v>
      </c>
    </row>
    <row r="556" spans="1:31">
      <c r="A556" t="s">
        <v>1794</v>
      </c>
      <c r="B556" s="3">
        <v>45577</v>
      </c>
      <c r="C556" s="3">
        <v>45582</v>
      </c>
      <c r="D556" t="s">
        <v>1795</v>
      </c>
      <c r="E556" t="s">
        <v>63</v>
      </c>
      <c r="F556" t="s">
        <v>34</v>
      </c>
      <c r="G556" t="s">
        <v>215</v>
      </c>
      <c r="H556" t="s">
        <v>240</v>
      </c>
      <c r="I556" t="s">
        <v>241</v>
      </c>
      <c r="J556" t="s">
        <v>51</v>
      </c>
      <c r="K556" t="s">
        <v>67</v>
      </c>
      <c r="L556" t="s">
        <v>1796</v>
      </c>
      <c r="M556" t="s">
        <v>69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42</v>
      </c>
      <c r="U556" t="s">
        <v>43</v>
      </c>
      <c r="V556" t="str">
        <f t="shared" si="80"/>
        <v/>
      </c>
      <c r="W556" t="str">
        <f t="shared" si="81"/>
        <v/>
      </c>
      <c r="X556">
        <f t="shared" si="82"/>
        <v>-0.58747117266059101</v>
      </c>
      <c r="Y556">
        <f t="shared" si="83"/>
        <v>4070.636</v>
      </c>
      <c r="Z556">
        <f t="shared" si="84"/>
        <v>1239.0160000000001</v>
      </c>
      <c r="AA556">
        <f t="shared" si="85"/>
        <v>0.30437897173807732</v>
      </c>
      <c r="AB556">
        <f t="shared" si="86"/>
        <v>5</v>
      </c>
      <c r="AC556" t="str">
        <f t="shared" si="87"/>
        <v>October</v>
      </c>
      <c r="AD556">
        <f t="shared" si="88"/>
        <v>2024</v>
      </c>
      <c r="AE556" t="str">
        <f t="shared" si="89"/>
        <v>CLEAN</v>
      </c>
    </row>
    <row r="557" spans="1:31">
      <c r="A557" t="s">
        <v>1797</v>
      </c>
      <c r="B557" s="3">
        <v>45692</v>
      </c>
      <c r="C557" s="3">
        <v>45698</v>
      </c>
      <c r="D557" t="s">
        <v>1798</v>
      </c>
      <c r="E557" t="s">
        <v>72</v>
      </c>
      <c r="F557" t="s">
        <v>47</v>
      </c>
      <c r="G557" t="s">
        <v>64</v>
      </c>
      <c r="H557" t="s">
        <v>65</v>
      </c>
      <c r="I557" t="s">
        <v>66</v>
      </c>
      <c r="J557" t="s">
        <v>38</v>
      </c>
      <c r="K557" t="s">
        <v>134</v>
      </c>
      <c r="L557" t="s">
        <v>1799</v>
      </c>
      <c r="M557" t="s">
        <v>69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42</v>
      </c>
      <c r="U557" t="s">
        <v>43</v>
      </c>
      <c r="V557" t="str">
        <f t="shared" si="80"/>
        <v/>
      </c>
      <c r="W557" t="str">
        <f t="shared" si="81"/>
        <v/>
      </c>
      <c r="X557">
        <f t="shared" si="82"/>
        <v>-0.58747117266059101</v>
      </c>
      <c r="Y557">
        <f t="shared" si="83"/>
        <v>5943.9599999999991</v>
      </c>
      <c r="Z557">
        <f t="shared" si="84"/>
        <v>2339.8199999999993</v>
      </c>
      <c r="AA557">
        <f t="shared" si="85"/>
        <v>0.39364665980255581</v>
      </c>
      <c r="AB557">
        <f t="shared" si="86"/>
        <v>6</v>
      </c>
      <c r="AC557" t="str">
        <f t="shared" si="87"/>
        <v>February</v>
      </c>
      <c r="AD557">
        <f t="shared" si="88"/>
        <v>2025</v>
      </c>
      <c r="AE557" t="str">
        <f t="shared" si="89"/>
        <v>CLEAN</v>
      </c>
    </row>
    <row r="558" spans="1:31">
      <c r="A558" t="s">
        <v>1800</v>
      </c>
      <c r="B558" s="3">
        <v>45466</v>
      </c>
      <c r="C558" s="3">
        <v>45472</v>
      </c>
      <c r="D558" t="s">
        <v>1801</v>
      </c>
      <c r="E558" t="s">
        <v>89</v>
      </c>
      <c r="F558" t="s">
        <v>34</v>
      </c>
      <c r="G558" t="s">
        <v>35</v>
      </c>
      <c r="H558" t="s">
        <v>248</v>
      </c>
      <c r="I558" t="s">
        <v>249</v>
      </c>
      <c r="J558" t="s">
        <v>51</v>
      </c>
      <c r="K558" t="s">
        <v>52</v>
      </c>
      <c r="L558" t="s">
        <v>1802</v>
      </c>
      <c r="M558" t="s">
        <v>60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42</v>
      </c>
      <c r="U558" t="s">
        <v>113</v>
      </c>
      <c r="V558" t="str">
        <f t="shared" si="80"/>
        <v/>
      </c>
      <c r="W558" t="str">
        <f t="shared" si="81"/>
        <v/>
      </c>
      <c r="X558">
        <f t="shared" si="82"/>
        <v>-1.0661353799231277</v>
      </c>
      <c r="Y558">
        <f t="shared" si="83"/>
        <v>4426.66</v>
      </c>
      <c r="Z558">
        <f t="shared" si="84"/>
        <v>1391.46</v>
      </c>
      <c r="AA558">
        <f t="shared" si="85"/>
        <v>0.31433631677156143</v>
      </c>
      <c r="AB558">
        <f t="shared" si="86"/>
        <v>6</v>
      </c>
      <c r="AC558" t="str">
        <f t="shared" si="87"/>
        <v>June</v>
      </c>
      <c r="AD558">
        <f t="shared" si="88"/>
        <v>2024</v>
      </c>
      <c r="AE558" t="str">
        <f t="shared" si="89"/>
        <v>CLEAN</v>
      </c>
    </row>
    <row r="559" spans="1:31">
      <c r="A559" t="s">
        <v>1803</v>
      </c>
      <c r="B559" s="3">
        <v>45420</v>
      </c>
      <c r="C559" s="3">
        <v>45426</v>
      </c>
      <c r="D559" t="s">
        <v>1804</v>
      </c>
      <c r="E559" t="s">
        <v>81</v>
      </c>
      <c r="F559" t="s">
        <v>105</v>
      </c>
      <c r="G559" t="s">
        <v>35</v>
      </c>
      <c r="H559" t="s">
        <v>248</v>
      </c>
      <c r="I559" t="s">
        <v>249</v>
      </c>
      <c r="J559" t="s">
        <v>84</v>
      </c>
      <c r="K559" t="s">
        <v>181</v>
      </c>
      <c r="L559" t="s">
        <v>1805</v>
      </c>
      <c r="M559" t="s">
        <v>60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42</v>
      </c>
      <c r="U559" t="s">
        <v>78</v>
      </c>
      <c r="V559" t="str">
        <f t="shared" si="80"/>
        <v/>
      </c>
      <c r="W559" t="str">
        <f t="shared" si="81"/>
        <v/>
      </c>
      <c r="X559">
        <f t="shared" si="82"/>
        <v>-0.58747117266059101</v>
      </c>
      <c r="Y559">
        <f t="shared" si="83"/>
        <v>32228.882999999998</v>
      </c>
      <c r="Z559">
        <f t="shared" si="84"/>
        <v>7257.5229999999974</v>
      </c>
      <c r="AA559">
        <f t="shared" si="85"/>
        <v>0.22518692317074712</v>
      </c>
      <c r="AB559">
        <f t="shared" si="86"/>
        <v>6</v>
      </c>
      <c r="AC559" t="str">
        <f t="shared" si="87"/>
        <v>May</v>
      </c>
      <c r="AD559">
        <f t="shared" si="88"/>
        <v>2024</v>
      </c>
      <c r="AE559" t="str">
        <f t="shared" si="89"/>
        <v>WARNING</v>
      </c>
    </row>
    <row r="560" spans="1:31">
      <c r="A560" t="s">
        <v>1806</v>
      </c>
      <c r="B560" s="3">
        <v>45904</v>
      </c>
      <c r="C560" s="3">
        <v>45756</v>
      </c>
      <c r="D560" t="s">
        <v>1807</v>
      </c>
      <c r="E560" t="s">
        <v>99</v>
      </c>
      <c r="F560" t="s">
        <v>100</v>
      </c>
      <c r="G560" t="s">
        <v>35</v>
      </c>
      <c r="H560" t="s">
        <v>132</v>
      </c>
      <c r="I560" t="s">
        <v>133</v>
      </c>
      <c r="J560" t="s">
        <v>84</v>
      </c>
      <c r="K560" t="s">
        <v>286</v>
      </c>
      <c r="L560" t="s">
        <v>1808</v>
      </c>
      <c r="M560" t="s">
        <v>60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42</v>
      </c>
      <c r="U560" t="s">
        <v>43</v>
      </c>
      <c r="V560" t="str">
        <f t="shared" si="80"/>
        <v/>
      </c>
      <c r="W560" t="str">
        <f t="shared" si="81"/>
        <v>Invalid Shipping Record</v>
      </c>
      <c r="X560">
        <f t="shared" si="82"/>
        <v>0.84852144912701888</v>
      </c>
      <c r="Y560">
        <f t="shared" si="83"/>
        <v>19711.68</v>
      </c>
      <c r="Z560">
        <f t="shared" si="84"/>
        <v>5249.880000000001</v>
      </c>
      <c r="AA560">
        <f t="shared" si="85"/>
        <v>0.26633346320557155</v>
      </c>
      <c r="AB560" t="e">
        <f t="shared" si="86"/>
        <v>#NUM!</v>
      </c>
      <c r="AC560" t="str">
        <f t="shared" si="87"/>
        <v>September</v>
      </c>
      <c r="AD560">
        <f t="shared" si="88"/>
        <v>2025</v>
      </c>
      <c r="AE560" t="str">
        <f t="shared" si="89"/>
        <v>INVALID</v>
      </c>
    </row>
    <row r="561" spans="1:31">
      <c r="A561" t="s">
        <v>1809</v>
      </c>
      <c r="B561" s="3">
        <v>45930</v>
      </c>
      <c r="C561" s="3">
        <v>45937</v>
      </c>
      <c r="D561" t="s">
        <v>1810</v>
      </c>
      <c r="E561" t="s">
        <v>172</v>
      </c>
      <c r="F561" t="s">
        <v>100</v>
      </c>
      <c r="G561" t="s">
        <v>48</v>
      </c>
      <c r="H561" t="s">
        <v>155</v>
      </c>
      <c r="I561" t="s">
        <v>156</v>
      </c>
      <c r="J561" t="s">
        <v>84</v>
      </c>
      <c r="K561" t="s">
        <v>90</v>
      </c>
      <c r="L561" t="s">
        <v>1811</v>
      </c>
      <c r="M561" t="s">
        <v>41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42</v>
      </c>
      <c r="U561" t="s">
        <v>113</v>
      </c>
      <c r="V561" t="str">
        <f t="shared" si="80"/>
        <v/>
      </c>
      <c r="W561" t="str">
        <f t="shared" si="81"/>
        <v/>
      </c>
      <c r="X561">
        <f t="shared" si="82"/>
        <v>-0.10880696539805437</v>
      </c>
      <c r="Y561">
        <f t="shared" si="83"/>
        <v>14750.190000000002</v>
      </c>
      <c r="Z561">
        <f t="shared" si="84"/>
        <v>5267.6100000000024</v>
      </c>
      <c r="AA561">
        <f t="shared" si="85"/>
        <v>0.35712150148574368</v>
      </c>
      <c r="AB561">
        <f t="shared" si="86"/>
        <v>7</v>
      </c>
      <c r="AC561" t="str">
        <f t="shared" si="87"/>
        <v>September</v>
      </c>
      <c r="AD561">
        <f t="shared" si="88"/>
        <v>2025</v>
      </c>
      <c r="AE561" t="str">
        <f t="shared" si="89"/>
        <v>CLEAN</v>
      </c>
    </row>
    <row r="562" spans="1:31">
      <c r="A562" t="s">
        <v>1812</v>
      </c>
      <c r="B562" s="3">
        <v>45307</v>
      </c>
      <c r="C562" s="3">
        <v>45313</v>
      </c>
      <c r="D562" t="s">
        <v>1813</v>
      </c>
      <c r="E562" t="s">
        <v>63</v>
      </c>
      <c r="F562" t="s">
        <v>34</v>
      </c>
      <c r="G562" t="s">
        <v>73</v>
      </c>
      <c r="H562" t="s">
        <v>200</v>
      </c>
      <c r="I562" t="s">
        <v>201</v>
      </c>
      <c r="J562" t="s">
        <v>38</v>
      </c>
      <c r="K562" t="s">
        <v>134</v>
      </c>
      <c r="L562" t="s">
        <v>1814</v>
      </c>
      <c r="M562" t="s">
        <v>69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42</v>
      </c>
      <c r="U562" t="s">
        <v>78</v>
      </c>
      <c r="V562" t="str">
        <f t="shared" si="80"/>
        <v/>
      </c>
      <c r="W562" t="str">
        <f t="shared" si="81"/>
        <v/>
      </c>
      <c r="X562">
        <f t="shared" si="82"/>
        <v>-1.0661353799231277</v>
      </c>
      <c r="Y562">
        <f t="shared" si="83"/>
        <v>1130.1199999999999</v>
      </c>
      <c r="Z562">
        <f t="shared" si="84"/>
        <v>281.49999999999989</v>
      </c>
      <c r="AA562">
        <f t="shared" si="85"/>
        <v>0.249088592361873</v>
      </c>
      <c r="AB562">
        <f t="shared" si="86"/>
        <v>6</v>
      </c>
      <c r="AC562" t="str">
        <f t="shared" si="87"/>
        <v>January</v>
      </c>
      <c r="AD562">
        <f t="shared" si="88"/>
        <v>2024</v>
      </c>
      <c r="AE562" t="str">
        <f t="shared" si="89"/>
        <v>WARNING</v>
      </c>
    </row>
    <row r="563" spans="1:31">
      <c r="A563" t="s">
        <v>1815</v>
      </c>
      <c r="B563" s="3">
        <v>45852</v>
      </c>
      <c r="C563" s="3">
        <v>45856</v>
      </c>
      <c r="D563" t="s">
        <v>1816</v>
      </c>
      <c r="E563" t="s">
        <v>99</v>
      </c>
      <c r="F563" t="s">
        <v>34</v>
      </c>
      <c r="G563" t="s">
        <v>35</v>
      </c>
      <c r="H563" t="s">
        <v>132</v>
      </c>
      <c r="I563" t="s">
        <v>133</v>
      </c>
      <c r="J563" t="s">
        <v>84</v>
      </c>
      <c r="K563" t="s">
        <v>90</v>
      </c>
      <c r="L563" t="s">
        <v>1817</v>
      </c>
      <c r="M563" t="s">
        <v>60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121</v>
      </c>
      <c r="U563" t="s">
        <v>113</v>
      </c>
      <c r="V563" t="str">
        <f t="shared" si="80"/>
        <v/>
      </c>
      <c r="W563" t="str">
        <f t="shared" si="81"/>
        <v/>
      </c>
      <c r="X563">
        <f t="shared" si="82"/>
        <v>-1.0661353799231277</v>
      </c>
      <c r="Y563">
        <f t="shared" si="83"/>
        <v>2900.88</v>
      </c>
      <c r="Z563">
        <f t="shared" si="84"/>
        <v>509.0300000000002</v>
      </c>
      <c r="AA563">
        <f t="shared" si="85"/>
        <v>0.17547433882132324</v>
      </c>
      <c r="AB563">
        <f t="shared" si="86"/>
        <v>4</v>
      </c>
      <c r="AC563" t="str">
        <f t="shared" si="87"/>
        <v>July</v>
      </c>
      <c r="AD563">
        <f t="shared" si="88"/>
        <v>2025</v>
      </c>
      <c r="AE563" t="str">
        <f t="shared" si="89"/>
        <v>CLEAN</v>
      </c>
    </row>
    <row r="564" spans="1:31">
      <c r="A564" t="s">
        <v>1818</v>
      </c>
      <c r="B564" s="3">
        <v>45422</v>
      </c>
      <c r="C564" s="3">
        <v>45428</v>
      </c>
      <c r="D564" t="s">
        <v>1819</v>
      </c>
      <c r="E564" t="s">
        <v>33</v>
      </c>
      <c r="F564" t="s">
        <v>34</v>
      </c>
      <c r="G564" t="s">
        <v>35</v>
      </c>
      <c r="H564" t="s">
        <v>132</v>
      </c>
      <c r="I564" t="s">
        <v>133</v>
      </c>
      <c r="J564" t="s">
        <v>38</v>
      </c>
      <c r="K564" t="s">
        <v>163</v>
      </c>
      <c r="L564" t="s">
        <v>1820</v>
      </c>
      <c r="M564" t="s">
        <v>54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165</v>
      </c>
      <c r="U564" t="s">
        <v>113</v>
      </c>
      <c r="V564" t="str">
        <f t="shared" si="80"/>
        <v/>
      </c>
      <c r="W564" t="str">
        <f t="shared" si="81"/>
        <v/>
      </c>
      <c r="X564">
        <f t="shared" si="82"/>
        <v>0.84852144912701888</v>
      </c>
      <c r="Y564">
        <f t="shared" si="83"/>
        <v>680.62400000000014</v>
      </c>
      <c r="Z564">
        <f t="shared" si="84"/>
        <v>217.13400000000013</v>
      </c>
      <c r="AA564">
        <f t="shared" si="85"/>
        <v>0.31902195632243363</v>
      </c>
      <c r="AB564">
        <f t="shared" si="86"/>
        <v>6</v>
      </c>
      <c r="AC564" t="str">
        <f t="shared" si="87"/>
        <v>May</v>
      </c>
      <c r="AD564">
        <f t="shared" si="88"/>
        <v>2024</v>
      </c>
      <c r="AE564" t="str">
        <f t="shared" si="89"/>
        <v>CLEAN</v>
      </c>
    </row>
    <row r="565" spans="1:31">
      <c r="A565" t="s">
        <v>1821</v>
      </c>
      <c r="B565" s="3">
        <v>45448</v>
      </c>
      <c r="C565" s="3">
        <v>45424</v>
      </c>
      <c r="D565" t="s">
        <v>1822</v>
      </c>
      <c r="E565" t="s">
        <v>63</v>
      </c>
      <c r="F565" t="s">
        <v>100</v>
      </c>
      <c r="G565" t="s">
        <v>73</v>
      </c>
      <c r="H565" t="s">
        <v>200</v>
      </c>
      <c r="I565" t="s">
        <v>201</v>
      </c>
      <c r="J565" t="s">
        <v>51</v>
      </c>
      <c r="K565" t="s">
        <v>52</v>
      </c>
      <c r="L565" t="s">
        <v>1823</v>
      </c>
      <c r="M565" t="s">
        <v>69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121</v>
      </c>
      <c r="U565" t="s">
        <v>78</v>
      </c>
      <c r="V565" t="str">
        <f t="shared" si="80"/>
        <v/>
      </c>
      <c r="W565" t="str">
        <f t="shared" si="81"/>
        <v>Invalid Shipping Record</v>
      </c>
      <c r="X565">
        <f t="shared" si="82"/>
        <v>0.84852144912701888</v>
      </c>
      <c r="Y565">
        <f t="shared" si="83"/>
        <v>5694.9840000000004</v>
      </c>
      <c r="Z565">
        <f t="shared" si="84"/>
        <v>1076.6540000000005</v>
      </c>
      <c r="AA565">
        <f t="shared" si="85"/>
        <v>0.1890530333360024</v>
      </c>
      <c r="AB565" t="e">
        <f t="shared" si="86"/>
        <v>#NUM!</v>
      </c>
      <c r="AC565" t="str">
        <f t="shared" si="87"/>
        <v>June</v>
      </c>
      <c r="AD565">
        <f t="shared" si="88"/>
        <v>2024</v>
      </c>
      <c r="AE565" t="str">
        <f t="shared" si="89"/>
        <v>INVALID</v>
      </c>
    </row>
    <row r="566" spans="1:31">
      <c r="A566" t="s">
        <v>1824</v>
      </c>
      <c r="B566" s="3">
        <v>45576</v>
      </c>
      <c r="C566" s="3">
        <v>45610</v>
      </c>
      <c r="D566" t="s">
        <v>1825</v>
      </c>
      <c r="E566" t="s">
        <v>142</v>
      </c>
      <c r="F566" t="s">
        <v>100</v>
      </c>
      <c r="G566" t="s">
        <v>64</v>
      </c>
      <c r="H566" t="s">
        <v>94</v>
      </c>
      <c r="I566" t="s">
        <v>95</v>
      </c>
      <c r="J566" t="s">
        <v>51</v>
      </c>
      <c r="K566" t="s">
        <v>52</v>
      </c>
      <c r="L566" t="s">
        <v>1826</v>
      </c>
      <c r="M566" t="s">
        <v>60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42</v>
      </c>
      <c r="U566" t="s">
        <v>43</v>
      </c>
      <c r="V566" t="str">
        <f t="shared" si="80"/>
        <v/>
      </c>
      <c r="W566" t="str">
        <f t="shared" si="81"/>
        <v/>
      </c>
      <c r="X566">
        <f t="shared" si="82"/>
        <v>0.84852144912701888</v>
      </c>
      <c r="Y566">
        <f t="shared" si="83"/>
        <v>1474.1440000000002</v>
      </c>
      <c r="Z566">
        <f t="shared" si="84"/>
        <v>505.6840000000002</v>
      </c>
      <c r="AA566">
        <f t="shared" si="85"/>
        <v>0.34303568715132315</v>
      </c>
      <c r="AB566">
        <f t="shared" si="86"/>
        <v>34</v>
      </c>
      <c r="AC566" t="str">
        <f t="shared" si="87"/>
        <v>October</v>
      </c>
      <c r="AD566">
        <f t="shared" si="88"/>
        <v>2024</v>
      </c>
      <c r="AE566" t="str">
        <f t="shared" si="89"/>
        <v>CLEAN</v>
      </c>
    </row>
    <row r="567" spans="1:31">
      <c r="A567" t="s">
        <v>1827</v>
      </c>
      <c r="B567" s="3">
        <v>45876</v>
      </c>
      <c r="C567" s="3">
        <v>45882</v>
      </c>
      <c r="D567" t="s">
        <v>1828</v>
      </c>
      <c r="E567" t="s">
        <v>46</v>
      </c>
      <c r="F567" t="s">
        <v>100</v>
      </c>
      <c r="G567" t="s">
        <v>35</v>
      </c>
      <c r="H567" t="s">
        <v>362</v>
      </c>
      <c r="I567" t="s">
        <v>363</v>
      </c>
      <c r="J567" t="s">
        <v>84</v>
      </c>
      <c r="K567" t="s">
        <v>181</v>
      </c>
      <c r="L567" t="s">
        <v>1829</v>
      </c>
      <c r="M567" t="s">
        <v>69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112</v>
      </c>
      <c r="U567" t="s">
        <v>78</v>
      </c>
      <c r="V567" t="str">
        <f t="shared" si="80"/>
        <v/>
      </c>
      <c r="W567" t="str">
        <f t="shared" si="81"/>
        <v/>
      </c>
      <c r="X567">
        <f t="shared" si="82"/>
        <v>0.84852144912701888</v>
      </c>
      <c r="Y567">
        <f t="shared" si="83"/>
        <v>9224.9279999999999</v>
      </c>
      <c r="Z567">
        <f t="shared" si="84"/>
        <v>2219.7280000000001</v>
      </c>
      <c r="AA567">
        <f t="shared" si="85"/>
        <v>0.24062279944081949</v>
      </c>
      <c r="AB567">
        <f t="shared" si="86"/>
        <v>6</v>
      </c>
      <c r="AC567" t="str">
        <f t="shared" si="87"/>
        <v>August</v>
      </c>
      <c r="AD567">
        <f t="shared" si="88"/>
        <v>2025</v>
      </c>
      <c r="AE567" t="str">
        <f t="shared" si="89"/>
        <v>WARNING</v>
      </c>
    </row>
    <row r="568" spans="1:31">
      <c r="A568" t="s">
        <v>1830</v>
      </c>
      <c r="B568" s="3">
        <v>45515</v>
      </c>
      <c r="C568" s="3">
        <v>45523</v>
      </c>
      <c r="D568" t="s">
        <v>1831</v>
      </c>
      <c r="E568" t="s">
        <v>142</v>
      </c>
      <c r="F568" t="s">
        <v>47</v>
      </c>
      <c r="G568" t="s">
        <v>73</v>
      </c>
      <c r="H568" t="s">
        <v>74</v>
      </c>
      <c r="I568" t="s">
        <v>75</v>
      </c>
      <c r="J568" t="s">
        <v>38</v>
      </c>
      <c r="K568" t="s">
        <v>39</v>
      </c>
      <c r="L568" t="s">
        <v>1832</v>
      </c>
      <c r="M568" t="s">
        <v>54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165</v>
      </c>
      <c r="U568" t="s">
        <v>113</v>
      </c>
      <c r="V568" t="str">
        <f t="shared" si="80"/>
        <v/>
      </c>
      <c r="W568" t="str">
        <f t="shared" si="81"/>
        <v/>
      </c>
      <c r="X568">
        <f t="shared" si="82"/>
        <v>-0.10880696539805437</v>
      </c>
      <c r="Y568">
        <f t="shared" si="83"/>
        <v>4712.2020000000002</v>
      </c>
      <c r="Z568">
        <f t="shared" si="84"/>
        <v>860.29200000000037</v>
      </c>
      <c r="AA568">
        <f t="shared" si="85"/>
        <v>0.18256687637754077</v>
      </c>
      <c r="AB568">
        <f t="shared" si="86"/>
        <v>8</v>
      </c>
      <c r="AC568" t="str">
        <f t="shared" si="87"/>
        <v>August</v>
      </c>
      <c r="AD568">
        <f t="shared" si="88"/>
        <v>2024</v>
      </c>
      <c r="AE568" t="str">
        <f t="shared" si="89"/>
        <v>CLEAN</v>
      </c>
    </row>
    <row r="569" spans="1:31">
      <c r="A569" t="s">
        <v>1833</v>
      </c>
      <c r="B569" s="3">
        <v>45328</v>
      </c>
      <c r="C569" s="3">
        <v>45332</v>
      </c>
      <c r="D569" t="s">
        <v>1834</v>
      </c>
      <c r="E569" t="s">
        <v>63</v>
      </c>
      <c r="F569" t="s">
        <v>105</v>
      </c>
      <c r="G569" t="s">
        <v>35</v>
      </c>
      <c r="H569" t="s">
        <v>146</v>
      </c>
      <c r="I569" t="s">
        <v>147</v>
      </c>
      <c r="J569" t="s">
        <v>51</v>
      </c>
      <c r="K569" t="s">
        <v>67</v>
      </c>
      <c r="L569" t="s">
        <v>612</v>
      </c>
      <c r="M569" t="s">
        <v>54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42</v>
      </c>
      <c r="U569" t="s">
        <v>43</v>
      </c>
      <c r="V569" t="str">
        <f t="shared" si="80"/>
        <v/>
      </c>
      <c r="W569" t="str">
        <f t="shared" si="81"/>
        <v/>
      </c>
      <c r="X569">
        <f t="shared" si="82"/>
        <v>-0.58747117266059101</v>
      </c>
      <c r="Y569">
        <f t="shared" si="83"/>
        <v>1305.357</v>
      </c>
      <c r="Z569">
        <f t="shared" si="84"/>
        <v>573.46699999999998</v>
      </c>
      <c r="AA569">
        <f t="shared" si="85"/>
        <v>0.4393181328939133</v>
      </c>
      <c r="AB569">
        <f t="shared" si="86"/>
        <v>4</v>
      </c>
      <c r="AC569" t="str">
        <f t="shared" si="87"/>
        <v>February</v>
      </c>
      <c r="AD569">
        <f t="shared" si="88"/>
        <v>2024</v>
      </c>
      <c r="AE569" t="str">
        <f t="shared" si="89"/>
        <v>CLEAN</v>
      </c>
    </row>
    <row r="570" spans="1:31">
      <c r="A570" t="s">
        <v>1835</v>
      </c>
      <c r="B570" s="3">
        <v>45312</v>
      </c>
      <c r="C570" s="3">
        <v>45315</v>
      </c>
      <c r="D570" t="s">
        <v>1836</v>
      </c>
      <c r="E570" t="s">
        <v>276</v>
      </c>
      <c r="F570" t="s">
        <v>100</v>
      </c>
      <c r="G570" t="s">
        <v>35</v>
      </c>
      <c r="H570" t="s">
        <v>132</v>
      </c>
      <c r="I570" t="s">
        <v>133</v>
      </c>
      <c r="J570" t="s">
        <v>84</v>
      </c>
      <c r="K570" t="s">
        <v>286</v>
      </c>
      <c r="L570" t="s">
        <v>1837</v>
      </c>
      <c r="M570" t="s">
        <v>54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42</v>
      </c>
      <c r="U570" t="s">
        <v>43</v>
      </c>
      <c r="V570" t="str">
        <f t="shared" si="80"/>
        <v/>
      </c>
      <c r="W570" t="str">
        <f t="shared" si="81"/>
        <v/>
      </c>
      <c r="X570">
        <f t="shared" si="82"/>
        <v>1.3271856563895552</v>
      </c>
      <c r="Y570">
        <f t="shared" si="83"/>
        <v>2854.7250000000004</v>
      </c>
      <c r="Z570">
        <f t="shared" si="84"/>
        <v>886.60500000000047</v>
      </c>
      <c r="AA570">
        <f t="shared" si="85"/>
        <v>0.31057457373302172</v>
      </c>
      <c r="AB570">
        <f t="shared" si="86"/>
        <v>3</v>
      </c>
      <c r="AC570" t="str">
        <f t="shared" si="87"/>
        <v>January</v>
      </c>
      <c r="AD570">
        <f t="shared" si="88"/>
        <v>2024</v>
      </c>
      <c r="AE570" t="str">
        <f t="shared" si="89"/>
        <v>CLEAN</v>
      </c>
    </row>
    <row r="571" spans="1:31">
      <c r="A571" t="s">
        <v>1838</v>
      </c>
      <c r="B571" s="3">
        <v>45878</v>
      </c>
      <c r="C571" s="3">
        <v>45910</v>
      </c>
      <c r="D571" t="s">
        <v>1839</v>
      </c>
      <c r="E571" t="s">
        <v>128</v>
      </c>
      <c r="F571" t="s">
        <v>105</v>
      </c>
      <c r="G571" t="s">
        <v>73</v>
      </c>
      <c r="H571" t="s">
        <v>74</v>
      </c>
      <c r="I571" t="s">
        <v>75</v>
      </c>
      <c r="J571" t="s">
        <v>51</v>
      </c>
      <c r="K571" t="s">
        <v>67</v>
      </c>
      <c r="L571" t="s">
        <v>1840</v>
      </c>
      <c r="M571" t="s">
        <v>69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112</v>
      </c>
      <c r="U571" t="s">
        <v>113</v>
      </c>
      <c r="V571" t="str">
        <f t="shared" si="80"/>
        <v/>
      </c>
      <c r="W571" t="str">
        <f t="shared" si="81"/>
        <v/>
      </c>
      <c r="X571">
        <f t="shared" si="82"/>
        <v>1.3271856563895552</v>
      </c>
      <c r="Y571">
        <f t="shared" si="83"/>
        <v>14630.264999999999</v>
      </c>
      <c r="Z571">
        <f t="shared" si="84"/>
        <v>2723.9049999999988</v>
      </c>
      <c r="AA571">
        <f t="shared" si="85"/>
        <v>0.18618288868998606</v>
      </c>
      <c r="AB571">
        <f t="shared" si="86"/>
        <v>32</v>
      </c>
      <c r="AC571" t="str">
        <f t="shared" si="87"/>
        <v>August</v>
      </c>
      <c r="AD571">
        <f t="shared" si="88"/>
        <v>2025</v>
      </c>
      <c r="AE571" t="str">
        <f t="shared" si="89"/>
        <v>CLEAN</v>
      </c>
    </row>
    <row r="572" spans="1:31">
      <c r="A572" t="s">
        <v>1841</v>
      </c>
      <c r="B572" s="3">
        <v>45887</v>
      </c>
      <c r="C572" s="3">
        <v>45891</v>
      </c>
      <c r="D572" t="s">
        <v>1842</v>
      </c>
      <c r="E572" t="s">
        <v>63</v>
      </c>
      <c r="F572" t="s">
        <v>34</v>
      </c>
      <c r="G572" t="s">
        <v>48</v>
      </c>
      <c r="H572" t="s">
        <v>240</v>
      </c>
      <c r="I572" t="s">
        <v>241</v>
      </c>
      <c r="J572" t="s">
        <v>51</v>
      </c>
      <c r="K572" t="s">
        <v>67</v>
      </c>
      <c r="L572" t="s">
        <v>1843</v>
      </c>
      <c r="M572" t="s">
        <v>41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165</v>
      </c>
      <c r="U572" t="s">
        <v>113</v>
      </c>
      <c r="V572" t="str">
        <f t="shared" si="80"/>
        <v/>
      </c>
      <c r="W572" t="str">
        <f t="shared" si="81"/>
        <v/>
      </c>
      <c r="X572">
        <f t="shared" si="82"/>
        <v>1.3271856563895552</v>
      </c>
      <c r="Y572">
        <f t="shared" si="83"/>
        <v>8879.49</v>
      </c>
      <c r="Z572">
        <f t="shared" si="84"/>
        <v>2534.92</v>
      </c>
      <c r="AA572">
        <f t="shared" si="85"/>
        <v>0.28548035979543873</v>
      </c>
      <c r="AB572">
        <f t="shared" si="86"/>
        <v>4</v>
      </c>
      <c r="AC572" t="str">
        <f t="shared" si="87"/>
        <v>August</v>
      </c>
      <c r="AD572">
        <f t="shared" si="88"/>
        <v>2025</v>
      </c>
      <c r="AE572" t="str">
        <f t="shared" si="89"/>
        <v>CLEAN</v>
      </c>
    </row>
    <row r="573" spans="1:31">
      <c r="A573" t="s">
        <v>1844</v>
      </c>
      <c r="B573" s="3">
        <v>45698</v>
      </c>
      <c r="C573" s="3">
        <v>45702</v>
      </c>
      <c r="D573" t="s">
        <v>1845</v>
      </c>
      <c r="E573" t="s">
        <v>124</v>
      </c>
      <c r="F573" t="s">
        <v>47</v>
      </c>
      <c r="G573" t="s">
        <v>35</v>
      </c>
      <c r="H573" t="s">
        <v>146</v>
      </c>
      <c r="I573" t="s">
        <v>147</v>
      </c>
      <c r="J573" t="s">
        <v>84</v>
      </c>
      <c r="K573" t="s">
        <v>181</v>
      </c>
      <c r="L573" t="s">
        <v>1846</v>
      </c>
      <c r="M573" t="s">
        <v>215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165</v>
      </c>
      <c r="U573" t="s">
        <v>113</v>
      </c>
      <c r="V573" t="str">
        <f t="shared" si="80"/>
        <v/>
      </c>
      <c r="W573" t="str">
        <f t="shared" si="81"/>
        <v/>
      </c>
      <c r="X573">
        <f t="shared" si="82"/>
        <v>-1.0661353799231277</v>
      </c>
      <c r="Y573">
        <f t="shared" si="83"/>
        <v>21381.45</v>
      </c>
      <c r="Z573">
        <f t="shared" si="84"/>
        <v>8141.2400000000016</v>
      </c>
      <c r="AA573">
        <f t="shared" si="85"/>
        <v>0.38076182859441249</v>
      </c>
      <c r="AB573">
        <f t="shared" si="86"/>
        <v>4</v>
      </c>
      <c r="AC573" t="str">
        <f t="shared" si="87"/>
        <v>February</v>
      </c>
      <c r="AD573">
        <f t="shared" si="88"/>
        <v>2025</v>
      </c>
      <c r="AE573" t="str">
        <f t="shared" si="89"/>
        <v>CLEAN</v>
      </c>
    </row>
    <row r="574" spans="1:31">
      <c r="A574" t="s">
        <v>1847</v>
      </c>
      <c r="B574" s="3">
        <v>45323</v>
      </c>
      <c r="C574" s="3">
        <v>45300</v>
      </c>
      <c r="D574" t="s">
        <v>1848</v>
      </c>
      <c r="E574" t="s">
        <v>172</v>
      </c>
      <c r="F574" t="s">
        <v>100</v>
      </c>
      <c r="G574" t="s">
        <v>35</v>
      </c>
      <c r="H574" t="s">
        <v>362</v>
      </c>
      <c r="I574" t="s">
        <v>363</v>
      </c>
      <c r="J574" t="s">
        <v>84</v>
      </c>
      <c r="K574" t="s">
        <v>181</v>
      </c>
      <c r="L574" t="s">
        <v>1849</v>
      </c>
      <c r="M574" t="s">
        <v>69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42</v>
      </c>
      <c r="U574" t="s">
        <v>43</v>
      </c>
      <c r="V574" t="str">
        <f t="shared" si="80"/>
        <v/>
      </c>
      <c r="W574" t="str">
        <f t="shared" si="81"/>
        <v>Invalid Shipping Record</v>
      </c>
      <c r="X574">
        <f t="shared" si="82"/>
        <v>0.84852144912701888</v>
      </c>
      <c r="Y574">
        <f t="shared" si="83"/>
        <v>1774.944</v>
      </c>
      <c r="Z574">
        <f t="shared" si="84"/>
        <v>767.54399999999998</v>
      </c>
      <c r="AA574">
        <f t="shared" si="85"/>
        <v>0.43243279787982042</v>
      </c>
      <c r="AB574" t="e">
        <f t="shared" si="86"/>
        <v>#NUM!</v>
      </c>
      <c r="AC574" t="str">
        <f t="shared" si="87"/>
        <v>February</v>
      </c>
      <c r="AD574">
        <f t="shared" si="88"/>
        <v>2024</v>
      </c>
      <c r="AE574" t="str">
        <f t="shared" si="89"/>
        <v>INVALID</v>
      </c>
    </row>
    <row r="575" spans="1:31">
      <c r="A575" t="s">
        <v>1850</v>
      </c>
      <c r="B575" s="3">
        <v>45922</v>
      </c>
      <c r="C575" s="3">
        <v>45926</v>
      </c>
      <c r="D575" t="s">
        <v>1851</v>
      </c>
      <c r="E575" t="s">
        <v>57</v>
      </c>
      <c r="F575" t="s">
        <v>34</v>
      </c>
      <c r="G575" t="s">
        <v>64</v>
      </c>
      <c r="H575" t="s">
        <v>94</v>
      </c>
      <c r="I575" t="s">
        <v>95</v>
      </c>
      <c r="J575" t="s">
        <v>84</v>
      </c>
      <c r="K575" t="s">
        <v>181</v>
      </c>
      <c r="L575" t="s">
        <v>1852</v>
      </c>
      <c r="M575" t="s">
        <v>69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42</v>
      </c>
      <c r="U575" t="s">
        <v>43</v>
      </c>
      <c r="V575" t="str">
        <f t="shared" si="80"/>
        <v/>
      </c>
      <c r="W575" t="str">
        <f t="shared" si="81"/>
        <v/>
      </c>
      <c r="X575">
        <f t="shared" si="82"/>
        <v>-1.0661353799231277</v>
      </c>
      <c r="Y575">
        <f t="shared" si="83"/>
        <v>573.65</v>
      </c>
      <c r="Z575">
        <f t="shared" si="84"/>
        <v>250.97999999999996</v>
      </c>
      <c r="AA575">
        <f t="shared" si="85"/>
        <v>0.43751416368866031</v>
      </c>
      <c r="AB575">
        <f t="shared" si="86"/>
        <v>4</v>
      </c>
      <c r="AC575" t="str">
        <f t="shared" si="87"/>
        <v>September</v>
      </c>
      <c r="AD575">
        <f t="shared" si="88"/>
        <v>2025</v>
      </c>
      <c r="AE575" t="str">
        <f t="shared" si="89"/>
        <v>CLEAN</v>
      </c>
    </row>
    <row r="576" spans="1:31">
      <c r="A576" t="s">
        <v>1853</v>
      </c>
      <c r="B576" s="3">
        <v>45342</v>
      </c>
      <c r="C576" s="3">
        <v>45347</v>
      </c>
      <c r="D576" t="s">
        <v>823</v>
      </c>
      <c r="E576" t="s">
        <v>172</v>
      </c>
      <c r="F576" t="s">
        <v>105</v>
      </c>
      <c r="G576" t="s">
        <v>35</v>
      </c>
      <c r="H576" t="s">
        <v>132</v>
      </c>
      <c r="I576" t="s">
        <v>133</v>
      </c>
      <c r="J576" t="s">
        <v>84</v>
      </c>
      <c r="K576" t="s">
        <v>286</v>
      </c>
      <c r="L576" t="s">
        <v>1854</v>
      </c>
      <c r="M576" t="s">
        <v>69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42</v>
      </c>
      <c r="U576" t="s">
        <v>43</v>
      </c>
      <c r="V576" t="str">
        <f t="shared" si="80"/>
        <v/>
      </c>
      <c r="W576" t="str">
        <f t="shared" si="81"/>
        <v/>
      </c>
      <c r="X576">
        <f t="shared" si="82"/>
        <v>-1.0661353799231277</v>
      </c>
      <c r="Y576">
        <f t="shared" si="83"/>
        <v>5423.2</v>
      </c>
      <c r="Z576">
        <f t="shared" si="84"/>
        <v>1350.7599999999998</v>
      </c>
      <c r="AA576">
        <f t="shared" si="85"/>
        <v>0.24907065938929043</v>
      </c>
      <c r="AB576">
        <f t="shared" si="86"/>
        <v>5</v>
      </c>
      <c r="AC576" t="str">
        <f t="shared" si="87"/>
        <v>February</v>
      </c>
      <c r="AD576">
        <f t="shared" si="88"/>
        <v>2024</v>
      </c>
      <c r="AE576" t="str">
        <f t="shared" si="89"/>
        <v>CLEAN</v>
      </c>
    </row>
    <row r="577" spans="1:31">
      <c r="A577" t="s">
        <v>1855</v>
      </c>
      <c r="B577" s="3">
        <v>45727</v>
      </c>
      <c r="C577" s="3">
        <v>45730</v>
      </c>
      <c r="D577" t="s">
        <v>1856</v>
      </c>
      <c r="E577" t="s">
        <v>142</v>
      </c>
      <c r="F577" t="s">
        <v>105</v>
      </c>
      <c r="G577" t="s">
        <v>64</v>
      </c>
      <c r="H577" t="s">
        <v>195</v>
      </c>
      <c r="I577" t="s">
        <v>196</v>
      </c>
      <c r="J577" t="s">
        <v>51</v>
      </c>
      <c r="K577" t="s">
        <v>67</v>
      </c>
      <c r="L577" t="s">
        <v>1857</v>
      </c>
      <c r="M577" t="s">
        <v>54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165</v>
      </c>
      <c r="U577" t="s">
        <v>113</v>
      </c>
      <c r="V577" t="str">
        <f t="shared" si="80"/>
        <v/>
      </c>
      <c r="W577" t="str">
        <f t="shared" si="81"/>
        <v/>
      </c>
      <c r="X577">
        <f t="shared" si="82"/>
        <v>0.84852144912701888</v>
      </c>
      <c r="Y577">
        <f t="shared" si="83"/>
        <v>3983.424</v>
      </c>
      <c r="Z577">
        <f t="shared" si="84"/>
        <v>808.51400000000012</v>
      </c>
      <c r="AA577">
        <f t="shared" si="85"/>
        <v>0.2029696060474607</v>
      </c>
      <c r="AB577">
        <f t="shared" si="86"/>
        <v>3</v>
      </c>
      <c r="AC577" t="str">
        <f t="shared" si="87"/>
        <v>March</v>
      </c>
      <c r="AD577">
        <f t="shared" si="88"/>
        <v>2025</v>
      </c>
      <c r="AE577" t="str">
        <f t="shared" si="89"/>
        <v>CLEAN</v>
      </c>
    </row>
    <row r="578" spans="1:31">
      <c r="A578" t="s">
        <v>1858</v>
      </c>
      <c r="B578" s="3">
        <v>45339</v>
      </c>
      <c r="C578" s="3">
        <v>45345</v>
      </c>
      <c r="D578" t="s">
        <v>1859</v>
      </c>
      <c r="E578" t="s">
        <v>151</v>
      </c>
      <c r="F578" t="s">
        <v>105</v>
      </c>
      <c r="G578" t="s">
        <v>215</v>
      </c>
      <c r="H578" t="s">
        <v>155</v>
      </c>
      <c r="I578" t="s">
        <v>156</v>
      </c>
      <c r="J578" t="s">
        <v>38</v>
      </c>
      <c r="K578" t="s">
        <v>163</v>
      </c>
      <c r="L578" t="s">
        <v>1860</v>
      </c>
      <c r="M578" t="s">
        <v>69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112</v>
      </c>
      <c r="U578" t="s">
        <v>113</v>
      </c>
      <c r="V578" t="str">
        <f t="shared" si="80"/>
        <v/>
      </c>
      <c r="W578" t="str">
        <f t="shared" si="81"/>
        <v/>
      </c>
      <c r="X578">
        <f t="shared" si="82"/>
        <v>-1.0661353799231277</v>
      </c>
      <c r="Y578">
        <f t="shared" si="83"/>
        <v>23530.14</v>
      </c>
      <c r="Z578">
        <f t="shared" si="84"/>
        <v>3992.3499999999985</v>
      </c>
      <c r="AA578">
        <f t="shared" si="85"/>
        <v>0.16966962372514566</v>
      </c>
      <c r="AB578">
        <f t="shared" si="86"/>
        <v>6</v>
      </c>
      <c r="AC578" t="str">
        <f t="shared" si="87"/>
        <v>February</v>
      </c>
      <c r="AD578">
        <f t="shared" si="88"/>
        <v>2024</v>
      </c>
      <c r="AE578" t="str">
        <f t="shared" si="89"/>
        <v>CLEAN</v>
      </c>
    </row>
    <row r="579" spans="1:31">
      <c r="A579" t="s">
        <v>1861</v>
      </c>
      <c r="B579" s="3">
        <v>45897</v>
      </c>
      <c r="C579" s="3">
        <v>45903</v>
      </c>
      <c r="D579" t="s">
        <v>1862</v>
      </c>
      <c r="E579" t="s">
        <v>124</v>
      </c>
      <c r="F579" t="s">
        <v>100</v>
      </c>
      <c r="G579" t="s">
        <v>73</v>
      </c>
      <c r="H579" t="s">
        <v>82</v>
      </c>
      <c r="I579" t="s">
        <v>83</v>
      </c>
      <c r="J579" t="s">
        <v>51</v>
      </c>
      <c r="K579" t="s">
        <v>67</v>
      </c>
      <c r="L579" t="s">
        <v>1863</v>
      </c>
      <c r="M579" t="s">
        <v>69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42</v>
      </c>
      <c r="U579" t="s">
        <v>43</v>
      </c>
      <c r="V579" t="str">
        <f t="shared" ref="V579:V642" si="90">IF(AND(N579&gt;0,O579&gt;0,Q579&gt;0,R579&gt;=0,S579&lt;&gt;""),IF(OR(P579&lt;0,ABS(P579-AVERAGE($P:$P))&gt;2*_xlfn.STDEV.P($P:$P)),"Invalid Discount",""),"")</f>
        <v/>
      </c>
      <c r="W579" t="str">
        <f t="shared" ref="W579:W642" si="91">IF(AND(B579&lt;&gt;"",C579&lt;&gt;""),IF(C579&lt;B579,"Invalid Shipping Record",""),"")</f>
        <v/>
      </c>
      <c r="X579">
        <f t="shared" ref="X579:X642" si="92">(P579-AVERAGE($P:$P))/_xlfn.STDEV.P($P:$P)</f>
        <v>-1.0661353799231277</v>
      </c>
      <c r="Y579">
        <f t="shared" ref="Y579:Y642" si="93">N579*O579*(1-P579)</f>
        <v>1879.1499999999999</v>
      </c>
      <c r="Z579">
        <f t="shared" ref="Z579:Z642" si="94">Y579-R579</f>
        <v>744.24999999999977</v>
      </c>
      <c r="AA579">
        <f t="shared" ref="AA579:AA642" si="95">IF(Y579=0,0,Z579/Y579)</f>
        <v>0.39605672777585599</v>
      </c>
      <c r="AB579">
        <f t="shared" ref="AB579:AB642" si="96">DATEDIF(B579,C579,"d")</f>
        <v>6</v>
      </c>
      <c r="AC579" t="str">
        <f t="shared" ref="AC579:AC642" si="97">TEXT(B579,"mmmm")</f>
        <v>August</v>
      </c>
      <c r="AD579">
        <f t="shared" ref="AD579:AD642" si="98">YEAR(B579)</f>
        <v>2025</v>
      </c>
      <c r="AE579" t="str">
        <f t="shared" ref="AE579:AE642" si="99">IF(OR(V579="Invalid Discount",W579="Invalid Shipping Record"),"INVALID",IF(U579="Cancelled","WARNING","CLEAN"))</f>
        <v>CLEAN</v>
      </c>
    </row>
    <row r="580" spans="1:31">
      <c r="A580" t="s">
        <v>1864</v>
      </c>
      <c r="B580" s="3">
        <v>45343</v>
      </c>
      <c r="C580" s="3">
        <v>45345</v>
      </c>
      <c r="D580" t="s">
        <v>307</v>
      </c>
      <c r="E580" t="s">
        <v>89</v>
      </c>
      <c r="F580" t="s">
        <v>47</v>
      </c>
      <c r="G580" t="s">
        <v>73</v>
      </c>
      <c r="H580" t="s">
        <v>190</v>
      </c>
      <c r="I580" t="s">
        <v>191</v>
      </c>
      <c r="J580" t="s">
        <v>84</v>
      </c>
      <c r="K580" t="s">
        <v>90</v>
      </c>
      <c r="L580" t="s">
        <v>1865</v>
      </c>
      <c r="M580" t="s">
        <v>60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42</v>
      </c>
      <c r="U580" t="s">
        <v>43</v>
      </c>
      <c r="V580" t="str">
        <f t="shared" si="90"/>
        <v/>
      </c>
      <c r="W580" t="str">
        <f t="shared" si="91"/>
        <v/>
      </c>
      <c r="X580">
        <f t="shared" si="92"/>
        <v>-0.58747117266059101</v>
      </c>
      <c r="Y580">
        <f t="shared" si="93"/>
        <v>15011.805</v>
      </c>
      <c r="Z580">
        <f t="shared" si="94"/>
        <v>5351.4449999999997</v>
      </c>
      <c r="AA580">
        <f t="shared" si="95"/>
        <v>0.35648244831317749</v>
      </c>
      <c r="AB580">
        <f t="shared" si="96"/>
        <v>2</v>
      </c>
      <c r="AC580" t="str">
        <f t="shared" si="97"/>
        <v>February</v>
      </c>
      <c r="AD580">
        <f t="shared" si="98"/>
        <v>2024</v>
      </c>
      <c r="AE580" t="str">
        <f t="shared" si="99"/>
        <v>CLEAN</v>
      </c>
    </row>
    <row r="581" spans="1:31">
      <c r="A581" t="s">
        <v>1866</v>
      </c>
      <c r="B581" s="3">
        <v>45462</v>
      </c>
      <c r="C581" s="3">
        <v>45467</v>
      </c>
      <c r="D581" t="s">
        <v>1867</v>
      </c>
      <c r="E581" t="s">
        <v>138</v>
      </c>
      <c r="F581" t="s">
        <v>47</v>
      </c>
      <c r="G581" t="s">
        <v>64</v>
      </c>
      <c r="H581" t="s">
        <v>259</v>
      </c>
      <c r="I581" t="s">
        <v>260</v>
      </c>
      <c r="J581" t="s">
        <v>38</v>
      </c>
      <c r="K581" t="s">
        <v>134</v>
      </c>
      <c r="L581" t="s">
        <v>1868</v>
      </c>
      <c r="M581" t="s">
        <v>54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42</v>
      </c>
      <c r="U581" t="s">
        <v>43</v>
      </c>
      <c r="V581" t="str">
        <f t="shared" si="90"/>
        <v/>
      </c>
      <c r="W581" t="str">
        <f t="shared" si="91"/>
        <v/>
      </c>
      <c r="X581">
        <f t="shared" si="92"/>
        <v>-1.0661353799231277</v>
      </c>
      <c r="Y581">
        <f t="shared" si="93"/>
        <v>3202.41</v>
      </c>
      <c r="Z581">
        <f t="shared" si="94"/>
        <v>593.9699999999998</v>
      </c>
      <c r="AA581">
        <f t="shared" si="95"/>
        <v>0.18547593843386695</v>
      </c>
      <c r="AB581">
        <f t="shared" si="96"/>
        <v>5</v>
      </c>
      <c r="AC581" t="str">
        <f t="shared" si="97"/>
        <v>June</v>
      </c>
      <c r="AD581">
        <f t="shared" si="98"/>
        <v>2024</v>
      </c>
      <c r="AE581" t="str">
        <f t="shared" si="99"/>
        <v>CLEAN</v>
      </c>
    </row>
    <row r="582" spans="1:31">
      <c r="A582" t="s">
        <v>1869</v>
      </c>
      <c r="B582" s="3">
        <v>45722</v>
      </c>
      <c r="C582" s="3">
        <v>45729</v>
      </c>
      <c r="D582" t="s">
        <v>1870</v>
      </c>
      <c r="E582" t="s">
        <v>276</v>
      </c>
      <c r="F582" t="s">
        <v>34</v>
      </c>
      <c r="G582" t="s">
        <v>64</v>
      </c>
      <c r="H582" t="s">
        <v>195</v>
      </c>
      <c r="I582" t="s">
        <v>196</v>
      </c>
      <c r="J582" t="s">
        <v>51</v>
      </c>
      <c r="K582" t="s">
        <v>76</v>
      </c>
      <c r="L582" t="s">
        <v>1871</v>
      </c>
      <c r="M582" t="s">
        <v>69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165</v>
      </c>
      <c r="U582" t="s">
        <v>113</v>
      </c>
      <c r="V582" t="str">
        <f t="shared" si="90"/>
        <v/>
      </c>
      <c r="W582" t="str">
        <f t="shared" si="91"/>
        <v/>
      </c>
      <c r="X582">
        <f t="shared" si="92"/>
        <v>0.3698572418644821</v>
      </c>
      <c r="Y582">
        <f t="shared" si="93"/>
        <v>417.48599999999999</v>
      </c>
      <c r="Z582">
        <f t="shared" si="94"/>
        <v>155.81599999999997</v>
      </c>
      <c r="AA582">
        <f t="shared" si="95"/>
        <v>0.37322449136018926</v>
      </c>
      <c r="AB582">
        <f t="shared" si="96"/>
        <v>7</v>
      </c>
      <c r="AC582" t="str">
        <f t="shared" si="97"/>
        <v>March</v>
      </c>
      <c r="AD582">
        <f t="shared" si="98"/>
        <v>2025</v>
      </c>
      <c r="AE582" t="str">
        <f t="shared" si="99"/>
        <v>CLEAN</v>
      </c>
    </row>
    <row r="583" spans="1:31">
      <c r="A583" t="s">
        <v>1872</v>
      </c>
      <c r="B583" s="3">
        <v>45878</v>
      </c>
      <c r="C583" s="3">
        <v>45938</v>
      </c>
      <c r="D583" t="s">
        <v>1873</v>
      </c>
      <c r="E583" t="s">
        <v>89</v>
      </c>
      <c r="F583" t="s">
        <v>34</v>
      </c>
      <c r="G583" t="s">
        <v>35</v>
      </c>
      <c r="H583" t="s">
        <v>362</v>
      </c>
      <c r="I583" t="s">
        <v>363</v>
      </c>
      <c r="J583" t="s">
        <v>38</v>
      </c>
      <c r="K583" t="s">
        <v>58</v>
      </c>
      <c r="L583" t="s">
        <v>1874</v>
      </c>
      <c r="M583" t="s">
        <v>41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112</v>
      </c>
      <c r="U583" t="s">
        <v>113</v>
      </c>
      <c r="V583" t="str">
        <f t="shared" si="90"/>
        <v/>
      </c>
      <c r="W583" t="str">
        <f t="shared" si="91"/>
        <v/>
      </c>
      <c r="X583">
        <f t="shared" si="92"/>
        <v>-1.0661353799231277</v>
      </c>
      <c r="Y583">
        <f t="shared" si="93"/>
        <v>16323.8</v>
      </c>
      <c r="Z583">
        <f t="shared" si="94"/>
        <v>6358.0099999999984</v>
      </c>
      <c r="AA583">
        <f t="shared" si="95"/>
        <v>0.38949325524693995</v>
      </c>
      <c r="AB583">
        <f t="shared" si="96"/>
        <v>60</v>
      </c>
      <c r="AC583" t="str">
        <f t="shared" si="97"/>
        <v>August</v>
      </c>
      <c r="AD583">
        <f t="shared" si="98"/>
        <v>2025</v>
      </c>
      <c r="AE583" t="str">
        <f t="shared" si="99"/>
        <v>CLEAN</v>
      </c>
    </row>
    <row r="584" spans="1:31">
      <c r="A584" t="s">
        <v>1875</v>
      </c>
      <c r="B584" s="3">
        <v>45580</v>
      </c>
      <c r="C584" s="3">
        <v>45585</v>
      </c>
      <c r="D584" t="s">
        <v>1876</v>
      </c>
      <c r="E584" t="s">
        <v>72</v>
      </c>
      <c r="F584" t="s">
        <v>34</v>
      </c>
      <c r="G584" t="s">
        <v>48</v>
      </c>
      <c r="H584" t="s">
        <v>49</v>
      </c>
      <c r="I584" t="s">
        <v>50</v>
      </c>
      <c r="J584" t="s">
        <v>38</v>
      </c>
      <c r="K584" t="s">
        <v>58</v>
      </c>
      <c r="L584" t="s">
        <v>1877</v>
      </c>
      <c r="M584" t="s">
        <v>60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121</v>
      </c>
      <c r="U584" t="s">
        <v>113</v>
      </c>
      <c r="V584" t="str">
        <f t="shared" si="90"/>
        <v/>
      </c>
      <c r="W584" t="str">
        <f t="shared" si="91"/>
        <v/>
      </c>
      <c r="X584">
        <f t="shared" si="92"/>
        <v>-1.0661353799231277</v>
      </c>
      <c r="Y584">
        <f t="shared" si="93"/>
        <v>3356.2</v>
      </c>
      <c r="Z584">
        <f t="shared" si="94"/>
        <v>1150.48</v>
      </c>
      <c r="AA584">
        <f t="shared" si="95"/>
        <v>0.34279244383528995</v>
      </c>
      <c r="AB584">
        <f t="shared" si="96"/>
        <v>5</v>
      </c>
      <c r="AC584" t="str">
        <f t="shared" si="97"/>
        <v>October</v>
      </c>
      <c r="AD584">
        <f t="shared" si="98"/>
        <v>2024</v>
      </c>
      <c r="AE584" t="str">
        <f t="shared" si="99"/>
        <v>CLEAN</v>
      </c>
    </row>
    <row r="585" spans="1:31">
      <c r="A585" t="s">
        <v>1878</v>
      </c>
      <c r="B585" s="3">
        <v>45350</v>
      </c>
      <c r="C585" s="3">
        <v>45350</v>
      </c>
      <c r="D585" t="s">
        <v>1879</v>
      </c>
      <c r="E585" t="s">
        <v>151</v>
      </c>
      <c r="F585" t="s">
        <v>47</v>
      </c>
      <c r="G585" t="s">
        <v>48</v>
      </c>
      <c r="H585" t="s">
        <v>109</v>
      </c>
      <c r="I585" t="s">
        <v>110</v>
      </c>
      <c r="J585" t="s">
        <v>38</v>
      </c>
      <c r="K585" t="s">
        <v>134</v>
      </c>
      <c r="L585" t="s">
        <v>1880</v>
      </c>
      <c r="M585" t="s">
        <v>60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165</v>
      </c>
      <c r="U585" t="s">
        <v>113</v>
      </c>
      <c r="V585" t="str">
        <f t="shared" si="90"/>
        <v/>
      </c>
      <c r="W585" t="str">
        <f t="shared" si="91"/>
        <v/>
      </c>
      <c r="X585">
        <f t="shared" si="92"/>
        <v>0.84852144912701888</v>
      </c>
      <c r="Y585">
        <f t="shared" si="93"/>
        <v>2101.4720000000002</v>
      </c>
      <c r="Z585">
        <f t="shared" si="94"/>
        <v>883.64200000000028</v>
      </c>
      <c r="AA585">
        <f t="shared" si="95"/>
        <v>0.42048716328364127</v>
      </c>
      <c r="AB585">
        <f t="shared" si="96"/>
        <v>0</v>
      </c>
      <c r="AC585" t="str">
        <f t="shared" si="97"/>
        <v>February</v>
      </c>
      <c r="AD585">
        <f t="shared" si="98"/>
        <v>2024</v>
      </c>
      <c r="AE585" t="str">
        <f t="shared" si="99"/>
        <v>CLEAN</v>
      </c>
    </row>
    <row r="586" spans="1:31">
      <c r="A586" t="s">
        <v>1881</v>
      </c>
      <c r="B586" s="3">
        <v>45390</v>
      </c>
      <c r="C586" s="3">
        <v>45514</v>
      </c>
      <c r="D586" t="s">
        <v>1882</v>
      </c>
      <c r="E586" t="s">
        <v>81</v>
      </c>
      <c r="F586" t="s">
        <v>34</v>
      </c>
      <c r="G586" t="s">
        <v>48</v>
      </c>
      <c r="H586" t="s">
        <v>155</v>
      </c>
      <c r="I586" t="s">
        <v>156</v>
      </c>
      <c r="J586" t="s">
        <v>38</v>
      </c>
      <c r="K586" t="s">
        <v>58</v>
      </c>
      <c r="L586" t="s">
        <v>1883</v>
      </c>
      <c r="M586" t="s">
        <v>54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121</v>
      </c>
      <c r="U586" t="s">
        <v>113</v>
      </c>
      <c r="V586" t="str">
        <f t="shared" si="90"/>
        <v/>
      </c>
      <c r="W586" t="str">
        <f t="shared" si="91"/>
        <v/>
      </c>
      <c r="X586">
        <f t="shared" si="92"/>
        <v>0.3698572418644821</v>
      </c>
      <c r="Y586">
        <f t="shared" si="93"/>
        <v>837.19049999999993</v>
      </c>
      <c r="Z586">
        <f t="shared" si="94"/>
        <v>253.40049999999997</v>
      </c>
      <c r="AA586">
        <f t="shared" si="95"/>
        <v>0.30267961712417901</v>
      </c>
      <c r="AB586">
        <f t="shared" si="96"/>
        <v>124</v>
      </c>
      <c r="AC586" t="str">
        <f t="shared" si="97"/>
        <v>April</v>
      </c>
      <c r="AD586">
        <f t="shared" si="98"/>
        <v>2024</v>
      </c>
      <c r="AE586" t="str">
        <f t="shared" si="99"/>
        <v>CLEAN</v>
      </c>
    </row>
    <row r="587" spans="1:31">
      <c r="A587" t="s">
        <v>1884</v>
      </c>
      <c r="B587" s="3">
        <v>45830</v>
      </c>
      <c r="C587" s="3">
        <v>45833</v>
      </c>
      <c r="D587" t="s">
        <v>1885</v>
      </c>
      <c r="E587" t="s">
        <v>172</v>
      </c>
      <c r="F587" t="s">
        <v>47</v>
      </c>
      <c r="G587" t="s">
        <v>710</v>
      </c>
      <c r="H587" t="s">
        <v>74</v>
      </c>
      <c r="I587" t="s">
        <v>75</v>
      </c>
      <c r="J587" t="s">
        <v>84</v>
      </c>
      <c r="K587" t="s">
        <v>181</v>
      </c>
      <c r="L587" t="s">
        <v>1886</v>
      </c>
      <c r="M587" t="s">
        <v>60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42</v>
      </c>
      <c r="U587" t="s">
        <v>43</v>
      </c>
      <c r="V587" t="str">
        <f t="shared" si="90"/>
        <v/>
      </c>
      <c r="W587" t="str">
        <f t="shared" si="91"/>
        <v/>
      </c>
      <c r="X587">
        <f t="shared" si="92"/>
        <v>-1.0661353799231277</v>
      </c>
      <c r="Y587">
        <f t="shared" si="93"/>
        <v>27629.279999999999</v>
      </c>
      <c r="Z587">
        <f t="shared" si="94"/>
        <v>5602.7999999999993</v>
      </c>
      <c r="AA587">
        <f t="shared" si="95"/>
        <v>0.20278487170132553</v>
      </c>
      <c r="AB587">
        <f t="shared" si="96"/>
        <v>3</v>
      </c>
      <c r="AC587" t="str">
        <f t="shared" si="97"/>
        <v>June</v>
      </c>
      <c r="AD587">
        <f t="shared" si="98"/>
        <v>2025</v>
      </c>
      <c r="AE587" t="str">
        <f t="shared" si="99"/>
        <v>CLEAN</v>
      </c>
    </row>
    <row r="588" spans="1:31">
      <c r="A588" t="s">
        <v>1887</v>
      </c>
      <c r="B588" s="3">
        <v>45759</v>
      </c>
      <c r="C588" s="3">
        <v>45759</v>
      </c>
      <c r="D588" t="s">
        <v>1888</v>
      </c>
      <c r="E588" t="s">
        <v>46</v>
      </c>
      <c r="F588" t="s">
        <v>105</v>
      </c>
      <c r="G588" t="s">
        <v>35</v>
      </c>
      <c r="H588" t="s">
        <v>132</v>
      </c>
      <c r="I588" t="s">
        <v>133</v>
      </c>
      <c r="J588" t="s">
        <v>38</v>
      </c>
      <c r="K588" t="s">
        <v>163</v>
      </c>
      <c r="L588" t="s">
        <v>1889</v>
      </c>
      <c r="M588" t="s">
        <v>41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42</v>
      </c>
      <c r="U588" t="s">
        <v>43</v>
      </c>
      <c r="V588" t="str">
        <f t="shared" si="90"/>
        <v/>
      </c>
      <c r="W588" t="str">
        <f t="shared" si="91"/>
        <v/>
      </c>
      <c r="X588">
        <f t="shared" si="92"/>
        <v>0.84852144912701888</v>
      </c>
      <c r="Y588">
        <f t="shared" si="93"/>
        <v>7471.52</v>
      </c>
      <c r="Z588">
        <f t="shared" si="94"/>
        <v>1287.2000000000007</v>
      </c>
      <c r="AA588">
        <f t="shared" si="95"/>
        <v>0.17228087457438387</v>
      </c>
      <c r="AB588">
        <f t="shared" si="96"/>
        <v>0</v>
      </c>
      <c r="AC588" t="str">
        <f t="shared" si="97"/>
        <v>April</v>
      </c>
      <c r="AD588">
        <f t="shared" si="98"/>
        <v>2025</v>
      </c>
      <c r="AE588" t="str">
        <f t="shared" si="99"/>
        <v>CLEAN</v>
      </c>
    </row>
    <row r="589" spans="1:31">
      <c r="A589" t="s">
        <v>1890</v>
      </c>
      <c r="B589" s="3">
        <v>45861</v>
      </c>
      <c r="C589" s="3">
        <v>45869</v>
      </c>
      <c r="D589" t="s">
        <v>1891</v>
      </c>
      <c r="E589" t="s">
        <v>276</v>
      </c>
      <c r="F589" t="s">
        <v>105</v>
      </c>
      <c r="G589" t="s">
        <v>73</v>
      </c>
      <c r="H589" t="s">
        <v>82</v>
      </c>
      <c r="I589" t="s">
        <v>83</v>
      </c>
      <c r="J589" t="s">
        <v>84</v>
      </c>
      <c r="K589" t="s">
        <v>85</v>
      </c>
      <c r="L589" t="s">
        <v>1892</v>
      </c>
      <c r="M589" t="s">
        <v>60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112</v>
      </c>
      <c r="U589" t="s">
        <v>78</v>
      </c>
      <c r="V589" t="str">
        <f t="shared" si="90"/>
        <v/>
      </c>
      <c r="W589" t="str">
        <f t="shared" si="91"/>
        <v/>
      </c>
      <c r="X589">
        <f t="shared" si="92"/>
        <v>0.3698572418644821</v>
      </c>
      <c r="Y589">
        <f t="shared" si="93"/>
        <v>3615.7640000000001</v>
      </c>
      <c r="Z589">
        <f t="shared" si="94"/>
        <v>664.24400000000014</v>
      </c>
      <c r="AA589">
        <f t="shared" si="95"/>
        <v>0.18370778623826114</v>
      </c>
      <c r="AB589">
        <f t="shared" si="96"/>
        <v>8</v>
      </c>
      <c r="AC589" t="str">
        <f t="shared" si="97"/>
        <v>July</v>
      </c>
      <c r="AD589">
        <f t="shared" si="98"/>
        <v>2025</v>
      </c>
      <c r="AE589" t="str">
        <f t="shared" si="99"/>
        <v>WARNING</v>
      </c>
    </row>
    <row r="590" spans="1:31">
      <c r="A590" t="s">
        <v>1893</v>
      </c>
      <c r="B590" s="3">
        <v>45727</v>
      </c>
      <c r="C590" s="3">
        <v>45731</v>
      </c>
      <c r="D590" t="s">
        <v>1894</v>
      </c>
      <c r="E590" t="s">
        <v>138</v>
      </c>
      <c r="F590" t="s">
        <v>105</v>
      </c>
      <c r="G590" t="s">
        <v>64</v>
      </c>
      <c r="H590" t="s">
        <v>185</v>
      </c>
      <c r="I590" t="s">
        <v>186</v>
      </c>
      <c r="J590" t="s">
        <v>84</v>
      </c>
      <c r="K590" t="s">
        <v>85</v>
      </c>
      <c r="L590" t="s">
        <v>1895</v>
      </c>
      <c r="M590" t="s">
        <v>41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112</v>
      </c>
      <c r="U590" t="s">
        <v>78</v>
      </c>
      <c r="V590" t="str">
        <f t="shared" si="90"/>
        <v/>
      </c>
      <c r="W590" t="str">
        <f t="shared" si="91"/>
        <v/>
      </c>
      <c r="X590">
        <f t="shared" si="92"/>
        <v>-0.10880696539805437</v>
      </c>
      <c r="Y590">
        <f t="shared" si="93"/>
        <v>32013.791999999998</v>
      </c>
      <c r="Z590">
        <f t="shared" si="94"/>
        <v>11116.911999999997</v>
      </c>
      <c r="AA590">
        <f t="shared" si="95"/>
        <v>0.34725383359771933</v>
      </c>
      <c r="AB590">
        <f t="shared" si="96"/>
        <v>4</v>
      </c>
      <c r="AC590" t="str">
        <f t="shared" si="97"/>
        <v>March</v>
      </c>
      <c r="AD590">
        <f t="shared" si="98"/>
        <v>2025</v>
      </c>
      <c r="AE590" t="str">
        <f t="shared" si="99"/>
        <v>WARNING</v>
      </c>
    </row>
    <row r="591" spans="1:31">
      <c r="A591" t="s">
        <v>1896</v>
      </c>
      <c r="B591" s="3">
        <v>45632</v>
      </c>
      <c r="C591" s="3">
        <v>45638</v>
      </c>
      <c r="D591" t="s">
        <v>1897</v>
      </c>
      <c r="E591" t="s">
        <v>151</v>
      </c>
      <c r="F591" t="s">
        <v>100</v>
      </c>
      <c r="G591" t="s">
        <v>35</v>
      </c>
      <c r="H591" t="s">
        <v>146</v>
      </c>
      <c r="I591" t="s">
        <v>147</v>
      </c>
      <c r="J591" t="s">
        <v>84</v>
      </c>
      <c r="K591" t="s">
        <v>181</v>
      </c>
      <c r="L591" t="s">
        <v>1898</v>
      </c>
      <c r="M591" t="s">
        <v>60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42</v>
      </c>
      <c r="U591" t="s">
        <v>43</v>
      </c>
      <c r="V591" t="str">
        <f t="shared" si="90"/>
        <v/>
      </c>
      <c r="W591" t="str">
        <f t="shared" si="91"/>
        <v/>
      </c>
      <c r="X591">
        <f t="shared" si="92"/>
        <v>-1.0661353799231277</v>
      </c>
      <c r="Y591">
        <f t="shared" si="93"/>
        <v>1574.25</v>
      </c>
      <c r="Z591">
        <f t="shared" si="94"/>
        <v>248.13000000000011</v>
      </c>
      <c r="AA591">
        <f t="shared" si="95"/>
        <v>0.15761791329204389</v>
      </c>
      <c r="AB591">
        <f t="shared" si="96"/>
        <v>6</v>
      </c>
      <c r="AC591" t="str">
        <f t="shared" si="97"/>
        <v>December</v>
      </c>
      <c r="AD591">
        <f t="shared" si="98"/>
        <v>2024</v>
      </c>
      <c r="AE591" t="str">
        <f t="shared" si="99"/>
        <v>CLEAN</v>
      </c>
    </row>
    <row r="592" spans="1:31">
      <c r="A592" t="s">
        <v>1899</v>
      </c>
      <c r="B592" s="3">
        <v>45441</v>
      </c>
      <c r="C592" s="3">
        <v>45441</v>
      </c>
      <c r="D592" t="s">
        <v>1900</v>
      </c>
      <c r="E592" t="s">
        <v>138</v>
      </c>
      <c r="F592" t="s">
        <v>105</v>
      </c>
      <c r="G592" t="s">
        <v>35</v>
      </c>
      <c r="H592" t="s">
        <v>362</v>
      </c>
      <c r="I592" t="s">
        <v>363</v>
      </c>
      <c r="J592" t="s">
        <v>51</v>
      </c>
      <c r="K592" t="s">
        <v>76</v>
      </c>
      <c r="L592" t="s">
        <v>1901</v>
      </c>
      <c r="M592" t="s">
        <v>54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121</v>
      </c>
      <c r="U592" t="s">
        <v>78</v>
      </c>
      <c r="V592" t="str">
        <f t="shared" si="90"/>
        <v/>
      </c>
      <c r="W592" t="str">
        <f t="shared" si="91"/>
        <v/>
      </c>
      <c r="X592">
        <f t="shared" si="92"/>
        <v>-1.0661353799231277</v>
      </c>
      <c r="Y592">
        <f t="shared" si="93"/>
        <v>20582.099999999999</v>
      </c>
      <c r="Z592">
        <f t="shared" si="94"/>
        <v>4684.4499999999989</v>
      </c>
      <c r="AA592">
        <f t="shared" si="95"/>
        <v>0.22759825285077806</v>
      </c>
      <c r="AB592">
        <f t="shared" si="96"/>
        <v>0</v>
      </c>
      <c r="AC592" t="str">
        <f t="shared" si="97"/>
        <v>May</v>
      </c>
      <c r="AD592">
        <f t="shared" si="98"/>
        <v>2024</v>
      </c>
      <c r="AE592" t="str">
        <f t="shared" si="99"/>
        <v>WARNING</v>
      </c>
    </row>
    <row r="593" spans="1:31">
      <c r="A593" t="s">
        <v>1902</v>
      </c>
      <c r="B593" s="3">
        <v>45344</v>
      </c>
      <c r="C593" s="3">
        <v>45346</v>
      </c>
      <c r="D593" t="s">
        <v>1903</v>
      </c>
      <c r="E593" t="s">
        <v>142</v>
      </c>
      <c r="F593" t="s">
        <v>34</v>
      </c>
      <c r="G593" t="s">
        <v>64</v>
      </c>
      <c r="H593" t="s">
        <v>185</v>
      </c>
      <c r="I593" t="s">
        <v>186</v>
      </c>
      <c r="J593" t="s">
        <v>84</v>
      </c>
      <c r="K593" t="s">
        <v>90</v>
      </c>
      <c r="L593" t="s">
        <v>1904</v>
      </c>
      <c r="M593" t="s">
        <v>60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165</v>
      </c>
      <c r="U593" t="s">
        <v>113</v>
      </c>
      <c r="V593" t="str">
        <f t="shared" si="90"/>
        <v/>
      </c>
      <c r="W593" t="str">
        <f t="shared" si="91"/>
        <v/>
      </c>
      <c r="X593">
        <f t="shared" si="92"/>
        <v>-1.0661353799231277</v>
      </c>
      <c r="Y593">
        <f t="shared" si="93"/>
        <v>10635.24</v>
      </c>
      <c r="Z593">
        <f t="shared" si="94"/>
        <v>4603.3599999999997</v>
      </c>
      <c r="AA593">
        <f t="shared" si="95"/>
        <v>0.43284025560307055</v>
      </c>
      <c r="AB593">
        <f t="shared" si="96"/>
        <v>2</v>
      </c>
      <c r="AC593" t="str">
        <f t="shared" si="97"/>
        <v>February</v>
      </c>
      <c r="AD593">
        <f t="shared" si="98"/>
        <v>2024</v>
      </c>
      <c r="AE593" t="str">
        <f t="shared" si="99"/>
        <v>CLEAN</v>
      </c>
    </row>
    <row r="594" spans="1:31">
      <c r="A594" t="s">
        <v>1905</v>
      </c>
      <c r="B594" s="3">
        <v>45355</v>
      </c>
      <c r="C594" s="3">
        <v>45360</v>
      </c>
      <c r="D594" t="s">
        <v>1906</v>
      </c>
      <c r="E594" t="s">
        <v>46</v>
      </c>
      <c r="F594" t="s">
        <v>34</v>
      </c>
      <c r="G594" t="s">
        <v>48</v>
      </c>
      <c r="H594" t="s">
        <v>109</v>
      </c>
      <c r="I594" t="s">
        <v>110</v>
      </c>
      <c r="J594" t="s">
        <v>84</v>
      </c>
      <c r="K594" t="s">
        <v>85</v>
      </c>
      <c r="L594" t="s">
        <v>1907</v>
      </c>
      <c r="M594" t="s">
        <v>54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42</v>
      </c>
      <c r="U594" t="s">
        <v>43</v>
      </c>
      <c r="V594" t="str">
        <f t="shared" si="90"/>
        <v/>
      </c>
      <c r="W594" t="str">
        <f t="shared" si="91"/>
        <v/>
      </c>
      <c r="X594">
        <f t="shared" si="92"/>
        <v>0.3698572418644821</v>
      </c>
      <c r="Y594">
        <f t="shared" si="93"/>
        <v>29929.588</v>
      </c>
      <c r="Z594">
        <f t="shared" si="94"/>
        <v>7493.5580000000009</v>
      </c>
      <c r="AA594">
        <f t="shared" si="95"/>
        <v>0.25037290857461858</v>
      </c>
      <c r="AB594">
        <f t="shared" si="96"/>
        <v>5</v>
      </c>
      <c r="AC594" t="str">
        <f t="shared" si="97"/>
        <v>March</v>
      </c>
      <c r="AD594">
        <f t="shared" si="98"/>
        <v>2024</v>
      </c>
      <c r="AE594" t="str">
        <f t="shared" si="99"/>
        <v>CLEAN</v>
      </c>
    </row>
    <row r="595" spans="1:31">
      <c r="A595" t="s">
        <v>1908</v>
      </c>
      <c r="B595" s="3">
        <v>45927</v>
      </c>
      <c r="C595" s="3">
        <v>45929</v>
      </c>
      <c r="D595" t="s">
        <v>1697</v>
      </c>
      <c r="E595" t="s">
        <v>63</v>
      </c>
      <c r="F595" t="s">
        <v>105</v>
      </c>
      <c r="G595" t="s">
        <v>35</v>
      </c>
      <c r="H595" t="s">
        <v>146</v>
      </c>
      <c r="I595" t="s">
        <v>147</v>
      </c>
      <c r="J595" t="s">
        <v>51</v>
      </c>
      <c r="K595" t="s">
        <v>52</v>
      </c>
      <c r="L595" t="s">
        <v>1909</v>
      </c>
      <c r="M595" t="s">
        <v>41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42</v>
      </c>
      <c r="U595" t="s">
        <v>43</v>
      </c>
      <c r="V595" t="str">
        <f t="shared" si="90"/>
        <v/>
      </c>
      <c r="W595" t="str">
        <f t="shared" si="91"/>
        <v/>
      </c>
      <c r="X595">
        <f t="shared" si="92"/>
        <v>1.3271856563895552</v>
      </c>
      <c r="Y595">
        <f t="shared" si="93"/>
        <v>27675.7425</v>
      </c>
      <c r="Z595">
        <f t="shared" si="94"/>
        <v>12104.6625</v>
      </c>
      <c r="AA595">
        <f t="shared" si="95"/>
        <v>0.4373744444254748</v>
      </c>
      <c r="AB595">
        <f t="shared" si="96"/>
        <v>2</v>
      </c>
      <c r="AC595" t="str">
        <f t="shared" si="97"/>
        <v>September</v>
      </c>
      <c r="AD595">
        <f t="shared" si="98"/>
        <v>2025</v>
      </c>
      <c r="AE595" t="str">
        <f t="shared" si="99"/>
        <v>CLEAN</v>
      </c>
    </row>
    <row r="596" spans="1:31">
      <c r="A596" t="s">
        <v>1910</v>
      </c>
      <c r="B596" s="3">
        <v>45554</v>
      </c>
      <c r="C596" s="3">
        <v>45556</v>
      </c>
      <c r="D596" t="s">
        <v>1911</v>
      </c>
      <c r="E596" t="s">
        <v>33</v>
      </c>
      <c r="F596" t="s">
        <v>47</v>
      </c>
      <c r="G596" t="s">
        <v>48</v>
      </c>
      <c r="H596" t="s">
        <v>109</v>
      </c>
      <c r="I596" t="s">
        <v>110</v>
      </c>
      <c r="J596" t="s">
        <v>51</v>
      </c>
      <c r="K596" t="s">
        <v>76</v>
      </c>
      <c r="L596" t="s">
        <v>1912</v>
      </c>
      <c r="M596" t="s">
        <v>60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42</v>
      </c>
      <c r="U596" t="s">
        <v>43</v>
      </c>
      <c r="V596" t="str">
        <f t="shared" si="90"/>
        <v/>
      </c>
      <c r="W596" t="str">
        <f t="shared" si="91"/>
        <v/>
      </c>
      <c r="X596">
        <f t="shared" si="92"/>
        <v>-1.0661353799231277</v>
      </c>
      <c r="Y596">
        <f t="shared" si="93"/>
        <v>11945.28</v>
      </c>
      <c r="Z596">
        <f t="shared" si="94"/>
        <v>2244.9700000000012</v>
      </c>
      <c r="AA596">
        <f t="shared" si="95"/>
        <v>0.18793782983739193</v>
      </c>
      <c r="AB596">
        <f t="shared" si="96"/>
        <v>2</v>
      </c>
      <c r="AC596" t="str">
        <f t="shared" si="97"/>
        <v>September</v>
      </c>
      <c r="AD596">
        <f t="shared" si="98"/>
        <v>2024</v>
      </c>
      <c r="AE596" t="str">
        <f t="shared" si="99"/>
        <v>CLEAN</v>
      </c>
    </row>
    <row r="597" spans="1:31">
      <c r="A597" t="s">
        <v>1913</v>
      </c>
      <c r="B597" s="3">
        <v>45963</v>
      </c>
      <c r="C597" s="3">
        <v>45704</v>
      </c>
      <c r="D597" t="s">
        <v>1914</v>
      </c>
      <c r="E597" t="s">
        <v>46</v>
      </c>
      <c r="F597" t="s">
        <v>100</v>
      </c>
      <c r="G597" t="s">
        <v>35</v>
      </c>
      <c r="H597" t="s">
        <v>146</v>
      </c>
      <c r="I597" t="s">
        <v>147</v>
      </c>
      <c r="J597" t="s">
        <v>84</v>
      </c>
      <c r="K597" t="s">
        <v>181</v>
      </c>
      <c r="L597" t="s">
        <v>1915</v>
      </c>
      <c r="M597" t="s">
        <v>60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42</v>
      </c>
      <c r="U597" t="s">
        <v>43</v>
      </c>
      <c r="V597" t="str">
        <f t="shared" si="90"/>
        <v/>
      </c>
      <c r="W597" t="str">
        <f t="shared" si="91"/>
        <v>Invalid Shipping Record</v>
      </c>
      <c r="X597">
        <f t="shared" si="92"/>
        <v>-0.10880696539805437</v>
      </c>
      <c r="Y597">
        <f t="shared" si="93"/>
        <v>13144.031999999999</v>
      </c>
      <c r="Z597">
        <f t="shared" si="94"/>
        <v>3380.0319999999992</v>
      </c>
      <c r="AA597">
        <f t="shared" si="95"/>
        <v>0.25715336055176974</v>
      </c>
      <c r="AB597" t="e">
        <f t="shared" si="96"/>
        <v>#NUM!</v>
      </c>
      <c r="AC597" t="str">
        <f t="shared" si="97"/>
        <v>November</v>
      </c>
      <c r="AD597">
        <f t="shared" si="98"/>
        <v>2025</v>
      </c>
      <c r="AE597" t="str">
        <f t="shared" si="99"/>
        <v>INVALID</v>
      </c>
    </row>
    <row r="598" spans="1:31">
      <c r="A598" t="s">
        <v>1916</v>
      </c>
      <c r="B598" s="3">
        <v>45392</v>
      </c>
      <c r="C598" s="3">
        <v>45398</v>
      </c>
      <c r="D598" t="s">
        <v>1917</v>
      </c>
      <c r="E598" t="s">
        <v>99</v>
      </c>
      <c r="F598" t="s">
        <v>34</v>
      </c>
      <c r="G598" t="s">
        <v>64</v>
      </c>
      <c r="H598" t="s">
        <v>195</v>
      </c>
      <c r="I598" t="s">
        <v>196</v>
      </c>
      <c r="J598" t="s">
        <v>51</v>
      </c>
      <c r="K598" t="s">
        <v>76</v>
      </c>
      <c r="L598" t="s">
        <v>1918</v>
      </c>
      <c r="M598" t="s">
        <v>41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42</v>
      </c>
      <c r="U598" t="s">
        <v>43</v>
      </c>
      <c r="V598" t="str">
        <f t="shared" si="90"/>
        <v/>
      </c>
      <c r="W598" t="str">
        <f t="shared" si="91"/>
        <v/>
      </c>
      <c r="X598">
        <f t="shared" si="92"/>
        <v>1.3271856563895552</v>
      </c>
      <c r="Y598">
        <f t="shared" si="93"/>
        <v>18382.005000000005</v>
      </c>
      <c r="Z598">
        <f t="shared" si="94"/>
        <v>5273.8050000000039</v>
      </c>
      <c r="AA598">
        <f t="shared" si="95"/>
        <v>0.28690042245119629</v>
      </c>
      <c r="AB598">
        <f t="shared" si="96"/>
        <v>6</v>
      </c>
      <c r="AC598" t="str">
        <f t="shared" si="97"/>
        <v>April</v>
      </c>
      <c r="AD598">
        <f t="shared" si="98"/>
        <v>2024</v>
      </c>
      <c r="AE598" t="str">
        <f t="shared" si="99"/>
        <v>CLEAN</v>
      </c>
    </row>
    <row r="599" spans="1:31">
      <c r="A599" t="s">
        <v>1919</v>
      </c>
      <c r="B599" s="3">
        <v>45846</v>
      </c>
      <c r="C599" s="3">
        <v>45876</v>
      </c>
      <c r="D599" t="s">
        <v>1920</v>
      </c>
      <c r="E599" t="s">
        <v>99</v>
      </c>
      <c r="F599" t="s">
        <v>34</v>
      </c>
      <c r="G599" t="s">
        <v>64</v>
      </c>
      <c r="H599" t="s">
        <v>65</v>
      </c>
      <c r="I599" t="s">
        <v>66</v>
      </c>
      <c r="J599" t="s">
        <v>84</v>
      </c>
      <c r="K599" t="s">
        <v>90</v>
      </c>
      <c r="L599" t="s">
        <v>1921</v>
      </c>
      <c r="M599" t="s">
        <v>54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42</v>
      </c>
      <c r="U599" t="s">
        <v>43</v>
      </c>
      <c r="V599" t="str">
        <f t="shared" si="90"/>
        <v/>
      </c>
      <c r="W599" t="str">
        <f t="shared" si="91"/>
        <v/>
      </c>
      <c r="X599">
        <f t="shared" si="92"/>
        <v>1.3271856563895552</v>
      </c>
      <c r="Y599">
        <f t="shared" si="93"/>
        <v>1855.44</v>
      </c>
      <c r="Z599">
        <f t="shared" si="94"/>
        <v>592.70000000000005</v>
      </c>
      <c r="AA599">
        <f t="shared" si="95"/>
        <v>0.3194390548872505</v>
      </c>
      <c r="AB599">
        <f t="shared" si="96"/>
        <v>30</v>
      </c>
      <c r="AC599" t="str">
        <f t="shared" si="97"/>
        <v>July</v>
      </c>
      <c r="AD599">
        <f t="shared" si="98"/>
        <v>2025</v>
      </c>
      <c r="AE599" t="str">
        <f t="shared" si="99"/>
        <v>CLEAN</v>
      </c>
    </row>
    <row r="600" spans="1:31">
      <c r="A600" t="s">
        <v>1922</v>
      </c>
      <c r="B600" s="3">
        <v>45521</v>
      </c>
      <c r="C600" s="3">
        <v>45528</v>
      </c>
      <c r="D600" t="s">
        <v>1923</v>
      </c>
      <c r="E600" t="s">
        <v>72</v>
      </c>
      <c r="F600" t="s">
        <v>100</v>
      </c>
      <c r="G600" t="s">
        <v>48</v>
      </c>
      <c r="H600" t="s">
        <v>109</v>
      </c>
      <c r="I600" t="s">
        <v>110</v>
      </c>
      <c r="J600" t="s">
        <v>84</v>
      </c>
      <c r="K600" t="s">
        <v>90</v>
      </c>
      <c r="L600" t="s">
        <v>1924</v>
      </c>
      <c r="M600" t="s">
        <v>54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42</v>
      </c>
      <c r="U600" t="s">
        <v>43</v>
      </c>
      <c r="V600" t="str">
        <f t="shared" si="90"/>
        <v/>
      </c>
      <c r="W600" t="str">
        <f t="shared" si="91"/>
        <v/>
      </c>
      <c r="X600">
        <f t="shared" si="92"/>
        <v>1.3271856563895552</v>
      </c>
      <c r="Y600">
        <f t="shared" si="93"/>
        <v>3354.0524999999998</v>
      </c>
      <c r="Z600">
        <f t="shared" si="94"/>
        <v>681.38249999999971</v>
      </c>
      <c r="AA600">
        <f t="shared" si="95"/>
        <v>0.20315200790685289</v>
      </c>
      <c r="AB600">
        <f t="shared" si="96"/>
        <v>7</v>
      </c>
      <c r="AC600" t="str">
        <f t="shared" si="97"/>
        <v>August</v>
      </c>
      <c r="AD600">
        <f t="shared" si="98"/>
        <v>2024</v>
      </c>
      <c r="AE600" t="str">
        <f t="shared" si="99"/>
        <v>CLEAN</v>
      </c>
    </row>
    <row r="601" spans="1:31">
      <c r="A601" t="s">
        <v>1925</v>
      </c>
      <c r="B601" s="3">
        <v>45523</v>
      </c>
      <c r="C601" s="3">
        <v>45525</v>
      </c>
      <c r="D601" t="s">
        <v>1926</v>
      </c>
      <c r="E601" t="s">
        <v>63</v>
      </c>
      <c r="F601" t="s">
        <v>34</v>
      </c>
      <c r="G601" t="s">
        <v>35</v>
      </c>
      <c r="H601" t="s">
        <v>132</v>
      </c>
      <c r="I601" t="s">
        <v>133</v>
      </c>
      <c r="J601" t="s">
        <v>84</v>
      </c>
      <c r="K601" t="s">
        <v>181</v>
      </c>
      <c r="L601" t="s">
        <v>1927</v>
      </c>
      <c r="M601" t="s">
        <v>60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42</v>
      </c>
      <c r="U601" t="s">
        <v>43</v>
      </c>
      <c r="V601" t="str">
        <f t="shared" si="90"/>
        <v/>
      </c>
      <c r="W601" t="str">
        <f t="shared" si="91"/>
        <v/>
      </c>
      <c r="X601">
        <f t="shared" si="92"/>
        <v>1.3271856563895552</v>
      </c>
      <c r="Y601">
        <f t="shared" si="93"/>
        <v>2482.9650000000001</v>
      </c>
      <c r="Z601">
        <f t="shared" si="94"/>
        <v>861.24500000000012</v>
      </c>
      <c r="AA601">
        <f t="shared" si="95"/>
        <v>0.34686151435884116</v>
      </c>
      <c r="AB601">
        <f t="shared" si="96"/>
        <v>2</v>
      </c>
      <c r="AC601" t="str">
        <f t="shared" si="97"/>
        <v>August</v>
      </c>
      <c r="AD601">
        <f t="shared" si="98"/>
        <v>2024</v>
      </c>
      <c r="AE601" t="str">
        <f t="shared" si="99"/>
        <v>CLEAN</v>
      </c>
    </row>
    <row r="602" spans="1:31">
      <c r="A602" t="s">
        <v>1928</v>
      </c>
      <c r="B602" s="3">
        <v>45721</v>
      </c>
      <c r="C602" s="3">
        <v>45728</v>
      </c>
      <c r="D602" t="s">
        <v>1929</v>
      </c>
      <c r="E602" t="s">
        <v>72</v>
      </c>
      <c r="F602" t="s">
        <v>100</v>
      </c>
      <c r="G602" t="s">
        <v>73</v>
      </c>
      <c r="H602" t="s">
        <v>82</v>
      </c>
      <c r="I602" t="s">
        <v>83</v>
      </c>
      <c r="J602" t="s">
        <v>38</v>
      </c>
      <c r="K602" t="s">
        <v>134</v>
      </c>
      <c r="L602" t="s">
        <v>1930</v>
      </c>
      <c r="M602" t="s">
        <v>54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42</v>
      </c>
      <c r="U602" t="s">
        <v>43</v>
      </c>
      <c r="V602" t="str">
        <f t="shared" si="90"/>
        <v/>
      </c>
      <c r="W602" t="str">
        <f t="shared" si="91"/>
        <v/>
      </c>
      <c r="X602">
        <f t="shared" si="92"/>
        <v>-1.0661353799231277</v>
      </c>
      <c r="Y602">
        <f t="shared" si="93"/>
        <v>11048.25</v>
      </c>
      <c r="Z602">
        <f t="shared" si="94"/>
        <v>1985.5300000000007</v>
      </c>
      <c r="AA602">
        <f t="shared" si="95"/>
        <v>0.17971443441268986</v>
      </c>
      <c r="AB602">
        <f t="shared" si="96"/>
        <v>7</v>
      </c>
      <c r="AC602" t="str">
        <f t="shared" si="97"/>
        <v>March</v>
      </c>
      <c r="AD602">
        <f t="shared" si="98"/>
        <v>2025</v>
      </c>
      <c r="AE602" t="str">
        <f t="shared" si="99"/>
        <v>CLEAN</v>
      </c>
    </row>
    <row r="603" spans="1:31">
      <c r="A603" t="s">
        <v>1931</v>
      </c>
      <c r="B603" s="3">
        <v>45317</v>
      </c>
      <c r="C603" s="3">
        <v>45322</v>
      </c>
      <c r="D603" t="s">
        <v>1932</v>
      </c>
      <c r="E603" t="s">
        <v>72</v>
      </c>
      <c r="F603" t="s">
        <v>105</v>
      </c>
      <c r="G603" t="s">
        <v>48</v>
      </c>
      <c r="H603" t="s">
        <v>109</v>
      </c>
      <c r="I603" t="s">
        <v>110</v>
      </c>
      <c r="J603" t="s">
        <v>38</v>
      </c>
      <c r="K603" t="s">
        <v>39</v>
      </c>
      <c r="L603" t="s">
        <v>1933</v>
      </c>
      <c r="M603" t="s">
        <v>41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42</v>
      </c>
      <c r="U603" t="s">
        <v>43</v>
      </c>
      <c r="V603" t="str">
        <f t="shared" si="90"/>
        <v/>
      </c>
      <c r="W603" t="str">
        <f t="shared" si="91"/>
        <v/>
      </c>
      <c r="X603">
        <f t="shared" si="92"/>
        <v>0.84852144912701888</v>
      </c>
      <c r="Y603">
        <f t="shared" si="93"/>
        <v>6460.12</v>
      </c>
      <c r="Z603">
        <f t="shared" si="94"/>
        <v>2856.0899999999997</v>
      </c>
      <c r="AA603">
        <f t="shared" si="95"/>
        <v>0.44211098245853014</v>
      </c>
      <c r="AB603">
        <f t="shared" si="96"/>
        <v>5</v>
      </c>
      <c r="AC603" t="str">
        <f t="shared" si="97"/>
        <v>January</v>
      </c>
      <c r="AD603">
        <f t="shared" si="98"/>
        <v>2024</v>
      </c>
      <c r="AE603" t="str">
        <f t="shared" si="99"/>
        <v>CLEAN</v>
      </c>
    </row>
    <row r="604" spans="1:31">
      <c r="A604" t="s">
        <v>1934</v>
      </c>
      <c r="B604" s="3">
        <v>45588</v>
      </c>
      <c r="C604" s="3">
        <v>45595</v>
      </c>
      <c r="D604" t="s">
        <v>1935</v>
      </c>
      <c r="E604" t="s">
        <v>138</v>
      </c>
      <c r="F604" t="s">
        <v>34</v>
      </c>
      <c r="G604" t="s">
        <v>48</v>
      </c>
      <c r="H604" t="s">
        <v>240</v>
      </c>
      <c r="I604" t="s">
        <v>241</v>
      </c>
      <c r="J604" t="s">
        <v>84</v>
      </c>
      <c r="K604" t="s">
        <v>90</v>
      </c>
      <c r="L604" t="s">
        <v>1936</v>
      </c>
      <c r="M604" t="s">
        <v>41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42</v>
      </c>
      <c r="U604" t="s">
        <v>43</v>
      </c>
      <c r="V604" t="str">
        <f t="shared" si="90"/>
        <v/>
      </c>
      <c r="W604" t="str">
        <f t="shared" si="91"/>
        <v/>
      </c>
      <c r="X604">
        <f t="shared" si="92"/>
        <v>0.3698572418644821</v>
      </c>
      <c r="Y604">
        <f t="shared" si="93"/>
        <v>26192.223000000002</v>
      </c>
      <c r="Z604">
        <f t="shared" si="94"/>
        <v>5396.6730000000025</v>
      </c>
      <c r="AA604">
        <f t="shared" si="95"/>
        <v>0.20604104508426041</v>
      </c>
      <c r="AB604">
        <f t="shared" si="96"/>
        <v>7</v>
      </c>
      <c r="AC604" t="str">
        <f t="shared" si="97"/>
        <v>October</v>
      </c>
      <c r="AD604">
        <f t="shared" si="98"/>
        <v>2024</v>
      </c>
      <c r="AE604" t="str">
        <f t="shared" si="99"/>
        <v>CLEAN</v>
      </c>
    </row>
    <row r="605" spans="1:31">
      <c r="A605" t="s">
        <v>1937</v>
      </c>
      <c r="B605" s="3">
        <v>45717</v>
      </c>
      <c r="C605" s="3">
        <v>45668</v>
      </c>
      <c r="D605" t="s">
        <v>346</v>
      </c>
      <c r="E605" t="s">
        <v>81</v>
      </c>
      <c r="F605" t="s">
        <v>100</v>
      </c>
      <c r="G605" t="s">
        <v>48</v>
      </c>
      <c r="H605" t="s">
        <v>155</v>
      </c>
      <c r="I605" t="s">
        <v>156</v>
      </c>
      <c r="J605" t="s">
        <v>84</v>
      </c>
      <c r="K605" t="s">
        <v>85</v>
      </c>
      <c r="L605" t="s">
        <v>1938</v>
      </c>
      <c r="M605" t="s">
        <v>60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121</v>
      </c>
      <c r="U605" t="s">
        <v>78</v>
      </c>
      <c r="V605" t="str">
        <f t="shared" si="90"/>
        <v/>
      </c>
      <c r="W605" t="str">
        <f t="shared" si="91"/>
        <v>Invalid Shipping Record</v>
      </c>
      <c r="X605">
        <f t="shared" si="92"/>
        <v>-0.58747117266059101</v>
      </c>
      <c r="Y605">
        <f t="shared" si="93"/>
        <v>19564.603999999999</v>
      </c>
      <c r="Z605">
        <f t="shared" si="94"/>
        <v>8410.0139999999992</v>
      </c>
      <c r="AA605">
        <f t="shared" si="95"/>
        <v>0.42985863654587642</v>
      </c>
      <c r="AB605" t="e">
        <f t="shared" si="96"/>
        <v>#NUM!</v>
      </c>
      <c r="AC605" t="str">
        <f t="shared" si="97"/>
        <v>March</v>
      </c>
      <c r="AD605">
        <f t="shared" si="98"/>
        <v>2025</v>
      </c>
      <c r="AE605" t="str">
        <f t="shared" si="99"/>
        <v>INVALID</v>
      </c>
    </row>
    <row r="606" spans="1:31">
      <c r="A606" t="s">
        <v>1939</v>
      </c>
      <c r="B606" s="3">
        <v>45693</v>
      </c>
      <c r="C606" s="3">
        <v>45810</v>
      </c>
      <c r="D606" t="s">
        <v>1940</v>
      </c>
      <c r="E606" t="s">
        <v>72</v>
      </c>
      <c r="F606" t="s">
        <v>34</v>
      </c>
      <c r="G606" t="s">
        <v>73</v>
      </c>
      <c r="H606" t="s">
        <v>82</v>
      </c>
      <c r="I606" t="s">
        <v>83</v>
      </c>
      <c r="J606" t="s">
        <v>38</v>
      </c>
      <c r="K606" t="s">
        <v>163</v>
      </c>
      <c r="L606" t="s">
        <v>1941</v>
      </c>
      <c r="M606" t="s">
        <v>54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42</v>
      </c>
      <c r="U606" t="s">
        <v>43</v>
      </c>
      <c r="V606" t="str">
        <f t="shared" si="90"/>
        <v/>
      </c>
      <c r="W606" t="str">
        <f t="shared" si="91"/>
        <v/>
      </c>
      <c r="X606">
        <f t="shared" si="92"/>
        <v>-1.0661353799231277</v>
      </c>
      <c r="Y606">
        <f t="shared" si="93"/>
        <v>3228.8999999999996</v>
      </c>
      <c r="Z606">
        <f t="shared" si="94"/>
        <v>1375.6699999999996</v>
      </c>
      <c r="AA606">
        <f t="shared" si="95"/>
        <v>0.42604911889497965</v>
      </c>
      <c r="AB606">
        <f t="shared" si="96"/>
        <v>117</v>
      </c>
      <c r="AC606" t="str">
        <f t="shared" si="97"/>
        <v>February</v>
      </c>
      <c r="AD606">
        <f t="shared" si="98"/>
        <v>2025</v>
      </c>
      <c r="AE606" t="str">
        <f t="shared" si="99"/>
        <v>CLEAN</v>
      </c>
    </row>
    <row r="607" spans="1:31">
      <c r="A607" t="s">
        <v>1942</v>
      </c>
      <c r="B607" s="3">
        <v>45847</v>
      </c>
      <c r="C607" s="3">
        <v>45851</v>
      </c>
      <c r="D607" t="s">
        <v>1943</v>
      </c>
      <c r="E607" t="s">
        <v>276</v>
      </c>
      <c r="F607" t="s">
        <v>100</v>
      </c>
      <c r="G607" t="s">
        <v>73</v>
      </c>
      <c r="H607" t="s">
        <v>200</v>
      </c>
      <c r="I607" t="s">
        <v>201</v>
      </c>
      <c r="J607" t="s">
        <v>51</v>
      </c>
      <c r="K607" t="s">
        <v>67</v>
      </c>
      <c r="L607" t="s">
        <v>1944</v>
      </c>
      <c r="M607" t="s">
        <v>41</v>
      </c>
      <c r="N607">
        <v>5</v>
      </c>
      <c r="O607">
        <v>1680.01</v>
      </c>
      <c r="P607" t="s">
        <v>787</v>
      </c>
      <c r="Q607">
        <v>7560.04</v>
      </c>
      <c r="R607">
        <v>6448.05</v>
      </c>
      <c r="S607">
        <v>1111.99</v>
      </c>
      <c r="T607" t="s">
        <v>42</v>
      </c>
      <c r="U607" t="s">
        <v>78</v>
      </c>
      <c r="V607" t="str">
        <f t="shared" si="90"/>
        <v>Invalid Discount</v>
      </c>
      <c r="W607" t="str">
        <f t="shared" si="91"/>
        <v/>
      </c>
      <c r="X607">
        <f t="shared" si="92"/>
        <v>7.0711561435399943</v>
      </c>
      <c r="Y607">
        <f t="shared" si="93"/>
        <v>1260.0075000000002</v>
      </c>
      <c r="Z607">
        <f t="shared" si="94"/>
        <v>-5188.0424999999996</v>
      </c>
      <c r="AA607">
        <f t="shared" si="95"/>
        <v>-4.1174695388717915</v>
      </c>
      <c r="AB607">
        <f t="shared" si="96"/>
        <v>4</v>
      </c>
      <c r="AC607" t="str">
        <f t="shared" si="97"/>
        <v>July</v>
      </c>
      <c r="AD607">
        <f t="shared" si="98"/>
        <v>2025</v>
      </c>
      <c r="AE607" t="str">
        <f t="shared" si="99"/>
        <v>INVALID</v>
      </c>
    </row>
    <row r="608" spans="1:31">
      <c r="A608" t="s">
        <v>1945</v>
      </c>
      <c r="B608" s="3">
        <v>45710</v>
      </c>
      <c r="C608" s="3">
        <v>45716</v>
      </c>
      <c r="D608" t="s">
        <v>1946</v>
      </c>
      <c r="E608" t="s">
        <v>128</v>
      </c>
      <c r="F608" t="s">
        <v>105</v>
      </c>
      <c r="G608" t="s">
        <v>73</v>
      </c>
      <c r="H608" t="s">
        <v>82</v>
      </c>
      <c r="I608" t="s">
        <v>83</v>
      </c>
      <c r="J608" t="s">
        <v>84</v>
      </c>
      <c r="K608" t="s">
        <v>90</v>
      </c>
      <c r="L608" t="s">
        <v>1947</v>
      </c>
      <c r="M608" t="s">
        <v>54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42</v>
      </c>
      <c r="U608" t="s">
        <v>43</v>
      </c>
      <c r="V608" t="str">
        <f t="shared" si="90"/>
        <v/>
      </c>
      <c r="W608" t="str">
        <f t="shared" si="91"/>
        <v/>
      </c>
      <c r="X608">
        <f t="shared" si="92"/>
        <v>1.3271856563895552</v>
      </c>
      <c r="Y608">
        <f t="shared" si="93"/>
        <v>8754.3225000000002</v>
      </c>
      <c r="Z608">
        <f t="shared" si="94"/>
        <v>2515.4225000000006</v>
      </c>
      <c r="AA608">
        <f t="shared" si="95"/>
        <v>0.28733491369549163</v>
      </c>
      <c r="AB608">
        <f t="shared" si="96"/>
        <v>6</v>
      </c>
      <c r="AC608" t="str">
        <f t="shared" si="97"/>
        <v>February</v>
      </c>
      <c r="AD608">
        <f t="shared" si="98"/>
        <v>2025</v>
      </c>
      <c r="AE608" t="str">
        <f t="shared" si="99"/>
        <v>CLEAN</v>
      </c>
    </row>
    <row r="609" spans="1:31">
      <c r="A609" t="s">
        <v>1948</v>
      </c>
      <c r="B609" s="3">
        <v>45704</v>
      </c>
      <c r="C609" s="3">
        <v>45710</v>
      </c>
      <c r="D609" t="s">
        <v>1949</v>
      </c>
      <c r="E609" t="s">
        <v>142</v>
      </c>
      <c r="F609" t="s">
        <v>105</v>
      </c>
      <c r="G609" t="s">
        <v>48</v>
      </c>
      <c r="H609" t="s">
        <v>155</v>
      </c>
      <c r="I609" t="s">
        <v>156</v>
      </c>
      <c r="J609" t="s">
        <v>38</v>
      </c>
      <c r="K609" t="s">
        <v>134</v>
      </c>
      <c r="L609" t="s">
        <v>1950</v>
      </c>
      <c r="M609" t="s">
        <v>54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42</v>
      </c>
      <c r="U609" t="s">
        <v>43</v>
      </c>
      <c r="V609" t="str">
        <f t="shared" si="90"/>
        <v/>
      </c>
      <c r="W609" t="str">
        <f t="shared" si="91"/>
        <v/>
      </c>
      <c r="X609">
        <f t="shared" si="92"/>
        <v>0.3698572418644821</v>
      </c>
      <c r="Y609">
        <f t="shared" si="93"/>
        <v>4057.3474999999994</v>
      </c>
      <c r="Z609">
        <f t="shared" si="94"/>
        <v>1195.3174999999992</v>
      </c>
      <c r="AA609">
        <f t="shared" si="95"/>
        <v>0.29460565061286947</v>
      </c>
      <c r="AB609">
        <f t="shared" si="96"/>
        <v>6</v>
      </c>
      <c r="AC609" t="str">
        <f t="shared" si="97"/>
        <v>February</v>
      </c>
      <c r="AD609">
        <f t="shared" si="98"/>
        <v>2025</v>
      </c>
      <c r="AE609" t="str">
        <f t="shared" si="99"/>
        <v>CLEAN</v>
      </c>
    </row>
    <row r="610" spans="1:31">
      <c r="A610" t="s">
        <v>1951</v>
      </c>
      <c r="B610" s="3">
        <v>45464</v>
      </c>
      <c r="C610" s="3">
        <v>45466</v>
      </c>
      <c r="D610" t="s">
        <v>1726</v>
      </c>
      <c r="E610" t="s">
        <v>33</v>
      </c>
      <c r="F610" t="s">
        <v>105</v>
      </c>
      <c r="G610" t="s">
        <v>73</v>
      </c>
      <c r="H610" t="s">
        <v>200</v>
      </c>
      <c r="I610" t="s">
        <v>201</v>
      </c>
      <c r="J610" t="s">
        <v>51</v>
      </c>
      <c r="K610" t="s">
        <v>67</v>
      </c>
      <c r="L610" t="s">
        <v>1952</v>
      </c>
      <c r="M610" t="s">
        <v>41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42</v>
      </c>
      <c r="U610" t="s">
        <v>43</v>
      </c>
      <c r="V610" t="str">
        <f t="shared" si="90"/>
        <v/>
      </c>
      <c r="W610" t="str">
        <f t="shared" si="91"/>
        <v/>
      </c>
      <c r="X610">
        <f t="shared" si="92"/>
        <v>-1.0661353799231277</v>
      </c>
      <c r="Y610">
        <f t="shared" si="93"/>
        <v>19383.75</v>
      </c>
      <c r="Z610">
        <f t="shared" si="94"/>
        <v>7716.32</v>
      </c>
      <c r="AA610">
        <f t="shared" si="95"/>
        <v>0.39808189849745274</v>
      </c>
      <c r="AB610">
        <f t="shared" si="96"/>
        <v>2</v>
      </c>
      <c r="AC610" t="str">
        <f t="shared" si="97"/>
        <v>June</v>
      </c>
      <c r="AD610">
        <f t="shared" si="98"/>
        <v>2024</v>
      </c>
      <c r="AE610" t="str">
        <f t="shared" si="99"/>
        <v>CLEAN</v>
      </c>
    </row>
    <row r="611" spans="1:31">
      <c r="A611" t="s">
        <v>1953</v>
      </c>
      <c r="B611" s="3">
        <v>45665</v>
      </c>
      <c r="C611" s="3">
        <v>45669</v>
      </c>
      <c r="D611" t="s">
        <v>1954</v>
      </c>
      <c r="E611" t="s">
        <v>142</v>
      </c>
      <c r="F611" t="s">
        <v>105</v>
      </c>
      <c r="G611" t="s">
        <v>64</v>
      </c>
      <c r="H611" t="s">
        <v>185</v>
      </c>
      <c r="I611" t="s">
        <v>186</v>
      </c>
      <c r="J611" t="s">
        <v>51</v>
      </c>
      <c r="K611" t="s">
        <v>76</v>
      </c>
      <c r="L611" t="s">
        <v>1955</v>
      </c>
      <c r="M611" t="s">
        <v>69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42</v>
      </c>
      <c r="U611" t="s">
        <v>43</v>
      </c>
      <c r="V611" t="str">
        <f t="shared" si="90"/>
        <v/>
      </c>
      <c r="W611" t="str">
        <f t="shared" si="91"/>
        <v/>
      </c>
      <c r="X611">
        <f t="shared" si="92"/>
        <v>-1.0661353799231277</v>
      </c>
      <c r="Y611">
        <f t="shared" si="93"/>
        <v>30362.359999999997</v>
      </c>
      <c r="Z611">
        <f t="shared" si="94"/>
        <v>5296.9599999999955</v>
      </c>
      <c r="AA611">
        <f t="shared" si="95"/>
        <v>0.17445811195177174</v>
      </c>
      <c r="AB611">
        <f t="shared" si="96"/>
        <v>4</v>
      </c>
      <c r="AC611" t="str">
        <f t="shared" si="97"/>
        <v>January</v>
      </c>
      <c r="AD611">
        <f t="shared" si="98"/>
        <v>2025</v>
      </c>
      <c r="AE611" t="str">
        <f t="shared" si="99"/>
        <v>CLEAN</v>
      </c>
    </row>
    <row r="612" spans="1:31">
      <c r="A612" t="s">
        <v>1956</v>
      </c>
      <c r="B612" s="3">
        <v>45432</v>
      </c>
      <c r="C612" s="3">
        <v>45432</v>
      </c>
      <c r="D612" t="s">
        <v>1395</v>
      </c>
      <c r="E612" t="s">
        <v>33</v>
      </c>
      <c r="F612" t="s">
        <v>105</v>
      </c>
      <c r="G612" t="s">
        <v>73</v>
      </c>
      <c r="H612" t="s">
        <v>82</v>
      </c>
      <c r="I612" t="s">
        <v>83</v>
      </c>
      <c r="J612" t="s">
        <v>51</v>
      </c>
      <c r="K612" t="s">
        <v>76</v>
      </c>
      <c r="L612" t="s">
        <v>1957</v>
      </c>
      <c r="M612" t="s">
        <v>69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42</v>
      </c>
      <c r="U612" t="s">
        <v>43</v>
      </c>
      <c r="V612" t="str">
        <f t="shared" si="90"/>
        <v/>
      </c>
      <c r="W612" t="str">
        <f t="shared" si="91"/>
        <v/>
      </c>
      <c r="X612">
        <f t="shared" si="92"/>
        <v>-0.10880696539805437</v>
      </c>
      <c r="Y612">
        <f t="shared" si="93"/>
        <v>2729.6549999999997</v>
      </c>
      <c r="Z612">
        <f t="shared" si="94"/>
        <v>1014.2949999999998</v>
      </c>
      <c r="AA612">
        <f t="shared" si="95"/>
        <v>0.37158358840219735</v>
      </c>
      <c r="AB612">
        <f t="shared" si="96"/>
        <v>0</v>
      </c>
      <c r="AC612" t="str">
        <f t="shared" si="97"/>
        <v>May</v>
      </c>
      <c r="AD612">
        <f t="shared" si="98"/>
        <v>2024</v>
      </c>
      <c r="AE612" t="str">
        <f t="shared" si="99"/>
        <v>CLEAN</v>
      </c>
    </row>
    <row r="613" spans="1:31">
      <c r="A613" t="s">
        <v>1958</v>
      </c>
      <c r="B613" s="3">
        <v>45846</v>
      </c>
      <c r="C613" s="3">
        <v>45853</v>
      </c>
      <c r="D613" t="s">
        <v>1959</v>
      </c>
      <c r="E613" t="s">
        <v>72</v>
      </c>
      <c r="F613" t="s">
        <v>47</v>
      </c>
      <c r="G613" t="s">
        <v>35</v>
      </c>
      <c r="H613" t="s">
        <v>36</v>
      </c>
      <c r="I613" t="s">
        <v>37</v>
      </c>
      <c r="J613" t="s">
        <v>38</v>
      </c>
      <c r="K613" t="s">
        <v>163</v>
      </c>
      <c r="L613" t="s">
        <v>1960</v>
      </c>
      <c r="M613" t="s">
        <v>54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42</v>
      </c>
      <c r="U613" t="s">
        <v>43</v>
      </c>
      <c r="V613" t="str">
        <f t="shared" si="90"/>
        <v/>
      </c>
      <c r="W613" t="str">
        <f t="shared" si="91"/>
        <v/>
      </c>
      <c r="X613">
        <f t="shared" si="92"/>
        <v>-0.10880696539805437</v>
      </c>
      <c r="Y613">
        <f t="shared" si="93"/>
        <v>4718.0159999999996</v>
      </c>
      <c r="Z613">
        <f t="shared" si="94"/>
        <v>809.7859999999996</v>
      </c>
      <c r="AA613">
        <f t="shared" si="95"/>
        <v>0.17163697622051297</v>
      </c>
      <c r="AB613">
        <f t="shared" si="96"/>
        <v>7</v>
      </c>
      <c r="AC613" t="str">
        <f t="shared" si="97"/>
        <v>July</v>
      </c>
      <c r="AD613">
        <f t="shared" si="98"/>
        <v>2025</v>
      </c>
      <c r="AE613" t="str">
        <f t="shared" si="99"/>
        <v>CLEAN</v>
      </c>
    </row>
    <row r="614" spans="1:31">
      <c r="A614" t="s">
        <v>1961</v>
      </c>
      <c r="B614" s="3">
        <v>45753</v>
      </c>
      <c r="C614" s="3">
        <v>45760</v>
      </c>
      <c r="D614" t="s">
        <v>1962</v>
      </c>
      <c r="E614" t="s">
        <v>99</v>
      </c>
      <c r="F614" t="s">
        <v>34</v>
      </c>
      <c r="G614" t="s">
        <v>215</v>
      </c>
      <c r="H614" t="s">
        <v>49</v>
      </c>
      <c r="I614" t="s">
        <v>50</v>
      </c>
      <c r="J614" t="s">
        <v>84</v>
      </c>
      <c r="K614" t="s">
        <v>181</v>
      </c>
      <c r="L614" t="s">
        <v>1963</v>
      </c>
      <c r="M614" t="s">
        <v>69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42</v>
      </c>
      <c r="U614" t="s">
        <v>43</v>
      </c>
      <c r="V614" t="str">
        <f t="shared" si="90"/>
        <v/>
      </c>
      <c r="W614" t="str">
        <f t="shared" si="91"/>
        <v/>
      </c>
      <c r="X614">
        <f t="shared" si="92"/>
        <v>-1.0661353799231277</v>
      </c>
      <c r="Y614">
        <f t="shared" si="93"/>
        <v>3844.01</v>
      </c>
      <c r="Z614">
        <f t="shared" si="94"/>
        <v>1648.2200000000003</v>
      </c>
      <c r="AA614">
        <f t="shared" si="95"/>
        <v>0.42877619985379856</v>
      </c>
      <c r="AB614">
        <f t="shared" si="96"/>
        <v>7</v>
      </c>
      <c r="AC614" t="str">
        <f t="shared" si="97"/>
        <v>April</v>
      </c>
      <c r="AD614">
        <f t="shared" si="98"/>
        <v>2025</v>
      </c>
      <c r="AE614" t="str">
        <f t="shared" si="99"/>
        <v>CLEAN</v>
      </c>
    </row>
    <row r="615" spans="1:31">
      <c r="A615" t="s">
        <v>1964</v>
      </c>
      <c r="B615" s="3">
        <v>45570</v>
      </c>
      <c r="C615" s="3">
        <v>45575</v>
      </c>
      <c r="D615" t="s">
        <v>1965</v>
      </c>
      <c r="E615" t="s">
        <v>172</v>
      </c>
      <c r="F615" t="s">
        <v>105</v>
      </c>
      <c r="G615" t="s">
        <v>73</v>
      </c>
      <c r="H615" t="s">
        <v>190</v>
      </c>
      <c r="I615" t="s">
        <v>191</v>
      </c>
      <c r="J615" t="s">
        <v>84</v>
      </c>
      <c r="K615" t="s">
        <v>286</v>
      </c>
      <c r="L615" t="s">
        <v>1966</v>
      </c>
      <c r="M615" t="s">
        <v>54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42</v>
      </c>
      <c r="U615" t="s">
        <v>43</v>
      </c>
      <c r="V615" t="str">
        <f t="shared" si="90"/>
        <v/>
      </c>
      <c r="W615" t="str">
        <f t="shared" si="91"/>
        <v/>
      </c>
      <c r="X615">
        <f t="shared" si="92"/>
        <v>1.3271856563895552</v>
      </c>
      <c r="Y615">
        <f t="shared" si="93"/>
        <v>22688.775000000001</v>
      </c>
      <c r="Z615">
        <f t="shared" si="94"/>
        <v>8016.3650000000016</v>
      </c>
      <c r="AA615">
        <f t="shared" si="95"/>
        <v>0.35331854628555315</v>
      </c>
      <c r="AB615">
        <f t="shared" si="96"/>
        <v>5</v>
      </c>
      <c r="AC615" t="str">
        <f t="shared" si="97"/>
        <v>October</v>
      </c>
      <c r="AD615">
        <f t="shared" si="98"/>
        <v>2024</v>
      </c>
      <c r="AE615" t="str">
        <f t="shared" si="99"/>
        <v>CLEAN</v>
      </c>
    </row>
    <row r="616" spans="1:31">
      <c r="A616" t="s">
        <v>1967</v>
      </c>
      <c r="B616" s="3">
        <v>45333</v>
      </c>
      <c r="C616" s="3">
        <v>45341</v>
      </c>
      <c r="D616" t="s">
        <v>1968</v>
      </c>
      <c r="E616" t="s">
        <v>72</v>
      </c>
      <c r="F616" t="s">
        <v>105</v>
      </c>
      <c r="G616" t="s">
        <v>64</v>
      </c>
      <c r="H616" t="s">
        <v>65</v>
      </c>
      <c r="I616" t="s">
        <v>66</v>
      </c>
      <c r="J616" t="s">
        <v>51</v>
      </c>
      <c r="K616" t="s">
        <v>76</v>
      </c>
      <c r="L616" t="s">
        <v>1969</v>
      </c>
      <c r="M616" t="s">
        <v>69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112</v>
      </c>
      <c r="U616" t="s">
        <v>78</v>
      </c>
      <c r="V616" t="str">
        <f t="shared" si="90"/>
        <v/>
      </c>
      <c r="W616" t="str">
        <f t="shared" si="91"/>
        <v/>
      </c>
      <c r="X616">
        <f t="shared" si="92"/>
        <v>1.3271856563895552</v>
      </c>
      <c r="Y616">
        <f t="shared" si="93"/>
        <v>20389.920000000002</v>
      </c>
      <c r="Z616">
        <f t="shared" si="94"/>
        <v>3728.84</v>
      </c>
      <c r="AA616">
        <f t="shared" si="95"/>
        <v>0.18287663708342161</v>
      </c>
      <c r="AB616">
        <f t="shared" si="96"/>
        <v>8</v>
      </c>
      <c r="AC616" t="str">
        <f t="shared" si="97"/>
        <v>February</v>
      </c>
      <c r="AD616">
        <f t="shared" si="98"/>
        <v>2024</v>
      </c>
      <c r="AE616" t="str">
        <f t="shared" si="99"/>
        <v>WARNING</v>
      </c>
    </row>
    <row r="617" spans="1:31">
      <c r="A617" t="s">
        <v>1970</v>
      </c>
      <c r="B617" s="3">
        <v>45569</v>
      </c>
      <c r="C617" s="3">
        <v>45483</v>
      </c>
      <c r="D617" t="s">
        <v>1971</v>
      </c>
      <c r="E617" t="s">
        <v>128</v>
      </c>
      <c r="F617" t="s">
        <v>100</v>
      </c>
      <c r="G617" t="s">
        <v>64</v>
      </c>
      <c r="H617" t="s">
        <v>195</v>
      </c>
      <c r="I617" t="s">
        <v>196</v>
      </c>
      <c r="J617" t="s">
        <v>38</v>
      </c>
      <c r="K617" t="s">
        <v>58</v>
      </c>
      <c r="L617" t="s">
        <v>1972</v>
      </c>
      <c r="M617" t="s">
        <v>41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42</v>
      </c>
      <c r="U617" t="s">
        <v>43</v>
      </c>
      <c r="V617" t="str">
        <f t="shared" si="90"/>
        <v/>
      </c>
      <c r="W617" t="str">
        <f t="shared" si="91"/>
        <v>Invalid Shipping Record</v>
      </c>
      <c r="X617">
        <f t="shared" si="92"/>
        <v>-0.10880696539805437</v>
      </c>
      <c r="Y617">
        <f t="shared" si="93"/>
        <v>5659.884</v>
      </c>
      <c r="Z617">
        <f t="shared" si="94"/>
        <v>1322.0940000000001</v>
      </c>
      <c r="AA617">
        <f t="shared" si="95"/>
        <v>0.23359029973052453</v>
      </c>
      <c r="AB617" t="e">
        <f t="shared" si="96"/>
        <v>#NUM!</v>
      </c>
      <c r="AC617" t="str">
        <f t="shared" si="97"/>
        <v>October</v>
      </c>
      <c r="AD617">
        <f t="shared" si="98"/>
        <v>2024</v>
      </c>
      <c r="AE617" t="str">
        <f t="shared" si="99"/>
        <v>INVALID</v>
      </c>
    </row>
    <row r="618" spans="1:31">
      <c r="A618" t="s">
        <v>1973</v>
      </c>
      <c r="B618" s="3">
        <v>45520</v>
      </c>
      <c r="C618" s="3">
        <v>45523</v>
      </c>
      <c r="D618" t="s">
        <v>1974</v>
      </c>
      <c r="E618" t="s">
        <v>276</v>
      </c>
      <c r="F618" t="s">
        <v>34</v>
      </c>
      <c r="G618" t="s">
        <v>64</v>
      </c>
      <c r="H618" t="s">
        <v>65</v>
      </c>
      <c r="I618" t="s">
        <v>66</v>
      </c>
      <c r="J618" t="s">
        <v>38</v>
      </c>
      <c r="K618" t="s">
        <v>39</v>
      </c>
      <c r="L618" t="s">
        <v>1975</v>
      </c>
      <c r="M618" t="s">
        <v>69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42</v>
      </c>
      <c r="U618" t="s">
        <v>43</v>
      </c>
      <c r="V618" t="str">
        <f t="shared" si="90"/>
        <v/>
      </c>
      <c r="W618" t="str">
        <f t="shared" si="91"/>
        <v/>
      </c>
      <c r="X618">
        <f t="shared" si="92"/>
        <v>0.84852144912701888</v>
      </c>
      <c r="Y618">
        <f t="shared" si="93"/>
        <v>18842.640000000003</v>
      </c>
      <c r="Z618">
        <f t="shared" si="94"/>
        <v>7002.0600000000031</v>
      </c>
      <c r="AA618">
        <f t="shared" si="95"/>
        <v>0.37160716332743193</v>
      </c>
      <c r="AB618">
        <f t="shared" si="96"/>
        <v>3</v>
      </c>
      <c r="AC618" t="str">
        <f t="shared" si="97"/>
        <v>August</v>
      </c>
      <c r="AD618">
        <f t="shared" si="98"/>
        <v>2024</v>
      </c>
      <c r="AE618" t="str">
        <f t="shared" si="99"/>
        <v>CLEAN</v>
      </c>
    </row>
    <row r="619" spans="1:31">
      <c r="A619" t="s">
        <v>1976</v>
      </c>
      <c r="B619" s="3">
        <v>45564</v>
      </c>
      <c r="C619" s="3">
        <v>45565</v>
      </c>
      <c r="D619" t="s">
        <v>1977</v>
      </c>
      <c r="E619" t="s">
        <v>46</v>
      </c>
      <c r="F619" t="s">
        <v>105</v>
      </c>
      <c r="G619" t="s">
        <v>64</v>
      </c>
      <c r="H619" t="s">
        <v>65</v>
      </c>
      <c r="I619" t="s">
        <v>66</v>
      </c>
      <c r="J619" t="s">
        <v>84</v>
      </c>
      <c r="K619" t="s">
        <v>181</v>
      </c>
      <c r="L619" t="s">
        <v>1978</v>
      </c>
      <c r="M619" t="s">
        <v>69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42</v>
      </c>
      <c r="U619" t="s">
        <v>43</v>
      </c>
      <c r="V619" t="str">
        <f t="shared" si="90"/>
        <v/>
      </c>
      <c r="W619" t="str">
        <f t="shared" si="91"/>
        <v/>
      </c>
      <c r="X619">
        <f t="shared" si="92"/>
        <v>-1.0661353799231277</v>
      </c>
      <c r="Y619">
        <f t="shared" si="93"/>
        <v>24677.19</v>
      </c>
      <c r="Z619">
        <f t="shared" si="94"/>
        <v>4326.34</v>
      </c>
      <c r="AA619">
        <f t="shared" si="95"/>
        <v>0.17531736798233513</v>
      </c>
      <c r="AB619">
        <f t="shared" si="96"/>
        <v>1</v>
      </c>
      <c r="AC619" t="str">
        <f t="shared" si="97"/>
        <v>September</v>
      </c>
      <c r="AD619">
        <f t="shared" si="98"/>
        <v>2024</v>
      </c>
      <c r="AE619" t="str">
        <f t="shared" si="99"/>
        <v>CLEAN</v>
      </c>
    </row>
    <row r="620" spans="1:31">
      <c r="A620" t="s">
        <v>1979</v>
      </c>
      <c r="B620" s="3">
        <v>45496</v>
      </c>
      <c r="C620" s="3">
        <v>45503</v>
      </c>
      <c r="D620" t="s">
        <v>1980</v>
      </c>
      <c r="E620" t="s">
        <v>276</v>
      </c>
      <c r="F620" t="s">
        <v>100</v>
      </c>
      <c r="G620" t="s">
        <v>35</v>
      </c>
      <c r="H620" t="s">
        <v>36</v>
      </c>
      <c r="I620" t="s">
        <v>37</v>
      </c>
      <c r="J620" t="s">
        <v>51</v>
      </c>
      <c r="K620" t="s">
        <v>52</v>
      </c>
      <c r="L620" t="s">
        <v>1981</v>
      </c>
      <c r="M620" t="s">
        <v>54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165</v>
      </c>
      <c r="U620" t="s">
        <v>78</v>
      </c>
      <c r="V620" t="str">
        <f t="shared" si="90"/>
        <v/>
      </c>
      <c r="W620" t="str">
        <f t="shared" si="91"/>
        <v/>
      </c>
      <c r="X620">
        <f t="shared" si="92"/>
        <v>1.3271856563895552</v>
      </c>
      <c r="Y620">
        <f t="shared" si="93"/>
        <v>12623.242499999998</v>
      </c>
      <c r="Z620">
        <f t="shared" si="94"/>
        <v>2082.4424999999992</v>
      </c>
      <c r="AA620">
        <f t="shared" si="95"/>
        <v>0.16496890557239943</v>
      </c>
      <c r="AB620">
        <f t="shared" si="96"/>
        <v>7</v>
      </c>
      <c r="AC620" t="str">
        <f t="shared" si="97"/>
        <v>July</v>
      </c>
      <c r="AD620">
        <f t="shared" si="98"/>
        <v>2024</v>
      </c>
      <c r="AE620" t="str">
        <f t="shared" si="99"/>
        <v>WARNING</v>
      </c>
    </row>
    <row r="621" spans="1:31">
      <c r="A621" t="s">
        <v>1982</v>
      </c>
      <c r="B621" s="3">
        <v>45618</v>
      </c>
      <c r="C621" s="3">
        <v>45623</v>
      </c>
      <c r="D621" t="s">
        <v>1983</v>
      </c>
      <c r="E621" t="s">
        <v>124</v>
      </c>
      <c r="F621" t="s">
        <v>100</v>
      </c>
      <c r="G621" t="s">
        <v>64</v>
      </c>
      <c r="H621" t="s">
        <v>259</v>
      </c>
      <c r="I621" t="s">
        <v>260</v>
      </c>
      <c r="J621" t="s">
        <v>38</v>
      </c>
      <c r="K621" t="s">
        <v>163</v>
      </c>
      <c r="L621" t="s">
        <v>1984</v>
      </c>
      <c r="M621" t="s">
        <v>60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112</v>
      </c>
      <c r="U621" t="s">
        <v>113</v>
      </c>
      <c r="V621" t="str">
        <f t="shared" si="90"/>
        <v/>
      </c>
      <c r="W621" t="str">
        <f t="shared" si="91"/>
        <v/>
      </c>
      <c r="X621">
        <f t="shared" si="92"/>
        <v>0.84852144912701888</v>
      </c>
      <c r="Y621">
        <f t="shared" si="93"/>
        <v>3401.0080000000003</v>
      </c>
      <c r="Z621">
        <f t="shared" si="94"/>
        <v>483.4680000000003</v>
      </c>
      <c r="AA621">
        <f t="shared" si="95"/>
        <v>0.14215432601158254</v>
      </c>
      <c r="AB621">
        <f t="shared" si="96"/>
        <v>5</v>
      </c>
      <c r="AC621" t="str">
        <f t="shared" si="97"/>
        <v>November</v>
      </c>
      <c r="AD621">
        <f t="shared" si="98"/>
        <v>2024</v>
      </c>
      <c r="AE621" t="str">
        <f t="shared" si="99"/>
        <v>CLEAN</v>
      </c>
    </row>
    <row r="622" spans="1:31">
      <c r="A622" t="s">
        <v>1985</v>
      </c>
      <c r="B622" s="3">
        <v>45522</v>
      </c>
      <c r="C622" s="3">
        <v>45525</v>
      </c>
      <c r="D622" t="s">
        <v>1986</v>
      </c>
      <c r="E622" t="s">
        <v>81</v>
      </c>
      <c r="F622" t="s">
        <v>34</v>
      </c>
      <c r="G622" t="s">
        <v>35</v>
      </c>
      <c r="H622" t="s">
        <v>146</v>
      </c>
      <c r="I622" t="s">
        <v>147</v>
      </c>
      <c r="J622" t="s">
        <v>84</v>
      </c>
      <c r="K622" t="s">
        <v>286</v>
      </c>
      <c r="L622" t="s">
        <v>1987</v>
      </c>
      <c r="M622" t="s">
        <v>69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42</v>
      </c>
      <c r="U622" t="s">
        <v>43</v>
      </c>
      <c r="V622" t="str">
        <f t="shared" si="90"/>
        <v/>
      </c>
      <c r="W622" t="str">
        <f t="shared" si="91"/>
        <v/>
      </c>
      <c r="X622">
        <f t="shared" si="92"/>
        <v>-1.0661353799231277</v>
      </c>
      <c r="Y622">
        <f t="shared" si="93"/>
        <v>6609.06</v>
      </c>
      <c r="Z622">
        <f t="shared" si="94"/>
        <v>1662.2800000000007</v>
      </c>
      <c r="AA622">
        <f t="shared" si="95"/>
        <v>0.25151534408826681</v>
      </c>
      <c r="AB622">
        <f t="shared" si="96"/>
        <v>3</v>
      </c>
      <c r="AC622" t="str">
        <f t="shared" si="97"/>
        <v>August</v>
      </c>
      <c r="AD622">
        <f t="shared" si="98"/>
        <v>2024</v>
      </c>
      <c r="AE622" t="str">
        <f t="shared" si="99"/>
        <v>CLEAN</v>
      </c>
    </row>
    <row r="623" spans="1:31">
      <c r="A623" t="s">
        <v>1988</v>
      </c>
      <c r="B623" s="3">
        <v>45624</v>
      </c>
      <c r="C623" s="3">
        <v>45632</v>
      </c>
      <c r="D623" t="s">
        <v>1989</v>
      </c>
      <c r="E623" t="s">
        <v>99</v>
      </c>
      <c r="F623" t="s">
        <v>34</v>
      </c>
      <c r="G623" t="s">
        <v>73</v>
      </c>
      <c r="H623" t="s">
        <v>74</v>
      </c>
      <c r="I623" t="s">
        <v>75</v>
      </c>
      <c r="J623" t="s">
        <v>51</v>
      </c>
      <c r="K623" t="s">
        <v>76</v>
      </c>
      <c r="L623" t="s">
        <v>1990</v>
      </c>
      <c r="M623" t="s">
        <v>54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42</v>
      </c>
      <c r="U623" t="s">
        <v>43</v>
      </c>
      <c r="V623" t="str">
        <f t="shared" si="90"/>
        <v/>
      </c>
      <c r="W623" t="str">
        <f t="shared" si="91"/>
        <v/>
      </c>
      <c r="X623">
        <f t="shared" si="92"/>
        <v>-1.0661353799231277</v>
      </c>
      <c r="Y623">
        <f t="shared" si="93"/>
        <v>5464.2</v>
      </c>
      <c r="Z623">
        <f t="shared" si="94"/>
        <v>2146.1099999999997</v>
      </c>
      <c r="AA623">
        <f t="shared" si="95"/>
        <v>0.39275831777753373</v>
      </c>
      <c r="AB623">
        <f t="shared" si="96"/>
        <v>8</v>
      </c>
      <c r="AC623" t="str">
        <f t="shared" si="97"/>
        <v>November</v>
      </c>
      <c r="AD623">
        <f t="shared" si="98"/>
        <v>2024</v>
      </c>
      <c r="AE623" t="str">
        <f t="shared" si="99"/>
        <v>CLEAN</v>
      </c>
    </row>
    <row r="624" spans="1:31">
      <c r="A624" t="s">
        <v>1991</v>
      </c>
      <c r="B624" s="3">
        <v>45686</v>
      </c>
      <c r="C624" s="3">
        <v>45694</v>
      </c>
      <c r="D624" t="s">
        <v>1992</v>
      </c>
      <c r="E624" t="s">
        <v>81</v>
      </c>
      <c r="F624" t="s">
        <v>34</v>
      </c>
      <c r="G624" t="s">
        <v>48</v>
      </c>
      <c r="H624" t="s">
        <v>155</v>
      </c>
      <c r="I624" t="s">
        <v>156</v>
      </c>
      <c r="J624" t="s">
        <v>38</v>
      </c>
      <c r="K624" t="s">
        <v>134</v>
      </c>
      <c r="L624" t="s">
        <v>1993</v>
      </c>
      <c r="M624" t="s">
        <v>69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42</v>
      </c>
      <c r="U624" t="s">
        <v>43</v>
      </c>
      <c r="V624" t="str">
        <f t="shared" si="90"/>
        <v/>
      </c>
      <c r="W624" t="str">
        <f t="shared" si="91"/>
        <v/>
      </c>
      <c r="X624">
        <f t="shared" si="92"/>
        <v>-0.58747117266059101</v>
      </c>
      <c r="Y624">
        <f t="shared" si="93"/>
        <v>10484.238000000001</v>
      </c>
      <c r="Z624">
        <f t="shared" si="94"/>
        <v>3804.0880000000016</v>
      </c>
      <c r="AA624">
        <f t="shared" si="95"/>
        <v>0.36283876806306775</v>
      </c>
      <c r="AB624">
        <f t="shared" si="96"/>
        <v>8</v>
      </c>
      <c r="AC624" t="str">
        <f t="shared" si="97"/>
        <v>January</v>
      </c>
      <c r="AD624">
        <f t="shared" si="98"/>
        <v>2025</v>
      </c>
      <c r="AE624" t="str">
        <f t="shared" si="99"/>
        <v>CLEAN</v>
      </c>
    </row>
    <row r="625" spans="1:31">
      <c r="A625" t="s">
        <v>1994</v>
      </c>
      <c r="B625" s="3">
        <v>45512</v>
      </c>
      <c r="C625" s="3">
        <v>45518</v>
      </c>
      <c r="D625" t="s">
        <v>1995</v>
      </c>
      <c r="E625" t="s">
        <v>81</v>
      </c>
      <c r="F625" t="s">
        <v>105</v>
      </c>
      <c r="G625" t="s">
        <v>35</v>
      </c>
      <c r="H625" t="s">
        <v>132</v>
      </c>
      <c r="I625" t="s">
        <v>133</v>
      </c>
      <c r="J625" t="s">
        <v>38</v>
      </c>
      <c r="K625" t="s">
        <v>134</v>
      </c>
      <c r="L625" t="s">
        <v>1996</v>
      </c>
      <c r="M625" t="s">
        <v>41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42</v>
      </c>
      <c r="U625" t="s">
        <v>43</v>
      </c>
      <c r="V625" t="str">
        <f t="shared" si="90"/>
        <v/>
      </c>
      <c r="W625" t="str">
        <f t="shared" si="91"/>
        <v/>
      </c>
      <c r="X625">
        <f t="shared" si="92"/>
        <v>-0.58747117266059101</v>
      </c>
      <c r="Y625">
        <f t="shared" si="93"/>
        <v>10329.843999999999</v>
      </c>
      <c r="Z625">
        <f t="shared" si="94"/>
        <v>2817.6239999999989</v>
      </c>
      <c r="AA625">
        <f t="shared" si="95"/>
        <v>0.27276539703794161</v>
      </c>
      <c r="AB625">
        <f t="shared" si="96"/>
        <v>6</v>
      </c>
      <c r="AC625" t="str">
        <f t="shared" si="97"/>
        <v>August</v>
      </c>
      <c r="AD625">
        <f t="shared" si="98"/>
        <v>2024</v>
      </c>
      <c r="AE625" t="str">
        <f t="shared" si="99"/>
        <v>CLEAN</v>
      </c>
    </row>
    <row r="626" spans="1:31">
      <c r="A626" t="s">
        <v>1997</v>
      </c>
      <c r="B626" s="3">
        <v>45321</v>
      </c>
      <c r="C626" s="3">
        <v>45323</v>
      </c>
      <c r="D626" t="s">
        <v>1998</v>
      </c>
      <c r="E626" t="s">
        <v>89</v>
      </c>
      <c r="F626" t="s">
        <v>105</v>
      </c>
      <c r="G626" t="s">
        <v>48</v>
      </c>
      <c r="H626" t="s">
        <v>176</v>
      </c>
      <c r="I626" t="s">
        <v>177</v>
      </c>
      <c r="J626" t="s">
        <v>51</v>
      </c>
      <c r="K626" t="s">
        <v>76</v>
      </c>
      <c r="L626" t="s">
        <v>1999</v>
      </c>
      <c r="M626" t="s">
        <v>60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42</v>
      </c>
      <c r="U626" t="s">
        <v>43</v>
      </c>
      <c r="V626" t="str">
        <f t="shared" si="90"/>
        <v/>
      </c>
      <c r="W626" t="str">
        <f t="shared" si="91"/>
        <v/>
      </c>
      <c r="X626">
        <f t="shared" si="92"/>
        <v>-0.58747117266059101</v>
      </c>
      <c r="Y626">
        <f t="shared" si="93"/>
        <v>8456.9569999999985</v>
      </c>
      <c r="Z626">
        <f t="shared" si="94"/>
        <v>2994.1069999999982</v>
      </c>
      <c r="AA626">
        <f t="shared" si="95"/>
        <v>0.35404070282017502</v>
      </c>
      <c r="AB626">
        <f t="shared" si="96"/>
        <v>2</v>
      </c>
      <c r="AC626" t="str">
        <f t="shared" si="97"/>
        <v>January</v>
      </c>
      <c r="AD626">
        <f t="shared" si="98"/>
        <v>2024</v>
      </c>
      <c r="AE626" t="str">
        <f t="shared" si="99"/>
        <v>CLEAN</v>
      </c>
    </row>
    <row r="627" spans="1:31">
      <c r="A627" t="s">
        <v>2000</v>
      </c>
      <c r="B627" s="3">
        <v>45641</v>
      </c>
      <c r="C627" s="3">
        <v>45647</v>
      </c>
      <c r="D627" t="s">
        <v>2001</v>
      </c>
      <c r="E627" t="s">
        <v>172</v>
      </c>
      <c r="F627" t="s">
        <v>100</v>
      </c>
      <c r="G627" t="s">
        <v>73</v>
      </c>
      <c r="H627" t="s">
        <v>36</v>
      </c>
      <c r="I627" t="s">
        <v>119</v>
      </c>
      <c r="J627" t="s">
        <v>51</v>
      </c>
      <c r="K627" t="s">
        <v>76</v>
      </c>
      <c r="L627" t="s">
        <v>2002</v>
      </c>
      <c r="M627" t="s">
        <v>54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42</v>
      </c>
      <c r="U627" t="s">
        <v>43</v>
      </c>
      <c r="V627" t="str">
        <f t="shared" si="90"/>
        <v/>
      </c>
      <c r="W627" t="str">
        <f t="shared" si="91"/>
        <v/>
      </c>
      <c r="X627">
        <f t="shared" si="92"/>
        <v>0.84852144912701888</v>
      </c>
      <c r="Y627">
        <f t="shared" si="93"/>
        <v>1266.4079999999999</v>
      </c>
      <c r="Z627">
        <f t="shared" si="94"/>
        <v>282.48799999999994</v>
      </c>
      <c r="AA627">
        <f t="shared" si="95"/>
        <v>0.22306239379410109</v>
      </c>
      <c r="AB627">
        <f t="shared" si="96"/>
        <v>6</v>
      </c>
      <c r="AC627" t="str">
        <f t="shared" si="97"/>
        <v>December</v>
      </c>
      <c r="AD627">
        <f t="shared" si="98"/>
        <v>2024</v>
      </c>
      <c r="AE627" t="str">
        <f t="shared" si="99"/>
        <v>CLEAN</v>
      </c>
    </row>
    <row r="628" spans="1:31">
      <c r="A628" t="s">
        <v>2003</v>
      </c>
      <c r="B628" s="3">
        <v>45812</v>
      </c>
      <c r="C628" s="3">
        <v>45844</v>
      </c>
      <c r="D628" t="s">
        <v>2004</v>
      </c>
      <c r="E628" t="s">
        <v>142</v>
      </c>
      <c r="F628" t="s">
        <v>105</v>
      </c>
      <c r="G628" t="s">
        <v>48</v>
      </c>
      <c r="H628" t="s">
        <v>176</v>
      </c>
      <c r="I628" t="s">
        <v>177</v>
      </c>
      <c r="J628" t="s">
        <v>84</v>
      </c>
      <c r="K628" t="s">
        <v>286</v>
      </c>
      <c r="L628" t="s">
        <v>2005</v>
      </c>
      <c r="M628" t="s">
        <v>69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121</v>
      </c>
      <c r="U628" t="s">
        <v>113</v>
      </c>
      <c r="V628" t="str">
        <f t="shared" si="90"/>
        <v/>
      </c>
      <c r="W628" t="str">
        <f t="shared" si="91"/>
        <v/>
      </c>
      <c r="X628">
        <f t="shared" si="92"/>
        <v>-1.0661353799231277</v>
      </c>
      <c r="Y628">
        <f t="shared" si="93"/>
        <v>11473.04</v>
      </c>
      <c r="Z628">
        <f t="shared" si="94"/>
        <v>2541.7100000000009</v>
      </c>
      <c r="AA628">
        <f t="shared" si="95"/>
        <v>0.22153762211236086</v>
      </c>
      <c r="AB628">
        <f t="shared" si="96"/>
        <v>32</v>
      </c>
      <c r="AC628" t="str">
        <f t="shared" si="97"/>
        <v>June</v>
      </c>
      <c r="AD628">
        <f t="shared" si="98"/>
        <v>2025</v>
      </c>
      <c r="AE628" t="str">
        <f t="shared" si="99"/>
        <v>CLEAN</v>
      </c>
    </row>
    <row r="629" spans="1:31">
      <c r="A629" t="s">
        <v>2006</v>
      </c>
      <c r="B629" s="3">
        <v>45701</v>
      </c>
      <c r="C629" s="3">
        <v>45709</v>
      </c>
      <c r="D629" t="s">
        <v>2007</v>
      </c>
      <c r="E629" t="s">
        <v>33</v>
      </c>
      <c r="F629" t="s">
        <v>47</v>
      </c>
      <c r="G629" t="s">
        <v>64</v>
      </c>
      <c r="H629" t="s">
        <v>195</v>
      </c>
      <c r="I629" t="s">
        <v>196</v>
      </c>
      <c r="J629" t="s">
        <v>84</v>
      </c>
      <c r="K629" t="s">
        <v>181</v>
      </c>
      <c r="L629" t="s">
        <v>2008</v>
      </c>
      <c r="M629" t="s">
        <v>41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121</v>
      </c>
      <c r="U629" t="s">
        <v>78</v>
      </c>
      <c r="V629" t="str">
        <f t="shared" si="90"/>
        <v/>
      </c>
      <c r="W629" t="str">
        <f t="shared" si="91"/>
        <v/>
      </c>
      <c r="X629">
        <f t="shared" si="92"/>
        <v>0.3698572418644821</v>
      </c>
      <c r="Y629">
        <f t="shared" si="93"/>
        <v>4012.0339999999997</v>
      </c>
      <c r="Z629">
        <f t="shared" si="94"/>
        <v>869.11399999999958</v>
      </c>
      <c r="AA629">
        <f t="shared" si="95"/>
        <v>0.21662677833737193</v>
      </c>
      <c r="AB629">
        <f t="shared" si="96"/>
        <v>8</v>
      </c>
      <c r="AC629" t="str">
        <f t="shared" si="97"/>
        <v>February</v>
      </c>
      <c r="AD629">
        <f t="shared" si="98"/>
        <v>2025</v>
      </c>
      <c r="AE629" t="str">
        <f t="shared" si="99"/>
        <v>WARNING</v>
      </c>
    </row>
    <row r="630" spans="1:31">
      <c r="A630" t="s">
        <v>2009</v>
      </c>
      <c r="B630" s="3">
        <v>45935</v>
      </c>
      <c r="C630" s="3">
        <v>45942</v>
      </c>
      <c r="D630" t="s">
        <v>2010</v>
      </c>
      <c r="E630" t="s">
        <v>72</v>
      </c>
      <c r="F630" t="s">
        <v>105</v>
      </c>
      <c r="G630" t="s">
        <v>48</v>
      </c>
      <c r="H630" t="s">
        <v>240</v>
      </c>
      <c r="I630" t="s">
        <v>241</v>
      </c>
      <c r="J630" t="s">
        <v>84</v>
      </c>
      <c r="K630" t="s">
        <v>85</v>
      </c>
      <c r="L630" t="s">
        <v>2011</v>
      </c>
      <c r="M630" t="s">
        <v>54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42</v>
      </c>
      <c r="U630" t="s">
        <v>43</v>
      </c>
      <c r="V630" t="str">
        <f t="shared" si="90"/>
        <v/>
      </c>
      <c r="W630" t="str">
        <f t="shared" si="91"/>
        <v/>
      </c>
      <c r="X630">
        <f t="shared" si="92"/>
        <v>-0.58747117266059101</v>
      </c>
      <c r="Y630">
        <f t="shared" si="93"/>
        <v>5364.3554999999997</v>
      </c>
      <c r="Z630">
        <f t="shared" si="94"/>
        <v>973.0654999999997</v>
      </c>
      <c r="AA630">
        <f t="shared" si="95"/>
        <v>0.18139467080434915</v>
      </c>
      <c r="AB630">
        <f t="shared" si="96"/>
        <v>7</v>
      </c>
      <c r="AC630" t="str">
        <f t="shared" si="97"/>
        <v>October</v>
      </c>
      <c r="AD630">
        <f t="shared" si="98"/>
        <v>2025</v>
      </c>
      <c r="AE630" t="str">
        <f t="shared" si="99"/>
        <v>CLEAN</v>
      </c>
    </row>
    <row r="631" spans="1:31">
      <c r="A631" t="s">
        <v>2012</v>
      </c>
      <c r="B631" s="3">
        <v>45939</v>
      </c>
      <c r="C631" s="3">
        <v>45914</v>
      </c>
      <c r="D631" t="s">
        <v>2013</v>
      </c>
      <c r="E631" t="s">
        <v>63</v>
      </c>
      <c r="F631" t="s">
        <v>105</v>
      </c>
      <c r="G631" t="s">
        <v>73</v>
      </c>
      <c r="H631" t="s">
        <v>190</v>
      </c>
      <c r="I631" t="s">
        <v>191</v>
      </c>
      <c r="J631" t="s">
        <v>51</v>
      </c>
      <c r="K631" t="s">
        <v>52</v>
      </c>
      <c r="L631" t="s">
        <v>2014</v>
      </c>
      <c r="M631" t="s">
        <v>54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42</v>
      </c>
      <c r="U631" t="s">
        <v>43</v>
      </c>
      <c r="V631" t="str">
        <f t="shared" si="90"/>
        <v/>
      </c>
      <c r="W631" t="str">
        <f t="shared" si="91"/>
        <v>Invalid Shipping Record</v>
      </c>
      <c r="X631">
        <f t="shared" si="92"/>
        <v>0.3698572418644821</v>
      </c>
      <c r="Y631">
        <f t="shared" si="93"/>
        <v>10706.073</v>
      </c>
      <c r="Z631">
        <f t="shared" si="94"/>
        <v>4778.973</v>
      </c>
      <c r="AA631">
        <f t="shared" si="95"/>
        <v>0.44637963892082555</v>
      </c>
      <c r="AB631" t="e">
        <f t="shared" si="96"/>
        <v>#NUM!</v>
      </c>
      <c r="AC631" t="str">
        <f t="shared" si="97"/>
        <v>October</v>
      </c>
      <c r="AD631">
        <f t="shared" si="98"/>
        <v>2025</v>
      </c>
      <c r="AE631" t="str">
        <f t="shared" si="99"/>
        <v>INVALID</v>
      </c>
    </row>
    <row r="632" spans="1:31">
      <c r="A632" t="s">
        <v>2015</v>
      </c>
      <c r="B632" s="3">
        <v>45391</v>
      </c>
      <c r="C632" s="3">
        <v>45392</v>
      </c>
      <c r="D632" t="s">
        <v>2016</v>
      </c>
      <c r="E632" t="s">
        <v>124</v>
      </c>
      <c r="F632" t="s">
        <v>100</v>
      </c>
      <c r="G632" t="s">
        <v>48</v>
      </c>
      <c r="H632" t="s">
        <v>176</v>
      </c>
      <c r="I632" t="s">
        <v>177</v>
      </c>
      <c r="J632" t="s">
        <v>38</v>
      </c>
      <c r="K632" t="s">
        <v>39</v>
      </c>
      <c r="L632" t="s">
        <v>2017</v>
      </c>
      <c r="M632" t="s">
        <v>69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42</v>
      </c>
      <c r="U632" t="s">
        <v>43</v>
      </c>
      <c r="V632" t="str">
        <f t="shared" si="90"/>
        <v/>
      </c>
      <c r="W632" t="str">
        <f t="shared" si="91"/>
        <v/>
      </c>
      <c r="X632">
        <f t="shared" si="92"/>
        <v>-0.10880696539805437</v>
      </c>
      <c r="Y632">
        <f t="shared" si="93"/>
        <v>10969.380000000001</v>
      </c>
      <c r="Z632">
        <f t="shared" si="94"/>
        <v>1714.9200000000019</v>
      </c>
      <c r="AA632">
        <f t="shared" si="95"/>
        <v>0.15633700354988173</v>
      </c>
      <c r="AB632">
        <f t="shared" si="96"/>
        <v>1</v>
      </c>
      <c r="AC632" t="str">
        <f t="shared" si="97"/>
        <v>April</v>
      </c>
      <c r="AD632">
        <f t="shared" si="98"/>
        <v>2024</v>
      </c>
      <c r="AE632" t="str">
        <f t="shared" si="99"/>
        <v>CLEAN</v>
      </c>
    </row>
    <row r="633" spans="1:31">
      <c r="A633" t="s">
        <v>2018</v>
      </c>
      <c r="B633" s="3">
        <v>45392</v>
      </c>
      <c r="C633" s="3">
        <v>45397</v>
      </c>
      <c r="D633" t="s">
        <v>2019</v>
      </c>
      <c r="E633" t="s">
        <v>138</v>
      </c>
      <c r="F633" t="s">
        <v>105</v>
      </c>
      <c r="G633" t="s">
        <v>73</v>
      </c>
      <c r="H633" t="s">
        <v>36</v>
      </c>
      <c r="I633" t="s">
        <v>119</v>
      </c>
      <c r="J633" t="s">
        <v>51</v>
      </c>
      <c r="K633" t="s">
        <v>76</v>
      </c>
      <c r="L633" t="s">
        <v>2020</v>
      </c>
      <c r="M633" t="s">
        <v>69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42</v>
      </c>
      <c r="U633" t="s">
        <v>43</v>
      </c>
      <c r="V633" t="str">
        <f t="shared" si="90"/>
        <v/>
      </c>
      <c r="W633" t="str">
        <f t="shared" si="91"/>
        <v/>
      </c>
      <c r="X633">
        <f t="shared" si="92"/>
        <v>-0.10880696539805437</v>
      </c>
      <c r="Y633">
        <f t="shared" si="93"/>
        <v>31409.855999999996</v>
      </c>
      <c r="Z633">
        <f t="shared" si="94"/>
        <v>8886.3159999999953</v>
      </c>
      <c r="AA633">
        <f t="shared" si="95"/>
        <v>0.2829148914277097</v>
      </c>
      <c r="AB633">
        <f t="shared" si="96"/>
        <v>5</v>
      </c>
      <c r="AC633" t="str">
        <f t="shared" si="97"/>
        <v>April</v>
      </c>
      <c r="AD633">
        <f t="shared" si="98"/>
        <v>2024</v>
      </c>
      <c r="AE633" t="str">
        <f t="shared" si="99"/>
        <v>CLEAN</v>
      </c>
    </row>
    <row r="634" spans="1:31">
      <c r="A634" t="s">
        <v>2021</v>
      </c>
      <c r="B634" s="3">
        <v>45762</v>
      </c>
      <c r="C634" s="3">
        <v>45763</v>
      </c>
      <c r="D634" t="s">
        <v>2022</v>
      </c>
      <c r="E634" t="s">
        <v>142</v>
      </c>
      <c r="F634" t="s">
        <v>47</v>
      </c>
      <c r="G634" t="s">
        <v>64</v>
      </c>
      <c r="H634" t="s">
        <v>185</v>
      </c>
      <c r="I634" t="s">
        <v>186</v>
      </c>
      <c r="J634" t="s">
        <v>51</v>
      </c>
      <c r="K634" t="s">
        <v>67</v>
      </c>
      <c r="L634" t="s">
        <v>2023</v>
      </c>
      <c r="M634" t="s">
        <v>60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42</v>
      </c>
      <c r="U634" t="s">
        <v>43</v>
      </c>
      <c r="V634" t="str">
        <f t="shared" si="90"/>
        <v/>
      </c>
      <c r="W634" t="str">
        <f t="shared" si="91"/>
        <v/>
      </c>
      <c r="X634">
        <f t="shared" si="92"/>
        <v>-1.0661353799231277</v>
      </c>
      <c r="Y634">
        <f t="shared" si="93"/>
        <v>14252.650000000001</v>
      </c>
      <c r="Z634">
        <f t="shared" si="94"/>
        <v>2694.340000000002</v>
      </c>
      <c r="AA634">
        <f t="shared" si="95"/>
        <v>0.18904133617257154</v>
      </c>
      <c r="AB634">
        <f t="shared" si="96"/>
        <v>1</v>
      </c>
      <c r="AC634" t="str">
        <f t="shared" si="97"/>
        <v>April</v>
      </c>
      <c r="AD634">
        <f t="shared" si="98"/>
        <v>2025</v>
      </c>
      <c r="AE634" t="str">
        <f t="shared" si="99"/>
        <v>CLEAN</v>
      </c>
    </row>
    <row r="635" spans="1:31">
      <c r="A635" t="s">
        <v>2024</v>
      </c>
      <c r="B635" s="3">
        <v>45765</v>
      </c>
      <c r="C635" s="3">
        <v>45767</v>
      </c>
      <c r="D635" t="s">
        <v>2025</v>
      </c>
      <c r="E635" t="s">
        <v>138</v>
      </c>
      <c r="F635" t="s">
        <v>47</v>
      </c>
      <c r="G635" t="s">
        <v>64</v>
      </c>
      <c r="H635" t="s">
        <v>259</v>
      </c>
      <c r="I635" t="s">
        <v>260</v>
      </c>
      <c r="J635" t="s">
        <v>84</v>
      </c>
      <c r="K635" t="s">
        <v>85</v>
      </c>
      <c r="L635" t="s">
        <v>2026</v>
      </c>
      <c r="M635" t="s">
        <v>41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42</v>
      </c>
      <c r="U635" t="s">
        <v>43</v>
      </c>
      <c r="V635" t="str">
        <f t="shared" si="90"/>
        <v/>
      </c>
      <c r="W635" t="str">
        <f t="shared" si="91"/>
        <v/>
      </c>
      <c r="X635">
        <f t="shared" si="92"/>
        <v>0.3698572418644821</v>
      </c>
      <c r="Y635">
        <f t="shared" si="93"/>
        <v>1382.1679999999999</v>
      </c>
      <c r="Z635">
        <f t="shared" si="94"/>
        <v>572.13799999999992</v>
      </c>
      <c r="AA635">
        <f t="shared" si="95"/>
        <v>0.4139424440444287</v>
      </c>
      <c r="AB635">
        <f t="shared" si="96"/>
        <v>2</v>
      </c>
      <c r="AC635" t="str">
        <f t="shared" si="97"/>
        <v>April</v>
      </c>
      <c r="AD635">
        <f t="shared" si="98"/>
        <v>2025</v>
      </c>
      <c r="AE635" t="str">
        <f t="shared" si="99"/>
        <v>CLEAN</v>
      </c>
    </row>
    <row r="636" spans="1:31">
      <c r="A636" t="s">
        <v>2027</v>
      </c>
      <c r="B636" s="3">
        <v>45962</v>
      </c>
      <c r="C636" s="3">
        <v>45669</v>
      </c>
      <c r="D636" t="s">
        <v>2028</v>
      </c>
      <c r="E636" t="s">
        <v>99</v>
      </c>
      <c r="F636" t="s">
        <v>34</v>
      </c>
      <c r="G636" t="s">
        <v>64</v>
      </c>
      <c r="H636" t="s">
        <v>65</v>
      </c>
      <c r="I636" t="s">
        <v>66</v>
      </c>
      <c r="J636" t="s">
        <v>51</v>
      </c>
      <c r="K636" t="s">
        <v>76</v>
      </c>
      <c r="L636" t="s">
        <v>2029</v>
      </c>
      <c r="M636" t="s">
        <v>41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42</v>
      </c>
      <c r="U636" t="s">
        <v>43</v>
      </c>
      <c r="V636" t="str">
        <f t="shared" si="90"/>
        <v/>
      </c>
      <c r="W636" t="str">
        <f t="shared" si="91"/>
        <v>Invalid Shipping Record</v>
      </c>
      <c r="X636">
        <f t="shared" si="92"/>
        <v>-0.58747117266059101</v>
      </c>
      <c r="Y636">
        <f t="shared" si="93"/>
        <v>9223.17</v>
      </c>
      <c r="Z636">
        <f t="shared" si="94"/>
        <v>4119.47</v>
      </c>
      <c r="AA636">
        <f t="shared" si="95"/>
        <v>0.44664361602355807</v>
      </c>
      <c r="AB636" t="e">
        <f t="shared" si="96"/>
        <v>#NUM!</v>
      </c>
      <c r="AC636" t="str">
        <f t="shared" si="97"/>
        <v>November</v>
      </c>
      <c r="AD636">
        <f t="shared" si="98"/>
        <v>2025</v>
      </c>
      <c r="AE636" t="str">
        <f t="shared" si="99"/>
        <v>INVALID</v>
      </c>
    </row>
    <row r="637" spans="1:31">
      <c r="A637" t="s">
        <v>2030</v>
      </c>
      <c r="B637" s="3">
        <v>45432</v>
      </c>
      <c r="C637" s="3">
        <v>45437</v>
      </c>
      <c r="D637" t="s">
        <v>2031</v>
      </c>
      <c r="E637" t="s">
        <v>46</v>
      </c>
      <c r="F637" t="s">
        <v>100</v>
      </c>
      <c r="G637" t="s">
        <v>64</v>
      </c>
      <c r="H637" t="s">
        <v>94</v>
      </c>
      <c r="I637" t="s">
        <v>95</v>
      </c>
      <c r="J637" t="s">
        <v>51</v>
      </c>
      <c r="K637" t="s">
        <v>76</v>
      </c>
      <c r="L637" t="s">
        <v>2032</v>
      </c>
      <c r="M637" t="s">
        <v>54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42</v>
      </c>
      <c r="U637" t="s">
        <v>43</v>
      </c>
      <c r="V637" t="str">
        <f t="shared" si="90"/>
        <v/>
      </c>
      <c r="W637" t="str">
        <f t="shared" si="91"/>
        <v/>
      </c>
      <c r="X637">
        <f t="shared" si="92"/>
        <v>1.3271856563895552</v>
      </c>
      <c r="Y637">
        <f t="shared" si="93"/>
        <v>16394.962500000001</v>
      </c>
      <c r="Z637">
        <f t="shared" si="94"/>
        <v>5990.7925000000014</v>
      </c>
      <c r="AA637">
        <f t="shared" si="95"/>
        <v>0.36540446493854445</v>
      </c>
      <c r="AB637">
        <f t="shared" si="96"/>
        <v>5</v>
      </c>
      <c r="AC637" t="str">
        <f t="shared" si="97"/>
        <v>May</v>
      </c>
      <c r="AD637">
        <f t="shared" si="98"/>
        <v>2024</v>
      </c>
      <c r="AE637" t="str">
        <f t="shared" si="99"/>
        <v>CLEAN</v>
      </c>
    </row>
    <row r="638" spans="1:31">
      <c r="A638" t="s">
        <v>2033</v>
      </c>
      <c r="B638" s="3">
        <v>45567</v>
      </c>
      <c r="C638" s="3">
        <v>45574</v>
      </c>
      <c r="D638" t="s">
        <v>2034</v>
      </c>
      <c r="E638" t="s">
        <v>72</v>
      </c>
      <c r="F638" t="s">
        <v>34</v>
      </c>
      <c r="G638" t="s">
        <v>64</v>
      </c>
      <c r="H638" t="s">
        <v>259</v>
      </c>
      <c r="I638" t="s">
        <v>260</v>
      </c>
      <c r="J638" t="s">
        <v>38</v>
      </c>
      <c r="K638" t="s">
        <v>39</v>
      </c>
      <c r="L638" t="s">
        <v>2035</v>
      </c>
      <c r="M638" t="s">
        <v>69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42</v>
      </c>
      <c r="U638" t="s">
        <v>43</v>
      </c>
      <c r="V638" t="str">
        <f t="shared" si="90"/>
        <v/>
      </c>
      <c r="W638" t="str">
        <f t="shared" si="91"/>
        <v/>
      </c>
      <c r="X638">
        <f t="shared" si="92"/>
        <v>0.3698572418644821</v>
      </c>
      <c r="Y638">
        <f t="shared" si="93"/>
        <v>12990.108</v>
      </c>
      <c r="Z638">
        <f t="shared" si="94"/>
        <v>2789.3080000000009</v>
      </c>
      <c r="AA638">
        <f t="shared" si="95"/>
        <v>0.2147255434673831</v>
      </c>
      <c r="AB638">
        <f t="shared" si="96"/>
        <v>7</v>
      </c>
      <c r="AC638" t="str">
        <f t="shared" si="97"/>
        <v>October</v>
      </c>
      <c r="AD638">
        <f t="shared" si="98"/>
        <v>2024</v>
      </c>
      <c r="AE638" t="str">
        <f t="shared" si="99"/>
        <v>CLEAN</v>
      </c>
    </row>
    <row r="639" spans="1:31">
      <c r="A639" t="s">
        <v>2036</v>
      </c>
      <c r="B639" s="3">
        <v>45438</v>
      </c>
      <c r="C639" s="3">
        <v>45438</v>
      </c>
      <c r="D639" t="s">
        <v>2037</v>
      </c>
      <c r="E639" t="s">
        <v>128</v>
      </c>
      <c r="F639" t="s">
        <v>47</v>
      </c>
      <c r="G639" t="s">
        <v>73</v>
      </c>
      <c r="H639" t="s">
        <v>200</v>
      </c>
      <c r="I639" t="s">
        <v>201</v>
      </c>
      <c r="J639" t="s">
        <v>84</v>
      </c>
      <c r="K639" t="s">
        <v>90</v>
      </c>
      <c r="L639" t="s">
        <v>2038</v>
      </c>
      <c r="M639" t="s">
        <v>60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42</v>
      </c>
      <c r="U639" t="s">
        <v>43</v>
      </c>
      <c r="V639" t="str">
        <f t="shared" si="90"/>
        <v/>
      </c>
      <c r="W639" t="str">
        <f t="shared" si="91"/>
        <v/>
      </c>
      <c r="X639">
        <f t="shared" si="92"/>
        <v>0.84852144912701888</v>
      </c>
      <c r="Y639">
        <f t="shared" si="93"/>
        <v>5107.9520000000002</v>
      </c>
      <c r="Z639">
        <f t="shared" si="94"/>
        <v>1974.8720000000003</v>
      </c>
      <c r="AA639">
        <f t="shared" si="95"/>
        <v>0.38662696908663202</v>
      </c>
      <c r="AB639">
        <f t="shared" si="96"/>
        <v>0</v>
      </c>
      <c r="AC639" t="str">
        <f t="shared" si="97"/>
        <v>May</v>
      </c>
      <c r="AD639">
        <f t="shared" si="98"/>
        <v>2024</v>
      </c>
      <c r="AE639" t="str">
        <f t="shared" si="99"/>
        <v>CLEAN</v>
      </c>
    </row>
    <row r="640" spans="1:31">
      <c r="A640" t="s">
        <v>2039</v>
      </c>
      <c r="B640" s="3">
        <v>45317</v>
      </c>
      <c r="C640" s="3">
        <v>45322</v>
      </c>
      <c r="D640" t="s">
        <v>2040</v>
      </c>
      <c r="E640" t="s">
        <v>33</v>
      </c>
      <c r="F640" t="s">
        <v>100</v>
      </c>
      <c r="G640" t="s">
        <v>64</v>
      </c>
      <c r="H640" t="s">
        <v>195</v>
      </c>
      <c r="I640" t="s">
        <v>196</v>
      </c>
      <c r="J640" t="s">
        <v>38</v>
      </c>
      <c r="K640" t="s">
        <v>134</v>
      </c>
      <c r="L640" t="s">
        <v>2041</v>
      </c>
      <c r="M640" t="s">
        <v>41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165</v>
      </c>
      <c r="U640" t="s">
        <v>113</v>
      </c>
      <c r="V640" t="str">
        <f t="shared" si="90"/>
        <v/>
      </c>
      <c r="W640" t="str">
        <f t="shared" si="91"/>
        <v/>
      </c>
      <c r="X640">
        <f t="shared" si="92"/>
        <v>0.84852144912701888</v>
      </c>
      <c r="Y640">
        <f t="shared" si="93"/>
        <v>7738.3680000000013</v>
      </c>
      <c r="Z640">
        <f t="shared" si="94"/>
        <v>3111.5180000000009</v>
      </c>
      <c r="AA640">
        <f t="shared" si="95"/>
        <v>0.40208969126306743</v>
      </c>
      <c r="AB640">
        <f t="shared" si="96"/>
        <v>5</v>
      </c>
      <c r="AC640" t="str">
        <f t="shared" si="97"/>
        <v>January</v>
      </c>
      <c r="AD640">
        <f t="shared" si="98"/>
        <v>2024</v>
      </c>
      <c r="AE640" t="str">
        <f t="shared" si="99"/>
        <v>CLEAN</v>
      </c>
    </row>
    <row r="641" spans="1:31">
      <c r="A641" t="s">
        <v>2042</v>
      </c>
      <c r="B641" s="3">
        <v>45653</v>
      </c>
      <c r="C641" s="3">
        <v>45657</v>
      </c>
      <c r="D641" t="s">
        <v>2043</v>
      </c>
      <c r="E641" t="s">
        <v>57</v>
      </c>
      <c r="F641" t="s">
        <v>47</v>
      </c>
      <c r="G641" t="s">
        <v>48</v>
      </c>
      <c r="H641" t="s">
        <v>49</v>
      </c>
      <c r="I641" t="s">
        <v>50</v>
      </c>
      <c r="J641" t="s">
        <v>51</v>
      </c>
      <c r="K641" t="s">
        <v>76</v>
      </c>
      <c r="L641" t="s">
        <v>2044</v>
      </c>
      <c r="M641" t="s">
        <v>41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42</v>
      </c>
      <c r="U641" t="s">
        <v>43</v>
      </c>
      <c r="V641" t="str">
        <f t="shared" si="90"/>
        <v/>
      </c>
      <c r="W641" t="str">
        <f t="shared" si="91"/>
        <v/>
      </c>
      <c r="X641">
        <f t="shared" si="92"/>
        <v>-0.58747117266059101</v>
      </c>
      <c r="Y641">
        <f t="shared" si="93"/>
        <v>1514.9649999999999</v>
      </c>
      <c r="Z641">
        <f t="shared" si="94"/>
        <v>468.79499999999985</v>
      </c>
      <c r="AA641">
        <f t="shared" si="95"/>
        <v>0.3094427924077453</v>
      </c>
      <c r="AB641">
        <f t="shared" si="96"/>
        <v>4</v>
      </c>
      <c r="AC641" t="str">
        <f t="shared" si="97"/>
        <v>December</v>
      </c>
      <c r="AD641">
        <f t="shared" si="98"/>
        <v>2024</v>
      </c>
      <c r="AE641" t="str">
        <f t="shared" si="99"/>
        <v>CLEAN</v>
      </c>
    </row>
    <row r="642" spans="1:31">
      <c r="A642" t="s">
        <v>2045</v>
      </c>
      <c r="B642" s="3">
        <v>45671</v>
      </c>
      <c r="C642" s="3">
        <v>45674</v>
      </c>
      <c r="D642" t="s">
        <v>2046</v>
      </c>
      <c r="E642" t="s">
        <v>81</v>
      </c>
      <c r="F642" t="s">
        <v>34</v>
      </c>
      <c r="G642" t="s">
        <v>73</v>
      </c>
      <c r="H642" t="s">
        <v>200</v>
      </c>
      <c r="I642" t="s">
        <v>201</v>
      </c>
      <c r="J642" t="s">
        <v>38</v>
      </c>
      <c r="K642" t="s">
        <v>134</v>
      </c>
      <c r="L642" t="s">
        <v>2047</v>
      </c>
      <c r="M642" t="s">
        <v>60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42</v>
      </c>
      <c r="U642" t="s">
        <v>43</v>
      </c>
      <c r="V642" t="str">
        <f t="shared" si="90"/>
        <v/>
      </c>
      <c r="W642" t="str">
        <f t="shared" si="91"/>
        <v/>
      </c>
      <c r="X642">
        <f t="shared" si="92"/>
        <v>0.84852144912701888</v>
      </c>
      <c r="Y642">
        <f t="shared" si="93"/>
        <v>1267.296</v>
      </c>
      <c r="Z642">
        <f t="shared" si="94"/>
        <v>343.76600000000008</v>
      </c>
      <c r="AA642">
        <f t="shared" si="95"/>
        <v>0.27125943741635739</v>
      </c>
      <c r="AB642">
        <f t="shared" si="96"/>
        <v>3</v>
      </c>
      <c r="AC642" t="str">
        <f t="shared" si="97"/>
        <v>January</v>
      </c>
      <c r="AD642">
        <f t="shared" si="98"/>
        <v>2025</v>
      </c>
      <c r="AE642" t="str">
        <f t="shared" si="99"/>
        <v>CLEAN</v>
      </c>
    </row>
    <row r="643" spans="1:31">
      <c r="A643" t="s">
        <v>2048</v>
      </c>
      <c r="B643" s="3">
        <v>45756</v>
      </c>
      <c r="C643" s="3">
        <v>45761</v>
      </c>
      <c r="D643" t="s">
        <v>2049</v>
      </c>
      <c r="E643" t="s">
        <v>33</v>
      </c>
      <c r="F643" t="s">
        <v>34</v>
      </c>
      <c r="G643" t="s">
        <v>35</v>
      </c>
      <c r="H643" t="s">
        <v>362</v>
      </c>
      <c r="I643" t="s">
        <v>363</v>
      </c>
      <c r="J643" t="s">
        <v>51</v>
      </c>
      <c r="K643" t="s">
        <v>67</v>
      </c>
      <c r="L643" t="s">
        <v>2050</v>
      </c>
      <c r="M643" t="s">
        <v>54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42</v>
      </c>
      <c r="U643" t="s">
        <v>43</v>
      </c>
      <c r="V643" t="str">
        <f t="shared" ref="V643:V706" si="100">IF(AND(N643&gt;0,O643&gt;0,Q643&gt;0,R643&gt;=0,S643&lt;&gt;""),IF(OR(P643&lt;0,ABS(P643-AVERAGE($P:$P))&gt;2*_xlfn.STDEV.P($P:$P)),"Invalid Discount",""),"")</f>
        <v/>
      </c>
      <c r="W643" t="str">
        <f t="shared" ref="W643:W706" si="101">IF(AND(B643&lt;&gt;"",C643&lt;&gt;""),IF(C643&lt;B643,"Invalid Shipping Record",""),"")</f>
        <v/>
      </c>
      <c r="X643">
        <f t="shared" ref="X643:X706" si="102">(P643-AVERAGE($P:$P))/_xlfn.STDEV.P($P:$P)</f>
        <v>-1.0661353799231277</v>
      </c>
      <c r="Y643">
        <f t="shared" ref="Y643:Y706" si="103">N643*O643*(1-P643)</f>
        <v>6405.74</v>
      </c>
      <c r="Z643">
        <f t="shared" ref="Z643:Z706" si="104">Y643-R643</f>
        <v>2843.87</v>
      </c>
      <c r="AA643">
        <f t="shared" ref="AA643:AA706" si="105">IF(Y643=0,0,Z643/Y643)</f>
        <v>0.44395651400150488</v>
      </c>
      <c r="AB643">
        <f t="shared" ref="AB643:AB706" si="106">DATEDIF(B643,C643,"d")</f>
        <v>5</v>
      </c>
      <c r="AC643" t="str">
        <f t="shared" ref="AC643:AC706" si="107">TEXT(B643,"mmmm")</f>
        <v>April</v>
      </c>
      <c r="AD643">
        <f t="shared" ref="AD643:AD706" si="108">YEAR(B643)</f>
        <v>2025</v>
      </c>
      <c r="AE643" t="str">
        <f t="shared" ref="AE643:AE706" si="109">IF(OR(V643="Invalid Discount",W643="Invalid Shipping Record"),"INVALID",IF(U643="Cancelled","WARNING","CLEAN"))</f>
        <v>CLEAN</v>
      </c>
    </row>
    <row r="644" spans="1:31">
      <c r="A644" t="s">
        <v>2051</v>
      </c>
      <c r="B644" s="3">
        <v>45533</v>
      </c>
      <c r="C644" s="3">
        <v>45535</v>
      </c>
      <c r="D644" t="s">
        <v>2052</v>
      </c>
      <c r="E644" t="s">
        <v>57</v>
      </c>
      <c r="F644" t="s">
        <v>105</v>
      </c>
      <c r="G644" t="s">
        <v>48</v>
      </c>
      <c r="H644" t="s">
        <v>176</v>
      </c>
      <c r="I644" t="s">
        <v>177</v>
      </c>
      <c r="J644" t="s">
        <v>38</v>
      </c>
      <c r="K644" t="s">
        <v>2053</v>
      </c>
      <c r="L644" t="s">
        <v>2054</v>
      </c>
      <c r="M644" t="s">
        <v>41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165</v>
      </c>
      <c r="U644" t="s">
        <v>113</v>
      </c>
      <c r="V644" t="str">
        <f t="shared" si="100"/>
        <v/>
      </c>
      <c r="W644" t="str">
        <f t="shared" si="101"/>
        <v/>
      </c>
      <c r="X644">
        <f t="shared" si="102"/>
        <v>1.3271856563895552</v>
      </c>
      <c r="Y644">
        <f t="shared" si="103"/>
        <v>8607.6674999999996</v>
      </c>
      <c r="Z644">
        <f t="shared" si="104"/>
        <v>3270.0274999999992</v>
      </c>
      <c r="AA644">
        <f t="shared" si="105"/>
        <v>0.37989705108846261</v>
      </c>
      <c r="AB644">
        <f t="shared" si="106"/>
        <v>2</v>
      </c>
      <c r="AC644" t="str">
        <f t="shared" si="107"/>
        <v>August</v>
      </c>
      <c r="AD644">
        <f t="shared" si="108"/>
        <v>2024</v>
      </c>
      <c r="AE644" t="str">
        <f t="shared" si="109"/>
        <v>CLEAN</v>
      </c>
    </row>
    <row r="645" spans="1:31">
      <c r="A645" t="s">
        <v>2055</v>
      </c>
      <c r="B645" s="3">
        <v>45327</v>
      </c>
      <c r="C645" s="3">
        <v>45335</v>
      </c>
      <c r="D645" t="s">
        <v>739</v>
      </c>
      <c r="E645" t="s">
        <v>138</v>
      </c>
      <c r="F645" t="s">
        <v>105</v>
      </c>
      <c r="G645" t="s">
        <v>35</v>
      </c>
      <c r="H645" t="s">
        <v>146</v>
      </c>
      <c r="I645" t="s">
        <v>147</v>
      </c>
      <c r="J645" t="s">
        <v>38</v>
      </c>
      <c r="K645" t="s">
        <v>101</v>
      </c>
      <c r="L645" t="s">
        <v>2056</v>
      </c>
      <c r="M645" t="s">
        <v>69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165</v>
      </c>
      <c r="U645" t="s">
        <v>113</v>
      </c>
      <c r="V645" t="str">
        <f t="shared" si="100"/>
        <v/>
      </c>
      <c r="W645" t="str">
        <f t="shared" si="101"/>
        <v/>
      </c>
      <c r="X645">
        <f t="shared" si="102"/>
        <v>0.3698572418644821</v>
      </c>
      <c r="Y645">
        <f t="shared" si="103"/>
        <v>26324.023999999998</v>
      </c>
      <c r="Z645">
        <f t="shared" si="104"/>
        <v>10046.063999999998</v>
      </c>
      <c r="AA645">
        <f t="shared" si="105"/>
        <v>0.3816310150758106</v>
      </c>
      <c r="AB645">
        <f t="shared" si="106"/>
        <v>8</v>
      </c>
      <c r="AC645" t="str">
        <f t="shared" si="107"/>
        <v>February</v>
      </c>
      <c r="AD645">
        <f t="shared" si="108"/>
        <v>2024</v>
      </c>
      <c r="AE645" t="str">
        <f t="shared" si="109"/>
        <v>CLEAN</v>
      </c>
    </row>
    <row r="646" spans="1:31">
      <c r="A646" t="s">
        <v>2057</v>
      </c>
      <c r="B646" s="3">
        <v>45757</v>
      </c>
      <c r="C646" s="3">
        <v>45764</v>
      </c>
      <c r="D646" t="s">
        <v>2058</v>
      </c>
      <c r="E646" t="s">
        <v>81</v>
      </c>
      <c r="F646" t="s">
        <v>34</v>
      </c>
      <c r="G646" t="s">
        <v>48</v>
      </c>
      <c r="H646" t="s">
        <v>109</v>
      </c>
      <c r="I646" t="s">
        <v>110</v>
      </c>
      <c r="J646" t="s">
        <v>51</v>
      </c>
      <c r="K646" t="s">
        <v>76</v>
      </c>
      <c r="L646" t="s">
        <v>2059</v>
      </c>
      <c r="M646" t="s">
        <v>69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42</v>
      </c>
      <c r="U646" t="s">
        <v>43</v>
      </c>
      <c r="V646" t="str">
        <f t="shared" si="100"/>
        <v/>
      </c>
      <c r="W646" t="str">
        <f t="shared" si="101"/>
        <v/>
      </c>
      <c r="X646">
        <f t="shared" si="102"/>
        <v>-0.58747117266059101</v>
      </c>
      <c r="Y646">
        <f t="shared" si="103"/>
        <v>14250.075999999999</v>
      </c>
      <c r="Z646">
        <f t="shared" si="104"/>
        <v>3335.155999999999</v>
      </c>
      <c r="AA646">
        <f t="shared" si="105"/>
        <v>0.23404478684885605</v>
      </c>
      <c r="AB646">
        <f t="shared" si="106"/>
        <v>7</v>
      </c>
      <c r="AC646" t="str">
        <f t="shared" si="107"/>
        <v>April</v>
      </c>
      <c r="AD646">
        <f t="shared" si="108"/>
        <v>2025</v>
      </c>
      <c r="AE646" t="str">
        <f t="shared" si="109"/>
        <v>CLEAN</v>
      </c>
    </row>
    <row r="647" spans="1:31">
      <c r="A647" t="s">
        <v>2060</v>
      </c>
      <c r="B647" s="3">
        <v>45295</v>
      </c>
      <c r="C647" s="3">
        <v>45300</v>
      </c>
      <c r="D647" t="s">
        <v>2061</v>
      </c>
      <c r="E647" t="s">
        <v>276</v>
      </c>
      <c r="F647" t="s">
        <v>34</v>
      </c>
      <c r="G647" t="s">
        <v>48</v>
      </c>
      <c r="H647" t="s">
        <v>155</v>
      </c>
      <c r="I647" t="s">
        <v>156</v>
      </c>
      <c r="J647" t="s">
        <v>51</v>
      </c>
      <c r="K647" t="s">
        <v>76</v>
      </c>
      <c r="L647" t="s">
        <v>2062</v>
      </c>
      <c r="M647" t="s">
        <v>41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42</v>
      </c>
      <c r="U647" t="s">
        <v>43</v>
      </c>
      <c r="V647" t="str">
        <f t="shared" si="100"/>
        <v/>
      </c>
      <c r="W647" t="str">
        <f t="shared" si="101"/>
        <v/>
      </c>
      <c r="X647">
        <f t="shared" si="102"/>
        <v>-0.10880696539805437</v>
      </c>
      <c r="Y647">
        <f t="shared" si="103"/>
        <v>13087.494000000001</v>
      </c>
      <c r="Z647">
        <f t="shared" si="104"/>
        <v>5478.6040000000003</v>
      </c>
      <c r="AA647">
        <f t="shared" si="105"/>
        <v>0.41861367806548755</v>
      </c>
      <c r="AB647">
        <f t="shared" si="106"/>
        <v>5</v>
      </c>
      <c r="AC647" t="str">
        <f t="shared" si="107"/>
        <v>January</v>
      </c>
      <c r="AD647">
        <f t="shared" si="108"/>
        <v>2024</v>
      </c>
      <c r="AE647" t="str">
        <f t="shared" si="109"/>
        <v>CLEAN</v>
      </c>
    </row>
    <row r="648" spans="1:31">
      <c r="A648" t="s">
        <v>2063</v>
      </c>
      <c r="B648" s="3">
        <v>45553</v>
      </c>
      <c r="C648" s="3">
        <v>45559</v>
      </c>
      <c r="D648" t="s">
        <v>2064</v>
      </c>
      <c r="E648" t="s">
        <v>81</v>
      </c>
      <c r="F648" t="s">
        <v>47</v>
      </c>
      <c r="G648" t="s">
        <v>48</v>
      </c>
      <c r="H648" t="s">
        <v>240</v>
      </c>
      <c r="I648" t="s">
        <v>241</v>
      </c>
      <c r="J648" t="s">
        <v>84</v>
      </c>
      <c r="K648" t="s">
        <v>286</v>
      </c>
      <c r="L648" t="s">
        <v>2065</v>
      </c>
      <c r="M648" t="s">
        <v>60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42</v>
      </c>
      <c r="U648" t="s">
        <v>43</v>
      </c>
      <c r="V648" t="str">
        <f t="shared" si="100"/>
        <v/>
      </c>
      <c r="W648" t="str">
        <f t="shared" si="101"/>
        <v/>
      </c>
      <c r="X648">
        <f t="shared" si="102"/>
        <v>1.3271856563895552</v>
      </c>
      <c r="Y648">
        <f t="shared" si="103"/>
        <v>1640.5650000000001</v>
      </c>
      <c r="Z648">
        <f t="shared" si="104"/>
        <v>503.58500000000004</v>
      </c>
      <c r="AA648">
        <f t="shared" si="105"/>
        <v>0.30695827352162214</v>
      </c>
      <c r="AB648">
        <f t="shared" si="106"/>
        <v>6</v>
      </c>
      <c r="AC648" t="str">
        <f t="shared" si="107"/>
        <v>September</v>
      </c>
      <c r="AD648">
        <f t="shared" si="108"/>
        <v>2024</v>
      </c>
      <c r="AE648" t="str">
        <f t="shared" si="109"/>
        <v>CLEAN</v>
      </c>
    </row>
    <row r="649" spans="1:31">
      <c r="A649" t="s">
        <v>2066</v>
      </c>
      <c r="B649" s="3">
        <v>45658</v>
      </c>
      <c r="C649" s="3">
        <v>45666</v>
      </c>
      <c r="D649" t="s">
        <v>2067</v>
      </c>
      <c r="E649" t="s">
        <v>151</v>
      </c>
      <c r="F649" t="s">
        <v>47</v>
      </c>
      <c r="G649" t="s">
        <v>35</v>
      </c>
      <c r="H649" t="s">
        <v>132</v>
      </c>
      <c r="I649" t="s">
        <v>133</v>
      </c>
      <c r="J649" t="s">
        <v>38</v>
      </c>
      <c r="K649" t="s">
        <v>58</v>
      </c>
      <c r="L649" t="s">
        <v>2068</v>
      </c>
      <c r="M649" t="s">
        <v>60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42</v>
      </c>
      <c r="U649" t="s">
        <v>43</v>
      </c>
      <c r="V649" t="str">
        <f t="shared" si="100"/>
        <v/>
      </c>
      <c r="W649" t="str">
        <f t="shared" si="101"/>
        <v/>
      </c>
      <c r="X649">
        <f t="shared" si="102"/>
        <v>0.3698572418644821</v>
      </c>
      <c r="Y649">
        <f t="shared" si="103"/>
        <v>14441.907999999999</v>
      </c>
      <c r="Z649">
        <f t="shared" si="104"/>
        <v>3569.018</v>
      </c>
      <c r="AA649">
        <f t="shared" si="105"/>
        <v>0.24712925743606731</v>
      </c>
      <c r="AB649">
        <f t="shared" si="106"/>
        <v>8</v>
      </c>
      <c r="AC649" t="str">
        <f t="shared" si="107"/>
        <v>January</v>
      </c>
      <c r="AD649">
        <f t="shared" si="108"/>
        <v>2025</v>
      </c>
      <c r="AE649" t="str">
        <f t="shared" si="109"/>
        <v>CLEAN</v>
      </c>
    </row>
    <row r="650" spans="1:31">
      <c r="A650" t="s">
        <v>2069</v>
      </c>
      <c r="B650" s="3">
        <v>45403</v>
      </c>
      <c r="C650" s="3">
        <v>45406</v>
      </c>
      <c r="D650" t="s">
        <v>2070</v>
      </c>
      <c r="E650" t="s">
        <v>89</v>
      </c>
      <c r="F650" t="s">
        <v>47</v>
      </c>
      <c r="G650" t="s">
        <v>64</v>
      </c>
      <c r="H650" t="s">
        <v>94</v>
      </c>
      <c r="I650" t="s">
        <v>95</v>
      </c>
      <c r="J650" t="s">
        <v>38</v>
      </c>
      <c r="K650" t="s">
        <v>58</v>
      </c>
      <c r="L650" t="s">
        <v>2071</v>
      </c>
      <c r="M650" t="s">
        <v>54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165</v>
      </c>
      <c r="U650" t="s">
        <v>113</v>
      </c>
      <c r="V650" t="str">
        <f t="shared" si="100"/>
        <v/>
      </c>
      <c r="W650" t="str">
        <f t="shared" si="101"/>
        <v/>
      </c>
      <c r="X650">
        <f t="shared" si="102"/>
        <v>0.84852144912701888</v>
      </c>
      <c r="Y650">
        <f t="shared" si="103"/>
        <v>5065.8480000000009</v>
      </c>
      <c r="Z650">
        <f t="shared" si="104"/>
        <v>1548.6180000000008</v>
      </c>
      <c r="AA650">
        <f t="shared" si="105"/>
        <v>0.30569768378364304</v>
      </c>
      <c r="AB650">
        <f t="shared" si="106"/>
        <v>3</v>
      </c>
      <c r="AC650" t="str">
        <f t="shared" si="107"/>
        <v>April</v>
      </c>
      <c r="AD650">
        <f t="shared" si="108"/>
        <v>2024</v>
      </c>
      <c r="AE650" t="str">
        <f t="shared" si="109"/>
        <v>CLEAN</v>
      </c>
    </row>
    <row r="651" spans="1:31">
      <c r="A651" t="s">
        <v>2072</v>
      </c>
      <c r="B651" s="3">
        <v>45880</v>
      </c>
      <c r="C651" s="3">
        <v>45888</v>
      </c>
      <c r="D651" t="s">
        <v>2073</v>
      </c>
      <c r="E651" t="s">
        <v>276</v>
      </c>
      <c r="F651" t="s">
        <v>47</v>
      </c>
      <c r="G651" t="s">
        <v>64</v>
      </c>
      <c r="H651" t="s">
        <v>195</v>
      </c>
      <c r="I651" t="s">
        <v>196</v>
      </c>
      <c r="J651" t="s">
        <v>84</v>
      </c>
      <c r="K651" t="s">
        <v>85</v>
      </c>
      <c r="L651" t="s">
        <v>2074</v>
      </c>
      <c r="M651" t="s">
        <v>69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42</v>
      </c>
      <c r="U651" t="s">
        <v>43</v>
      </c>
      <c r="V651" t="str">
        <f t="shared" si="100"/>
        <v/>
      </c>
      <c r="W651" t="str">
        <f t="shared" si="101"/>
        <v/>
      </c>
      <c r="X651">
        <f t="shared" si="102"/>
        <v>1.3271856563895552</v>
      </c>
      <c r="Y651">
        <f t="shared" si="103"/>
        <v>6776.88</v>
      </c>
      <c r="Z651">
        <f t="shared" si="104"/>
        <v>2940.6400000000003</v>
      </c>
      <c r="AA651">
        <f t="shared" si="105"/>
        <v>0.43392239496641527</v>
      </c>
      <c r="AB651">
        <f t="shared" si="106"/>
        <v>8</v>
      </c>
      <c r="AC651" t="str">
        <f t="shared" si="107"/>
        <v>August</v>
      </c>
      <c r="AD651">
        <f t="shared" si="108"/>
        <v>2025</v>
      </c>
      <c r="AE651" t="str">
        <f t="shared" si="109"/>
        <v>CLEAN</v>
      </c>
    </row>
    <row r="652" spans="1:31">
      <c r="A652" t="s">
        <v>2075</v>
      </c>
      <c r="B652" s="3">
        <v>45395</v>
      </c>
      <c r="C652" s="3">
        <v>45403</v>
      </c>
      <c r="D652" t="s">
        <v>390</v>
      </c>
      <c r="E652" t="s">
        <v>138</v>
      </c>
      <c r="F652" t="s">
        <v>105</v>
      </c>
      <c r="G652" t="s">
        <v>48</v>
      </c>
      <c r="H652" t="s">
        <v>155</v>
      </c>
      <c r="I652" t="s">
        <v>156</v>
      </c>
      <c r="J652" t="s">
        <v>84</v>
      </c>
      <c r="K652" t="s">
        <v>85</v>
      </c>
      <c r="L652" t="s">
        <v>2076</v>
      </c>
      <c r="M652" t="s">
        <v>54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165</v>
      </c>
      <c r="U652" t="s">
        <v>113</v>
      </c>
      <c r="V652" t="str">
        <f t="shared" si="100"/>
        <v/>
      </c>
      <c r="W652" t="str">
        <f t="shared" si="101"/>
        <v/>
      </c>
      <c r="X652">
        <f t="shared" si="102"/>
        <v>0.3698572418644821</v>
      </c>
      <c r="Y652">
        <f t="shared" si="103"/>
        <v>15760.121999999999</v>
      </c>
      <c r="Z652">
        <f t="shared" si="104"/>
        <v>5828.5919999999987</v>
      </c>
      <c r="AA652">
        <f t="shared" si="105"/>
        <v>0.36983165485647884</v>
      </c>
      <c r="AB652">
        <f t="shared" si="106"/>
        <v>8</v>
      </c>
      <c r="AC652" t="str">
        <f t="shared" si="107"/>
        <v>April</v>
      </c>
      <c r="AD652">
        <f t="shared" si="108"/>
        <v>2024</v>
      </c>
      <c r="AE652" t="str">
        <f t="shared" si="109"/>
        <v>CLEAN</v>
      </c>
    </row>
    <row r="653" spans="1:31">
      <c r="A653" t="s">
        <v>2077</v>
      </c>
      <c r="B653" s="3">
        <v>45875</v>
      </c>
      <c r="C653" s="3">
        <v>45878</v>
      </c>
      <c r="D653" t="s">
        <v>2078</v>
      </c>
      <c r="E653" t="s">
        <v>46</v>
      </c>
      <c r="F653" t="s">
        <v>47</v>
      </c>
      <c r="G653" t="s">
        <v>64</v>
      </c>
      <c r="H653" t="s">
        <v>94</v>
      </c>
      <c r="I653" t="s">
        <v>95</v>
      </c>
      <c r="J653" t="s">
        <v>38</v>
      </c>
      <c r="K653" t="s">
        <v>39</v>
      </c>
      <c r="L653" t="s">
        <v>2079</v>
      </c>
      <c r="M653" t="s">
        <v>41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42</v>
      </c>
      <c r="U653" t="s">
        <v>43</v>
      </c>
      <c r="V653" t="str">
        <f t="shared" si="100"/>
        <v/>
      </c>
      <c r="W653" t="str">
        <f t="shared" si="101"/>
        <v/>
      </c>
      <c r="X653">
        <f t="shared" si="102"/>
        <v>-1.0661353799231277</v>
      </c>
      <c r="Y653">
        <f t="shared" si="103"/>
        <v>1795.6499999999999</v>
      </c>
      <c r="Z653">
        <f t="shared" si="104"/>
        <v>798.92999999999984</v>
      </c>
      <c r="AA653">
        <f t="shared" si="105"/>
        <v>0.44492523598696843</v>
      </c>
      <c r="AB653">
        <f t="shared" si="106"/>
        <v>3</v>
      </c>
      <c r="AC653" t="str">
        <f t="shared" si="107"/>
        <v>August</v>
      </c>
      <c r="AD653">
        <f t="shared" si="108"/>
        <v>2025</v>
      </c>
      <c r="AE653" t="str">
        <f t="shared" si="109"/>
        <v>CLEAN</v>
      </c>
    </row>
    <row r="654" spans="1:31">
      <c r="A654" t="s">
        <v>2080</v>
      </c>
      <c r="B654" s="3">
        <v>45733</v>
      </c>
      <c r="C654" s="3">
        <v>45737</v>
      </c>
      <c r="D654" t="s">
        <v>1720</v>
      </c>
      <c r="E654" t="s">
        <v>142</v>
      </c>
      <c r="F654" t="s">
        <v>34</v>
      </c>
      <c r="G654" t="s">
        <v>35</v>
      </c>
      <c r="H654" t="s">
        <v>146</v>
      </c>
      <c r="I654" t="s">
        <v>147</v>
      </c>
      <c r="J654" t="s">
        <v>38</v>
      </c>
      <c r="K654" t="s">
        <v>163</v>
      </c>
      <c r="L654" t="s">
        <v>2081</v>
      </c>
      <c r="M654" t="s">
        <v>69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42</v>
      </c>
      <c r="U654" t="s">
        <v>43</v>
      </c>
      <c r="V654" t="str">
        <f t="shared" si="100"/>
        <v/>
      </c>
      <c r="W654" t="str">
        <f t="shared" si="101"/>
        <v/>
      </c>
      <c r="X654">
        <f t="shared" si="102"/>
        <v>0.3698572418644821</v>
      </c>
      <c r="Y654">
        <f t="shared" si="103"/>
        <v>18362.5075</v>
      </c>
      <c r="Z654">
        <f t="shared" si="104"/>
        <v>7228.5375000000004</v>
      </c>
      <c r="AA654">
        <f t="shared" si="105"/>
        <v>0.39365742941153326</v>
      </c>
      <c r="AB654">
        <f t="shared" si="106"/>
        <v>4</v>
      </c>
      <c r="AC654" t="str">
        <f t="shared" si="107"/>
        <v>March</v>
      </c>
      <c r="AD654">
        <f t="shared" si="108"/>
        <v>2025</v>
      </c>
      <c r="AE654" t="str">
        <f t="shared" si="109"/>
        <v>CLEAN</v>
      </c>
    </row>
    <row r="655" spans="1:31">
      <c r="A655" t="s">
        <v>2082</v>
      </c>
      <c r="B655" s="3">
        <v>45751</v>
      </c>
      <c r="C655" s="3">
        <v>45842</v>
      </c>
      <c r="D655" t="s">
        <v>2083</v>
      </c>
      <c r="E655" t="s">
        <v>124</v>
      </c>
      <c r="F655" t="s">
        <v>47</v>
      </c>
      <c r="G655" t="s">
        <v>64</v>
      </c>
      <c r="H655" t="s">
        <v>259</v>
      </c>
      <c r="I655" t="s">
        <v>260</v>
      </c>
      <c r="J655" t="s">
        <v>84</v>
      </c>
      <c r="K655" t="s">
        <v>90</v>
      </c>
      <c r="L655" t="s">
        <v>2084</v>
      </c>
      <c r="M655" t="s">
        <v>41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42</v>
      </c>
      <c r="U655" t="s">
        <v>43</v>
      </c>
      <c r="V655" t="str">
        <f t="shared" si="100"/>
        <v/>
      </c>
      <c r="W655" t="str">
        <f t="shared" si="101"/>
        <v/>
      </c>
      <c r="X655">
        <f t="shared" si="102"/>
        <v>0.3698572418644821</v>
      </c>
      <c r="Y655">
        <f t="shared" si="103"/>
        <v>26524.683500000003</v>
      </c>
      <c r="Z655">
        <f t="shared" si="104"/>
        <v>5950.3835000000036</v>
      </c>
      <c r="AA655">
        <f t="shared" si="105"/>
        <v>0.22433381721595294</v>
      </c>
      <c r="AB655">
        <f t="shared" si="106"/>
        <v>91</v>
      </c>
      <c r="AC655" t="str">
        <f t="shared" si="107"/>
        <v>April</v>
      </c>
      <c r="AD655">
        <f t="shared" si="108"/>
        <v>2025</v>
      </c>
      <c r="AE655" t="str">
        <f t="shared" si="109"/>
        <v>CLEAN</v>
      </c>
    </row>
    <row r="656" spans="1:31">
      <c r="A656" t="s">
        <v>2085</v>
      </c>
      <c r="B656" s="3">
        <v>46001</v>
      </c>
      <c r="C656" s="3">
        <v>45946</v>
      </c>
      <c r="D656" t="s">
        <v>949</v>
      </c>
      <c r="E656" t="s">
        <v>172</v>
      </c>
      <c r="F656" t="s">
        <v>100</v>
      </c>
      <c r="G656" t="s">
        <v>48</v>
      </c>
      <c r="H656" t="s">
        <v>155</v>
      </c>
      <c r="I656" t="s">
        <v>156</v>
      </c>
      <c r="J656" t="s">
        <v>84</v>
      </c>
      <c r="K656" t="s">
        <v>286</v>
      </c>
      <c r="L656" t="s">
        <v>2086</v>
      </c>
      <c r="M656" t="s">
        <v>54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42</v>
      </c>
      <c r="U656" t="s">
        <v>43</v>
      </c>
      <c r="V656" t="str">
        <f t="shared" si="100"/>
        <v/>
      </c>
      <c r="W656" t="str">
        <f t="shared" si="101"/>
        <v>Invalid Shipping Record</v>
      </c>
      <c r="X656">
        <f t="shared" si="102"/>
        <v>0.84852144912701888</v>
      </c>
      <c r="Y656">
        <f t="shared" si="103"/>
        <v>2056.0480000000002</v>
      </c>
      <c r="Z656">
        <f t="shared" si="104"/>
        <v>393.65800000000013</v>
      </c>
      <c r="AA656">
        <f t="shared" si="105"/>
        <v>0.19146342886936496</v>
      </c>
      <c r="AB656" t="e">
        <f t="shared" si="106"/>
        <v>#NUM!</v>
      </c>
      <c r="AC656" t="str">
        <f t="shared" si="107"/>
        <v>December</v>
      </c>
      <c r="AD656">
        <f t="shared" si="108"/>
        <v>2025</v>
      </c>
      <c r="AE656" t="str">
        <f t="shared" si="109"/>
        <v>INVALID</v>
      </c>
    </row>
    <row r="657" spans="1:31">
      <c r="A657" t="s">
        <v>2087</v>
      </c>
      <c r="B657" s="3">
        <v>45895</v>
      </c>
      <c r="C657" s="3">
        <v>45895</v>
      </c>
      <c r="D657" t="s">
        <v>2088</v>
      </c>
      <c r="E657" t="s">
        <v>89</v>
      </c>
      <c r="F657" t="s">
        <v>105</v>
      </c>
      <c r="G657" t="s">
        <v>48</v>
      </c>
      <c r="H657" t="s">
        <v>109</v>
      </c>
      <c r="I657" t="s">
        <v>110</v>
      </c>
      <c r="J657" t="s">
        <v>51</v>
      </c>
      <c r="K657" t="s">
        <v>67</v>
      </c>
      <c r="L657" t="s">
        <v>2089</v>
      </c>
      <c r="M657" t="s">
        <v>69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42</v>
      </c>
      <c r="U657" t="s">
        <v>43</v>
      </c>
      <c r="V657" t="str">
        <f t="shared" si="100"/>
        <v/>
      </c>
      <c r="W657" t="str">
        <f t="shared" si="101"/>
        <v/>
      </c>
      <c r="X657">
        <f t="shared" si="102"/>
        <v>-1.0661353799231277</v>
      </c>
      <c r="Y657">
        <f t="shared" si="103"/>
        <v>8607.2800000000007</v>
      </c>
      <c r="Z657">
        <f t="shared" si="104"/>
        <v>3483.2700000000004</v>
      </c>
      <c r="AA657">
        <f t="shared" si="105"/>
        <v>0.40468882155570635</v>
      </c>
      <c r="AB657">
        <f t="shared" si="106"/>
        <v>0</v>
      </c>
      <c r="AC657" t="str">
        <f t="shared" si="107"/>
        <v>August</v>
      </c>
      <c r="AD657">
        <f t="shared" si="108"/>
        <v>2025</v>
      </c>
      <c r="AE657" t="str">
        <f t="shared" si="109"/>
        <v>CLEAN</v>
      </c>
    </row>
    <row r="658" spans="1:31">
      <c r="A658" t="s">
        <v>2090</v>
      </c>
      <c r="B658" s="3">
        <v>45419</v>
      </c>
      <c r="C658" s="3">
        <v>45426</v>
      </c>
      <c r="D658" t="s">
        <v>2091</v>
      </c>
      <c r="E658" t="s">
        <v>89</v>
      </c>
      <c r="F658" t="s">
        <v>47</v>
      </c>
      <c r="G658" t="s">
        <v>35</v>
      </c>
      <c r="H658" t="s">
        <v>248</v>
      </c>
      <c r="I658" t="s">
        <v>249</v>
      </c>
      <c r="J658" t="s">
        <v>84</v>
      </c>
      <c r="K658" t="s">
        <v>286</v>
      </c>
      <c r="L658" t="s">
        <v>2092</v>
      </c>
      <c r="M658" t="s">
        <v>54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42</v>
      </c>
      <c r="U658" t="s">
        <v>43</v>
      </c>
      <c r="V658" t="str">
        <f t="shared" si="100"/>
        <v>Invalid Discount</v>
      </c>
      <c r="W658" t="str">
        <f t="shared" si="101"/>
        <v/>
      </c>
      <c r="X658">
        <f t="shared" si="102"/>
        <v>-1.5447995871856641</v>
      </c>
      <c r="Y658">
        <f t="shared" si="103"/>
        <v>11554.62</v>
      </c>
      <c r="Z658">
        <f t="shared" si="104"/>
        <v>3858.3400000000011</v>
      </c>
      <c r="AA658">
        <f t="shared" si="105"/>
        <v>0.33392184251840396</v>
      </c>
      <c r="AB658">
        <f t="shared" si="106"/>
        <v>7</v>
      </c>
      <c r="AC658" t="str">
        <f t="shared" si="107"/>
        <v>May</v>
      </c>
      <c r="AD658">
        <f t="shared" si="108"/>
        <v>2024</v>
      </c>
      <c r="AE658" t="str">
        <f t="shared" si="109"/>
        <v>INVALID</v>
      </c>
    </row>
    <row r="659" spans="1:31">
      <c r="A659" t="s">
        <v>2093</v>
      </c>
      <c r="B659" s="3">
        <v>45846</v>
      </c>
      <c r="C659" s="3">
        <v>45879</v>
      </c>
      <c r="D659" t="s">
        <v>2094</v>
      </c>
      <c r="E659" t="s">
        <v>99</v>
      </c>
      <c r="F659" t="s">
        <v>105</v>
      </c>
      <c r="G659" t="s">
        <v>48</v>
      </c>
      <c r="H659" t="s">
        <v>155</v>
      </c>
      <c r="I659" t="s">
        <v>156</v>
      </c>
      <c r="J659" t="s">
        <v>38</v>
      </c>
      <c r="K659" t="s">
        <v>134</v>
      </c>
      <c r="L659" t="s">
        <v>2095</v>
      </c>
      <c r="M659" t="s">
        <v>41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42</v>
      </c>
      <c r="U659" t="s">
        <v>43</v>
      </c>
      <c r="V659" t="str">
        <f t="shared" si="100"/>
        <v/>
      </c>
      <c r="W659" t="str">
        <f t="shared" si="101"/>
        <v/>
      </c>
      <c r="X659">
        <f t="shared" si="102"/>
        <v>0.84852144912701888</v>
      </c>
      <c r="Y659">
        <f t="shared" si="103"/>
        <v>2033</v>
      </c>
      <c r="Z659">
        <f t="shared" si="104"/>
        <v>741.58999999999992</v>
      </c>
      <c r="AA659">
        <f t="shared" si="105"/>
        <v>0.36477619281849477</v>
      </c>
      <c r="AB659">
        <f t="shared" si="106"/>
        <v>33</v>
      </c>
      <c r="AC659" t="str">
        <f t="shared" si="107"/>
        <v>July</v>
      </c>
      <c r="AD659">
        <f t="shared" si="108"/>
        <v>2025</v>
      </c>
      <c r="AE659" t="str">
        <f t="shared" si="109"/>
        <v>CLEAN</v>
      </c>
    </row>
    <row r="660" spans="1:31">
      <c r="A660" t="s">
        <v>2096</v>
      </c>
      <c r="B660" s="3">
        <v>45817</v>
      </c>
      <c r="C660" s="3">
        <v>45997</v>
      </c>
      <c r="D660" t="s">
        <v>2097</v>
      </c>
      <c r="E660" t="s">
        <v>142</v>
      </c>
      <c r="F660" t="s">
        <v>34</v>
      </c>
      <c r="G660" t="s">
        <v>215</v>
      </c>
      <c r="H660" t="s">
        <v>155</v>
      </c>
      <c r="I660" t="s">
        <v>156</v>
      </c>
      <c r="J660" t="s">
        <v>38</v>
      </c>
      <c r="K660" t="s">
        <v>58</v>
      </c>
      <c r="L660" t="s">
        <v>2098</v>
      </c>
      <c r="M660" t="s">
        <v>60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112</v>
      </c>
      <c r="U660" t="s">
        <v>78</v>
      </c>
      <c r="V660" t="str">
        <f t="shared" si="100"/>
        <v/>
      </c>
      <c r="W660" t="str">
        <f t="shared" si="101"/>
        <v/>
      </c>
      <c r="X660">
        <f t="shared" si="102"/>
        <v>-1.0661353799231277</v>
      </c>
      <c r="Y660">
        <f t="shared" si="103"/>
        <v>19966.940000000002</v>
      </c>
      <c r="Z660">
        <f t="shared" si="104"/>
        <v>7276.1100000000024</v>
      </c>
      <c r="AA660">
        <f t="shared" si="105"/>
        <v>0.36440786620283339</v>
      </c>
      <c r="AB660">
        <f t="shared" si="106"/>
        <v>180</v>
      </c>
      <c r="AC660" t="str">
        <f t="shared" si="107"/>
        <v>June</v>
      </c>
      <c r="AD660">
        <f t="shared" si="108"/>
        <v>2025</v>
      </c>
      <c r="AE660" t="str">
        <f t="shared" si="109"/>
        <v>WARNING</v>
      </c>
    </row>
    <row r="661" spans="1:31">
      <c r="A661" t="s">
        <v>2099</v>
      </c>
      <c r="B661" s="3">
        <v>45678</v>
      </c>
      <c r="C661" s="3">
        <v>45679</v>
      </c>
      <c r="D661" t="s">
        <v>2100</v>
      </c>
      <c r="E661" t="s">
        <v>172</v>
      </c>
      <c r="F661" t="s">
        <v>100</v>
      </c>
      <c r="G661" t="s">
        <v>64</v>
      </c>
      <c r="H661" t="s">
        <v>185</v>
      </c>
      <c r="I661" t="s">
        <v>186</v>
      </c>
      <c r="J661" t="s">
        <v>84</v>
      </c>
      <c r="K661" t="s">
        <v>181</v>
      </c>
      <c r="L661" t="s">
        <v>2101</v>
      </c>
      <c r="M661" t="s">
        <v>41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112</v>
      </c>
      <c r="U661" t="s">
        <v>78</v>
      </c>
      <c r="V661" t="str">
        <f t="shared" si="100"/>
        <v/>
      </c>
      <c r="W661" t="str">
        <f t="shared" si="101"/>
        <v/>
      </c>
      <c r="X661">
        <f t="shared" si="102"/>
        <v>0.84852144912701888</v>
      </c>
      <c r="Y661">
        <f t="shared" si="103"/>
        <v>710.89600000000007</v>
      </c>
      <c r="Z661">
        <f t="shared" si="104"/>
        <v>197.01600000000008</v>
      </c>
      <c r="AA661">
        <f t="shared" si="105"/>
        <v>0.27713758411919615</v>
      </c>
      <c r="AB661">
        <f t="shared" si="106"/>
        <v>1</v>
      </c>
      <c r="AC661" t="str">
        <f t="shared" si="107"/>
        <v>January</v>
      </c>
      <c r="AD661">
        <f t="shared" si="108"/>
        <v>2025</v>
      </c>
      <c r="AE661" t="str">
        <f t="shared" si="109"/>
        <v>WARNING</v>
      </c>
    </row>
    <row r="662" spans="1:31">
      <c r="A662" t="s">
        <v>2102</v>
      </c>
      <c r="B662" s="3">
        <v>45853</v>
      </c>
      <c r="C662" s="3">
        <v>45853</v>
      </c>
      <c r="D662" t="s">
        <v>2103</v>
      </c>
      <c r="E662" t="s">
        <v>63</v>
      </c>
      <c r="F662" t="s">
        <v>47</v>
      </c>
      <c r="G662" t="s">
        <v>48</v>
      </c>
      <c r="H662" t="s">
        <v>240</v>
      </c>
      <c r="I662" t="s">
        <v>241</v>
      </c>
      <c r="J662" t="s">
        <v>84</v>
      </c>
      <c r="K662" t="s">
        <v>181</v>
      </c>
      <c r="L662" t="s">
        <v>2104</v>
      </c>
      <c r="M662" t="s">
        <v>54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42</v>
      </c>
      <c r="U662" t="s">
        <v>43</v>
      </c>
      <c r="V662" t="str">
        <f t="shared" si="100"/>
        <v/>
      </c>
      <c r="W662" t="str">
        <f t="shared" si="101"/>
        <v/>
      </c>
      <c r="X662">
        <f t="shared" si="102"/>
        <v>-0.10880696539805437</v>
      </c>
      <c r="Y662">
        <f t="shared" si="103"/>
        <v>15994.476000000001</v>
      </c>
      <c r="Z662">
        <f t="shared" si="104"/>
        <v>6770.1959999999999</v>
      </c>
      <c r="AA662">
        <f t="shared" si="105"/>
        <v>0.42328338858991066</v>
      </c>
      <c r="AB662">
        <f t="shared" si="106"/>
        <v>0</v>
      </c>
      <c r="AC662" t="str">
        <f t="shared" si="107"/>
        <v>July</v>
      </c>
      <c r="AD662">
        <f t="shared" si="108"/>
        <v>2025</v>
      </c>
      <c r="AE662" t="str">
        <f t="shared" si="109"/>
        <v>CLEAN</v>
      </c>
    </row>
    <row r="663" spans="1:31">
      <c r="A663" t="s">
        <v>2105</v>
      </c>
      <c r="B663" s="3">
        <v>45429</v>
      </c>
      <c r="C663" s="3">
        <v>45434</v>
      </c>
      <c r="D663" t="s">
        <v>2106</v>
      </c>
      <c r="E663" t="s">
        <v>142</v>
      </c>
      <c r="F663" t="s">
        <v>34</v>
      </c>
      <c r="G663" t="s">
        <v>64</v>
      </c>
      <c r="H663" t="s">
        <v>94</v>
      </c>
      <c r="I663" t="s">
        <v>95</v>
      </c>
      <c r="J663" t="s">
        <v>84</v>
      </c>
      <c r="K663" t="s">
        <v>286</v>
      </c>
      <c r="L663" t="s">
        <v>2107</v>
      </c>
      <c r="M663" t="s">
        <v>41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42</v>
      </c>
      <c r="U663" t="s">
        <v>43</v>
      </c>
      <c r="V663" t="str">
        <f t="shared" si="100"/>
        <v/>
      </c>
      <c r="W663" t="str">
        <f t="shared" si="101"/>
        <v/>
      </c>
      <c r="X663">
        <f t="shared" si="102"/>
        <v>-1.0661353799231277</v>
      </c>
      <c r="Y663">
        <f t="shared" si="103"/>
        <v>1627.5</v>
      </c>
      <c r="Z663">
        <f t="shared" si="104"/>
        <v>687.6</v>
      </c>
      <c r="AA663">
        <f t="shared" si="105"/>
        <v>0.4224884792626728</v>
      </c>
      <c r="AB663">
        <f t="shared" si="106"/>
        <v>5</v>
      </c>
      <c r="AC663" t="str">
        <f t="shared" si="107"/>
        <v>May</v>
      </c>
      <c r="AD663">
        <f t="shared" si="108"/>
        <v>2024</v>
      </c>
      <c r="AE663" t="str">
        <f t="shared" si="109"/>
        <v>CLEAN</v>
      </c>
    </row>
    <row r="664" spans="1:31">
      <c r="A664" t="s">
        <v>2108</v>
      </c>
      <c r="B664" s="3">
        <v>45305</v>
      </c>
      <c r="C664" s="3">
        <v>45309</v>
      </c>
      <c r="D664" t="s">
        <v>2109</v>
      </c>
      <c r="E664" t="s">
        <v>46</v>
      </c>
      <c r="F664" t="s">
        <v>105</v>
      </c>
      <c r="G664" t="s">
        <v>73</v>
      </c>
      <c r="H664" t="s">
        <v>36</v>
      </c>
      <c r="I664" t="s">
        <v>119</v>
      </c>
      <c r="J664" t="s">
        <v>84</v>
      </c>
      <c r="K664" t="s">
        <v>286</v>
      </c>
      <c r="L664" t="s">
        <v>2110</v>
      </c>
      <c r="M664" t="s">
        <v>54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42</v>
      </c>
      <c r="U664" t="s">
        <v>43</v>
      </c>
      <c r="V664" t="str">
        <f t="shared" si="100"/>
        <v/>
      </c>
      <c r="W664" t="str">
        <f t="shared" si="101"/>
        <v/>
      </c>
      <c r="X664">
        <f t="shared" si="102"/>
        <v>-0.10880696539805437</v>
      </c>
      <c r="Y664">
        <f t="shared" si="103"/>
        <v>9637.92</v>
      </c>
      <c r="Z664">
        <f t="shared" si="104"/>
        <v>2308.63</v>
      </c>
      <c r="AA664">
        <f t="shared" si="105"/>
        <v>0.2395361239769577</v>
      </c>
      <c r="AB664">
        <f t="shared" si="106"/>
        <v>4</v>
      </c>
      <c r="AC664" t="str">
        <f t="shared" si="107"/>
        <v>January</v>
      </c>
      <c r="AD664">
        <f t="shared" si="108"/>
        <v>2024</v>
      </c>
      <c r="AE664" t="str">
        <f t="shared" si="109"/>
        <v>CLEAN</v>
      </c>
    </row>
    <row r="665" spans="1:31">
      <c r="A665" t="s">
        <v>2111</v>
      </c>
      <c r="B665" s="3">
        <v>45327</v>
      </c>
      <c r="C665" s="3">
        <v>45420</v>
      </c>
      <c r="D665" t="s">
        <v>2112</v>
      </c>
      <c r="E665" t="s">
        <v>128</v>
      </c>
      <c r="F665" t="s">
        <v>105</v>
      </c>
      <c r="G665" t="s">
        <v>48</v>
      </c>
      <c r="H665" t="s">
        <v>240</v>
      </c>
      <c r="I665" t="s">
        <v>241</v>
      </c>
      <c r="J665" t="s">
        <v>84</v>
      </c>
      <c r="K665" t="s">
        <v>90</v>
      </c>
      <c r="L665" t="s">
        <v>2113</v>
      </c>
      <c r="M665" t="s">
        <v>41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42</v>
      </c>
      <c r="U665" t="s">
        <v>43</v>
      </c>
      <c r="V665" t="str">
        <f t="shared" si="100"/>
        <v>Invalid Discount</v>
      </c>
      <c r="W665" t="str">
        <f t="shared" si="101"/>
        <v/>
      </c>
      <c r="X665">
        <f t="shared" si="102"/>
        <v>-3.3637235747833034</v>
      </c>
      <c r="Y665">
        <f t="shared" si="103"/>
        <v>7898.8248000000003</v>
      </c>
      <c r="Z665">
        <f t="shared" si="104"/>
        <v>4745.8448000000008</v>
      </c>
      <c r="AA665">
        <f t="shared" si="105"/>
        <v>0.60082922715287979</v>
      </c>
      <c r="AB665">
        <f t="shared" si="106"/>
        <v>93</v>
      </c>
      <c r="AC665" t="str">
        <f t="shared" si="107"/>
        <v>February</v>
      </c>
      <c r="AD665">
        <f t="shared" si="108"/>
        <v>2024</v>
      </c>
      <c r="AE665" t="str">
        <f t="shared" si="109"/>
        <v>INVALID</v>
      </c>
    </row>
    <row r="666" spans="1:31">
      <c r="A666" t="s">
        <v>2114</v>
      </c>
      <c r="B666" s="3">
        <v>45633</v>
      </c>
      <c r="C666" s="3">
        <v>45636</v>
      </c>
      <c r="D666" t="s">
        <v>2115</v>
      </c>
      <c r="E666" t="s">
        <v>46</v>
      </c>
      <c r="F666" t="s">
        <v>105</v>
      </c>
      <c r="G666" t="s">
        <v>64</v>
      </c>
      <c r="H666" t="s">
        <v>65</v>
      </c>
      <c r="I666" t="s">
        <v>66</v>
      </c>
      <c r="J666" t="s">
        <v>84</v>
      </c>
      <c r="K666" t="s">
        <v>85</v>
      </c>
      <c r="L666" t="s">
        <v>2116</v>
      </c>
      <c r="M666" t="s">
        <v>69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42</v>
      </c>
      <c r="U666" t="s">
        <v>43</v>
      </c>
      <c r="V666" t="str">
        <f t="shared" si="100"/>
        <v/>
      </c>
      <c r="W666" t="str">
        <f t="shared" si="101"/>
        <v/>
      </c>
      <c r="X666">
        <f t="shared" si="102"/>
        <v>0.84852144912701888</v>
      </c>
      <c r="Y666">
        <f t="shared" si="103"/>
        <v>1527.0640000000001</v>
      </c>
      <c r="Z666">
        <f t="shared" si="104"/>
        <v>471.17399999999998</v>
      </c>
      <c r="AA666">
        <f t="shared" si="105"/>
        <v>0.30854895407134209</v>
      </c>
      <c r="AB666">
        <f t="shared" si="106"/>
        <v>3</v>
      </c>
      <c r="AC666" t="str">
        <f t="shared" si="107"/>
        <v>December</v>
      </c>
      <c r="AD666">
        <f t="shared" si="108"/>
        <v>2024</v>
      </c>
      <c r="AE666" t="str">
        <f t="shared" si="109"/>
        <v>CLEAN</v>
      </c>
    </row>
    <row r="667" spans="1:31">
      <c r="A667" t="s">
        <v>2117</v>
      </c>
      <c r="B667" s="3">
        <v>45670</v>
      </c>
      <c r="C667" s="3">
        <v>45670</v>
      </c>
      <c r="D667" t="s">
        <v>2118</v>
      </c>
      <c r="E667" t="s">
        <v>128</v>
      </c>
      <c r="F667" t="s">
        <v>105</v>
      </c>
      <c r="G667" t="s">
        <v>73</v>
      </c>
      <c r="H667" t="s">
        <v>190</v>
      </c>
      <c r="I667" t="s">
        <v>191</v>
      </c>
      <c r="J667" t="s">
        <v>38</v>
      </c>
      <c r="K667" t="s">
        <v>58</v>
      </c>
      <c r="L667" t="s">
        <v>2119</v>
      </c>
      <c r="M667" t="s">
        <v>69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165</v>
      </c>
      <c r="U667" t="s">
        <v>78</v>
      </c>
      <c r="V667" t="str">
        <f t="shared" si="100"/>
        <v/>
      </c>
      <c r="W667" t="str">
        <f t="shared" si="101"/>
        <v/>
      </c>
      <c r="X667">
        <f t="shared" si="102"/>
        <v>-0.10880696539805437</v>
      </c>
      <c r="Y667">
        <f t="shared" si="103"/>
        <v>5698.4039999999995</v>
      </c>
      <c r="Z667">
        <f t="shared" si="104"/>
        <v>2057.5139999999997</v>
      </c>
      <c r="AA667">
        <f t="shared" si="105"/>
        <v>0.36106846759197836</v>
      </c>
      <c r="AB667">
        <f t="shared" si="106"/>
        <v>0</v>
      </c>
      <c r="AC667" t="str">
        <f t="shared" si="107"/>
        <v>January</v>
      </c>
      <c r="AD667">
        <f t="shared" si="108"/>
        <v>2025</v>
      </c>
      <c r="AE667" t="str">
        <f t="shared" si="109"/>
        <v>WARNING</v>
      </c>
    </row>
    <row r="668" spans="1:31">
      <c r="A668" t="s">
        <v>2120</v>
      </c>
      <c r="B668" s="3">
        <v>45464</v>
      </c>
      <c r="C668" s="3">
        <v>45469</v>
      </c>
      <c r="D668" t="s">
        <v>2121</v>
      </c>
      <c r="E668" t="s">
        <v>151</v>
      </c>
      <c r="F668" t="s">
        <v>47</v>
      </c>
      <c r="G668" t="s">
        <v>35</v>
      </c>
      <c r="H668" t="s">
        <v>132</v>
      </c>
      <c r="I668" t="s">
        <v>133</v>
      </c>
      <c r="J668" t="s">
        <v>84</v>
      </c>
      <c r="K668" t="s">
        <v>90</v>
      </c>
      <c r="L668" t="s">
        <v>2122</v>
      </c>
      <c r="M668" t="s">
        <v>54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42</v>
      </c>
      <c r="U668" t="s">
        <v>43</v>
      </c>
      <c r="V668" t="str">
        <f t="shared" si="100"/>
        <v/>
      </c>
      <c r="W668" t="str">
        <f t="shared" si="101"/>
        <v/>
      </c>
      <c r="X668">
        <f t="shared" si="102"/>
        <v>-0.58747117266059101</v>
      </c>
      <c r="Y668">
        <f t="shared" si="103"/>
        <v>265.83849999999995</v>
      </c>
      <c r="Z668">
        <f t="shared" si="104"/>
        <v>42.348499999999945</v>
      </c>
      <c r="AA668">
        <f t="shared" si="105"/>
        <v>0.15930160605028976</v>
      </c>
      <c r="AB668">
        <f t="shared" si="106"/>
        <v>5</v>
      </c>
      <c r="AC668" t="str">
        <f t="shared" si="107"/>
        <v>June</v>
      </c>
      <c r="AD668">
        <f t="shared" si="108"/>
        <v>2024</v>
      </c>
      <c r="AE668" t="str">
        <f t="shared" si="109"/>
        <v>CLEAN</v>
      </c>
    </row>
    <row r="669" spans="1:31">
      <c r="A669" t="s">
        <v>2123</v>
      </c>
      <c r="B669" s="3">
        <v>45797</v>
      </c>
      <c r="C669" s="3">
        <v>45804</v>
      </c>
      <c r="D669" t="s">
        <v>2124</v>
      </c>
      <c r="E669" t="s">
        <v>172</v>
      </c>
      <c r="F669" t="s">
        <v>47</v>
      </c>
      <c r="G669" t="s">
        <v>48</v>
      </c>
      <c r="H669" t="s">
        <v>155</v>
      </c>
      <c r="I669" t="s">
        <v>156</v>
      </c>
      <c r="J669" t="s">
        <v>84</v>
      </c>
      <c r="K669" t="s">
        <v>286</v>
      </c>
      <c r="L669" t="s">
        <v>2125</v>
      </c>
      <c r="M669" t="s">
        <v>69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121</v>
      </c>
      <c r="U669" t="s">
        <v>113</v>
      </c>
      <c r="V669" t="str">
        <f t="shared" si="100"/>
        <v/>
      </c>
      <c r="W669" t="str">
        <f t="shared" si="101"/>
        <v/>
      </c>
      <c r="X669">
        <f t="shared" si="102"/>
        <v>-1.0661353799231277</v>
      </c>
      <c r="Y669">
        <f t="shared" si="103"/>
        <v>3959.14</v>
      </c>
      <c r="Z669">
        <f t="shared" si="104"/>
        <v>719.60999999999967</v>
      </c>
      <c r="AA669">
        <f t="shared" si="105"/>
        <v>0.18175916992074029</v>
      </c>
      <c r="AB669">
        <f t="shared" si="106"/>
        <v>7</v>
      </c>
      <c r="AC669" t="str">
        <f t="shared" si="107"/>
        <v>May</v>
      </c>
      <c r="AD669">
        <f t="shared" si="108"/>
        <v>2025</v>
      </c>
      <c r="AE669" t="str">
        <f t="shared" si="109"/>
        <v>CLEAN</v>
      </c>
    </row>
    <row r="670" spans="1:31">
      <c r="A670" t="s">
        <v>2126</v>
      </c>
      <c r="B670" s="3">
        <v>45617</v>
      </c>
      <c r="C670" s="3">
        <v>45619</v>
      </c>
      <c r="D670" t="s">
        <v>2127</v>
      </c>
      <c r="E670" t="s">
        <v>46</v>
      </c>
      <c r="F670" t="s">
        <v>100</v>
      </c>
      <c r="G670" t="s">
        <v>73</v>
      </c>
      <c r="H670" t="s">
        <v>190</v>
      </c>
      <c r="I670" t="s">
        <v>191</v>
      </c>
      <c r="J670" t="s">
        <v>38</v>
      </c>
      <c r="K670" t="s">
        <v>39</v>
      </c>
      <c r="L670" t="s">
        <v>2128</v>
      </c>
      <c r="M670" t="s">
        <v>41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42</v>
      </c>
      <c r="U670" t="s">
        <v>43</v>
      </c>
      <c r="V670" t="str">
        <f t="shared" si="100"/>
        <v/>
      </c>
      <c r="W670" t="str">
        <f t="shared" si="101"/>
        <v/>
      </c>
      <c r="X670">
        <f t="shared" si="102"/>
        <v>0.84852144912701888</v>
      </c>
      <c r="Y670">
        <f t="shared" si="103"/>
        <v>2401.84</v>
      </c>
      <c r="Z670">
        <f t="shared" si="104"/>
        <v>528.73000000000025</v>
      </c>
      <c r="AA670">
        <f t="shared" si="105"/>
        <v>0.22013539619624964</v>
      </c>
      <c r="AB670">
        <f t="shared" si="106"/>
        <v>2</v>
      </c>
      <c r="AC670" t="str">
        <f t="shared" si="107"/>
        <v>November</v>
      </c>
      <c r="AD670">
        <f t="shared" si="108"/>
        <v>2024</v>
      </c>
      <c r="AE670" t="str">
        <f t="shared" si="109"/>
        <v>CLEAN</v>
      </c>
    </row>
    <row r="671" spans="1:31">
      <c r="A671" t="s">
        <v>2129</v>
      </c>
      <c r="B671" s="3">
        <v>45375</v>
      </c>
      <c r="C671" s="3">
        <v>45383</v>
      </c>
      <c r="D671" t="s">
        <v>2130</v>
      </c>
      <c r="E671" t="s">
        <v>72</v>
      </c>
      <c r="F671" t="s">
        <v>105</v>
      </c>
      <c r="G671" t="s">
        <v>73</v>
      </c>
      <c r="H671" t="s">
        <v>74</v>
      </c>
      <c r="I671" t="s">
        <v>75</v>
      </c>
      <c r="J671" t="s">
        <v>51</v>
      </c>
      <c r="K671" t="s">
        <v>52</v>
      </c>
      <c r="L671" t="s">
        <v>2131</v>
      </c>
      <c r="M671" t="s">
        <v>41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42</v>
      </c>
      <c r="U671" t="s">
        <v>43</v>
      </c>
      <c r="V671" t="str">
        <f t="shared" si="100"/>
        <v/>
      </c>
      <c r="W671" t="str">
        <f t="shared" si="101"/>
        <v/>
      </c>
      <c r="X671">
        <f t="shared" si="102"/>
        <v>1.3271856563895552</v>
      </c>
      <c r="Y671">
        <f t="shared" si="103"/>
        <v>5102.16</v>
      </c>
      <c r="Z671">
        <f t="shared" si="104"/>
        <v>1875.71</v>
      </c>
      <c r="AA671">
        <f t="shared" si="105"/>
        <v>0.36763057214983458</v>
      </c>
      <c r="AB671">
        <f t="shared" si="106"/>
        <v>8</v>
      </c>
      <c r="AC671" t="str">
        <f t="shared" si="107"/>
        <v>March</v>
      </c>
      <c r="AD671">
        <f t="shared" si="108"/>
        <v>2024</v>
      </c>
      <c r="AE671" t="str">
        <f t="shared" si="109"/>
        <v>CLEAN</v>
      </c>
    </row>
    <row r="672" spans="1:31">
      <c r="A672" t="s">
        <v>2132</v>
      </c>
      <c r="B672" s="3">
        <v>45690</v>
      </c>
      <c r="C672" s="3">
        <v>45694</v>
      </c>
      <c r="D672" t="s">
        <v>1630</v>
      </c>
      <c r="E672" t="s">
        <v>142</v>
      </c>
      <c r="F672" t="s">
        <v>100</v>
      </c>
      <c r="G672" t="s">
        <v>35</v>
      </c>
      <c r="H672" t="s">
        <v>146</v>
      </c>
      <c r="I672" t="s">
        <v>147</v>
      </c>
      <c r="J672" t="s">
        <v>51</v>
      </c>
      <c r="K672" t="s">
        <v>52</v>
      </c>
      <c r="L672" t="s">
        <v>2133</v>
      </c>
      <c r="M672" t="s">
        <v>69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42</v>
      </c>
      <c r="U672" t="s">
        <v>43</v>
      </c>
      <c r="V672" t="str">
        <f t="shared" si="100"/>
        <v/>
      </c>
      <c r="W672" t="str">
        <f t="shared" si="101"/>
        <v/>
      </c>
      <c r="X672">
        <f t="shared" si="102"/>
        <v>-0.10880696539805437</v>
      </c>
      <c r="Y672">
        <f t="shared" si="103"/>
        <v>6176.5920000000006</v>
      </c>
      <c r="Z672">
        <f t="shared" si="104"/>
        <v>2615.6320000000005</v>
      </c>
      <c r="AA672">
        <f t="shared" si="105"/>
        <v>0.42347495188285067</v>
      </c>
      <c r="AB672">
        <f t="shared" si="106"/>
        <v>4</v>
      </c>
      <c r="AC672" t="str">
        <f t="shared" si="107"/>
        <v>February</v>
      </c>
      <c r="AD672">
        <f t="shared" si="108"/>
        <v>2025</v>
      </c>
      <c r="AE672" t="str">
        <f t="shared" si="109"/>
        <v>CLEAN</v>
      </c>
    </row>
    <row r="673" spans="1:31">
      <c r="A673" t="s">
        <v>2134</v>
      </c>
      <c r="B673" s="3">
        <v>45373</v>
      </c>
      <c r="C673" s="3">
        <v>45378</v>
      </c>
      <c r="D673" t="s">
        <v>2135</v>
      </c>
      <c r="E673" t="s">
        <v>99</v>
      </c>
      <c r="F673" t="s">
        <v>105</v>
      </c>
      <c r="G673" t="s">
        <v>73</v>
      </c>
      <c r="H673" t="s">
        <v>200</v>
      </c>
      <c r="I673" t="s">
        <v>201</v>
      </c>
      <c r="J673" t="s">
        <v>84</v>
      </c>
      <c r="K673" t="s">
        <v>2136</v>
      </c>
      <c r="L673" t="s">
        <v>2137</v>
      </c>
      <c r="M673" t="s">
        <v>41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42</v>
      </c>
      <c r="U673" t="s">
        <v>43</v>
      </c>
      <c r="V673" t="str">
        <f t="shared" si="100"/>
        <v/>
      </c>
      <c r="W673" t="str">
        <f t="shared" si="101"/>
        <v/>
      </c>
      <c r="X673">
        <f t="shared" si="102"/>
        <v>-0.58747117266059101</v>
      </c>
      <c r="Y673">
        <f t="shared" si="103"/>
        <v>31203.310500000003</v>
      </c>
      <c r="Z673">
        <f t="shared" si="104"/>
        <v>13465.180500000002</v>
      </c>
      <c r="AA673">
        <f t="shared" si="105"/>
        <v>0.43153051020019179</v>
      </c>
      <c r="AB673">
        <f t="shared" si="106"/>
        <v>5</v>
      </c>
      <c r="AC673" t="str">
        <f t="shared" si="107"/>
        <v>March</v>
      </c>
      <c r="AD673">
        <f t="shared" si="108"/>
        <v>2024</v>
      </c>
      <c r="AE673" t="str">
        <f t="shared" si="109"/>
        <v>CLEAN</v>
      </c>
    </row>
    <row r="674" spans="1:31">
      <c r="A674" t="s">
        <v>2138</v>
      </c>
      <c r="B674" s="3">
        <v>45539</v>
      </c>
      <c r="C674" s="3">
        <v>45540</v>
      </c>
      <c r="D674" t="s">
        <v>2139</v>
      </c>
      <c r="E674" t="s">
        <v>99</v>
      </c>
      <c r="F674" t="s">
        <v>100</v>
      </c>
      <c r="G674" t="s">
        <v>73</v>
      </c>
      <c r="H674" t="s">
        <v>82</v>
      </c>
      <c r="I674" t="s">
        <v>83</v>
      </c>
      <c r="J674" t="s">
        <v>51</v>
      </c>
      <c r="K674" t="s">
        <v>76</v>
      </c>
      <c r="L674" t="s">
        <v>2140</v>
      </c>
      <c r="M674" t="s">
        <v>69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42</v>
      </c>
      <c r="U674" t="s">
        <v>113</v>
      </c>
      <c r="V674" t="str">
        <f t="shared" si="100"/>
        <v/>
      </c>
      <c r="W674" t="str">
        <f t="shared" si="101"/>
        <v/>
      </c>
      <c r="X674">
        <f t="shared" si="102"/>
        <v>-0.58747117266059101</v>
      </c>
      <c r="Y674">
        <f t="shared" si="103"/>
        <v>12010.5175</v>
      </c>
      <c r="Z674">
        <f t="shared" si="104"/>
        <v>4145.9075000000003</v>
      </c>
      <c r="AA674">
        <f t="shared" si="105"/>
        <v>0.34518974723612039</v>
      </c>
      <c r="AB674">
        <f t="shared" si="106"/>
        <v>1</v>
      </c>
      <c r="AC674" t="str">
        <f t="shared" si="107"/>
        <v>September</v>
      </c>
      <c r="AD674">
        <f t="shared" si="108"/>
        <v>2024</v>
      </c>
      <c r="AE674" t="str">
        <f t="shared" si="109"/>
        <v>CLEAN</v>
      </c>
    </row>
    <row r="675" spans="1:31">
      <c r="A675" t="s">
        <v>2141</v>
      </c>
      <c r="B675" s="3">
        <v>45701</v>
      </c>
      <c r="C675" s="3">
        <v>45704</v>
      </c>
      <c r="D675" t="s">
        <v>2142</v>
      </c>
      <c r="E675" t="s">
        <v>63</v>
      </c>
      <c r="F675" t="s">
        <v>47</v>
      </c>
      <c r="G675" t="s">
        <v>73</v>
      </c>
      <c r="H675" t="s">
        <v>36</v>
      </c>
      <c r="I675" t="s">
        <v>119</v>
      </c>
      <c r="J675" t="s">
        <v>51</v>
      </c>
      <c r="K675" t="s">
        <v>168</v>
      </c>
      <c r="L675" t="s">
        <v>2143</v>
      </c>
      <c r="M675" t="s">
        <v>41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42</v>
      </c>
      <c r="U675" t="s">
        <v>43</v>
      </c>
      <c r="V675" t="str">
        <f t="shared" si="100"/>
        <v/>
      </c>
      <c r="W675" t="str">
        <f t="shared" si="101"/>
        <v/>
      </c>
      <c r="X675">
        <f t="shared" si="102"/>
        <v>0.3698572418644821</v>
      </c>
      <c r="Y675">
        <f t="shared" si="103"/>
        <v>13847.86</v>
      </c>
      <c r="Z675">
        <f t="shared" si="104"/>
        <v>5376.08</v>
      </c>
      <c r="AA675">
        <f t="shared" si="105"/>
        <v>0.38822460654570451</v>
      </c>
      <c r="AB675">
        <f t="shared" si="106"/>
        <v>3</v>
      </c>
      <c r="AC675" t="str">
        <f t="shared" si="107"/>
        <v>February</v>
      </c>
      <c r="AD675">
        <f t="shared" si="108"/>
        <v>2025</v>
      </c>
      <c r="AE675" t="str">
        <f t="shared" si="109"/>
        <v>CLEAN</v>
      </c>
    </row>
    <row r="676" spans="1:31">
      <c r="A676" t="s">
        <v>2144</v>
      </c>
      <c r="B676" s="3">
        <v>45430</v>
      </c>
      <c r="C676" s="3">
        <v>45433</v>
      </c>
      <c r="D676" t="s">
        <v>2145</v>
      </c>
      <c r="E676" t="s">
        <v>81</v>
      </c>
      <c r="F676" t="s">
        <v>100</v>
      </c>
      <c r="G676" t="s">
        <v>48</v>
      </c>
      <c r="H676" t="s">
        <v>240</v>
      </c>
      <c r="I676" t="s">
        <v>241</v>
      </c>
      <c r="J676" t="s">
        <v>84</v>
      </c>
      <c r="K676" t="s">
        <v>85</v>
      </c>
      <c r="L676" t="s">
        <v>2146</v>
      </c>
      <c r="M676" t="s">
        <v>41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121</v>
      </c>
      <c r="U676" t="s">
        <v>113</v>
      </c>
      <c r="V676" t="str">
        <f t="shared" si="100"/>
        <v/>
      </c>
      <c r="W676" t="str">
        <f t="shared" si="101"/>
        <v/>
      </c>
      <c r="X676">
        <f t="shared" si="102"/>
        <v>-1.0661353799231277</v>
      </c>
      <c r="Y676">
        <f t="shared" si="103"/>
        <v>1033.71</v>
      </c>
      <c r="Z676">
        <f t="shared" si="104"/>
        <v>402.89</v>
      </c>
      <c r="AA676">
        <f t="shared" si="105"/>
        <v>0.38975147768716562</v>
      </c>
      <c r="AB676">
        <f t="shared" si="106"/>
        <v>3</v>
      </c>
      <c r="AC676" t="str">
        <f t="shared" si="107"/>
        <v>May</v>
      </c>
      <c r="AD676">
        <f t="shared" si="108"/>
        <v>2024</v>
      </c>
      <c r="AE676" t="str">
        <f t="shared" si="109"/>
        <v>CLEAN</v>
      </c>
    </row>
    <row r="677" spans="1:31">
      <c r="A677" t="s">
        <v>2147</v>
      </c>
      <c r="B677" s="3">
        <v>45815</v>
      </c>
      <c r="C677" s="3">
        <v>45936</v>
      </c>
      <c r="D677" t="s">
        <v>2046</v>
      </c>
      <c r="E677" t="s">
        <v>138</v>
      </c>
      <c r="F677" t="s">
        <v>34</v>
      </c>
      <c r="G677" t="s">
        <v>35</v>
      </c>
      <c r="H677" t="s">
        <v>36</v>
      </c>
      <c r="I677" t="s">
        <v>37</v>
      </c>
      <c r="J677" t="s">
        <v>51</v>
      </c>
      <c r="K677" t="s">
        <v>67</v>
      </c>
      <c r="L677" t="s">
        <v>2148</v>
      </c>
      <c r="M677" t="s">
        <v>54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42</v>
      </c>
      <c r="U677" t="s">
        <v>43</v>
      </c>
      <c r="V677" t="str">
        <f t="shared" si="100"/>
        <v/>
      </c>
      <c r="W677" t="str">
        <f t="shared" si="101"/>
        <v/>
      </c>
      <c r="X677">
        <f t="shared" si="102"/>
        <v>-1.0661353799231277</v>
      </c>
      <c r="Y677">
        <f t="shared" si="103"/>
        <v>2889.7799999999997</v>
      </c>
      <c r="Z677">
        <f t="shared" si="104"/>
        <v>1078.5499999999997</v>
      </c>
      <c r="AA677">
        <f t="shared" si="105"/>
        <v>0.37322910394562903</v>
      </c>
      <c r="AB677">
        <f t="shared" si="106"/>
        <v>121</v>
      </c>
      <c r="AC677" t="str">
        <f t="shared" si="107"/>
        <v>June</v>
      </c>
      <c r="AD677">
        <f t="shared" si="108"/>
        <v>2025</v>
      </c>
      <c r="AE677" t="str">
        <f t="shared" si="109"/>
        <v>CLEAN</v>
      </c>
    </row>
    <row r="678" spans="1:31">
      <c r="A678" t="s">
        <v>2149</v>
      </c>
      <c r="B678" s="3">
        <v>45970</v>
      </c>
      <c r="C678" s="3">
        <v>45918</v>
      </c>
      <c r="D678" t="s">
        <v>2150</v>
      </c>
      <c r="E678" t="s">
        <v>128</v>
      </c>
      <c r="F678" t="s">
        <v>47</v>
      </c>
      <c r="G678" t="s">
        <v>35</v>
      </c>
      <c r="H678" t="s">
        <v>362</v>
      </c>
      <c r="I678" t="s">
        <v>363</v>
      </c>
      <c r="J678" t="s">
        <v>84</v>
      </c>
      <c r="K678" t="s">
        <v>181</v>
      </c>
      <c r="L678" t="s">
        <v>2151</v>
      </c>
      <c r="M678" t="s">
        <v>54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42</v>
      </c>
      <c r="U678" t="s">
        <v>43</v>
      </c>
      <c r="V678" t="str">
        <f t="shared" si="100"/>
        <v/>
      </c>
      <c r="W678" t="str">
        <f t="shared" si="101"/>
        <v>Invalid Shipping Record</v>
      </c>
      <c r="X678">
        <f t="shared" si="102"/>
        <v>0.3698572418644821</v>
      </c>
      <c r="Y678">
        <f t="shared" si="103"/>
        <v>20296.699499999999</v>
      </c>
      <c r="Z678">
        <f t="shared" si="104"/>
        <v>5375.829499999998</v>
      </c>
      <c r="AA678">
        <f t="shared" si="105"/>
        <v>0.26486225014071862</v>
      </c>
      <c r="AB678" t="e">
        <f t="shared" si="106"/>
        <v>#NUM!</v>
      </c>
      <c r="AC678" t="str">
        <f t="shared" si="107"/>
        <v>November</v>
      </c>
      <c r="AD678">
        <f t="shared" si="108"/>
        <v>2025</v>
      </c>
      <c r="AE678" t="str">
        <f t="shared" si="109"/>
        <v>INVALID</v>
      </c>
    </row>
    <row r="679" spans="1:31">
      <c r="A679" t="s">
        <v>2152</v>
      </c>
      <c r="B679" s="3">
        <v>45465</v>
      </c>
      <c r="C679" s="3">
        <v>45470</v>
      </c>
      <c r="D679" t="s">
        <v>32</v>
      </c>
      <c r="E679" t="s">
        <v>57</v>
      </c>
      <c r="F679" t="s">
        <v>105</v>
      </c>
      <c r="G679" t="s">
        <v>64</v>
      </c>
      <c r="H679" t="s">
        <v>185</v>
      </c>
      <c r="I679" t="s">
        <v>186</v>
      </c>
      <c r="J679" t="s">
        <v>51</v>
      </c>
      <c r="K679" t="s">
        <v>76</v>
      </c>
      <c r="L679" t="s">
        <v>2153</v>
      </c>
      <c r="M679" t="s">
        <v>54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42</v>
      </c>
      <c r="U679" t="s">
        <v>43</v>
      </c>
      <c r="V679" t="str">
        <f t="shared" si="100"/>
        <v/>
      </c>
      <c r="W679" t="str">
        <f t="shared" si="101"/>
        <v/>
      </c>
      <c r="X679">
        <f t="shared" si="102"/>
        <v>-1.0661353799231277</v>
      </c>
      <c r="Y679">
        <f t="shared" si="103"/>
        <v>18364.36</v>
      </c>
      <c r="Z679">
        <f t="shared" si="104"/>
        <v>2918.5500000000011</v>
      </c>
      <c r="AA679">
        <f t="shared" si="105"/>
        <v>0.15892467801763857</v>
      </c>
      <c r="AB679">
        <f t="shared" si="106"/>
        <v>5</v>
      </c>
      <c r="AC679" t="str">
        <f t="shared" si="107"/>
        <v>June</v>
      </c>
      <c r="AD679">
        <f t="shared" si="108"/>
        <v>2024</v>
      </c>
      <c r="AE679" t="str">
        <f t="shared" si="109"/>
        <v>CLEAN</v>
      </c>
    </row>
    <row r="680" spans="1:31">
      <c r="A680" t="s">
        <v>2154</v>
      </c>
      <c r="B680" s="3">
        <v>45620</v>
      </c>
      <c r="C680" s="3">
        <v>45303</v>
      </c>
      <c r="D680" t="s">
        <v>2155</v>
      </c>
      <c r="E680" t="s">
        <v>276</v>
      </c>
      <c r="F680" t="s">
        <v>100</v>
      </c>
      <c r="G680" t="s">
        <v>64</v>
      </c>
      <c r="H680" t="s">
        <v>185</v>
      </c>
      <c r="I680" t="s">
        <v>186</v>
      </c>
      <c r="J680" t="s">
        <v>51</v>
      </c>
      <c r="K680" t="s">
        <v>52</v>
      </c>
      <c r="L680" t="s">
        <v>2156</v>
      </c>
      <c r="M680" t="s">
        <v>41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42</v>
      </c>
      <c r="U680" t="s">
        <v>43</v>
      </c>
      <c r="V680" t="str">
        <f t="shared" si="100"/>
        <v/>
      </c>
      <c r="W680" t="str">
        <f t="shared" si="101"/>
        <v>Invalid Shipping Record</v>
      </c>
      <c r="X680">
        <f t="shared" si="102"/>
        <v>0.3698572418644821</v>
      </c>
      <c r="Y680">
        <f t="shared" si="103"/>
        <v>21141.6165</v>
      </c>
      <c r="Z680">
        <f t="shared" si="104"/>
        <v>9465.2865000000002</v>
      </c>
      <c r="AA680">
        <f t="shared" si="105"/>
        <v>0.44770874071999178</v>
      </c>
      <c r="AB680" t="e">
        <f t="shared" si="106"/>
        <v>#NUM!</v>
      </c>
      <c r="AC680" t="str">
        <f t="shared" si="107"/>
        <v>November</v>
      </c>
      <c r="AD680">
        <f t="shared" si="108"/>
        <v>2024</v>
      </c>
      <c r="AE680" t="str">
        <f t="shared" si="109"/>
        <v>INVALID</v>
      </c>
    </row>
    <row r="681" spans="1:31">
      <c r="A681" t="s">
        <v>2157</v>
      </c>
      <c r="B681" s="3">
        <v>45885</v>
      </c>
      <c r="C681" s="3">
        <v>45892</v>
      </c>
      <c r="D681" t="s">
        <v>2158</v>
      </c>
      <c r="E681" t="s">
        <v>151</v>
      </c>
      <c r="F681" t="s">
        <v>100</v>
      </c>
      <c r="G681" t="s">
        <v>35</v>
      </c>
      <c r="H681" t="s">
        <v>132</v>
      </c>
      <c r="I681" t="s">
        <v>133</v>
      </c>
      <c r="J681" t="s">
        <v>84</v>
      </c>
      <c r="K681" t="s">
        <v>90</v>
      </c>
      <c r="L681" t="s">
        <v>2159</v>
      </c>
      <c r="M681" t="s">
        <v>54</v>
      </c>
      <c r="N681">
        <v>4</v>
      </c>
      <c r="O681">
        <v>1410.57</v>
      </c>
      <c r="P681" t="s">
        <v>475</v>
      </c>
      <c r="Q681">
        <v>5360.17</v>
      </c>
      <c r="R681">
        <v>3881.51</v>
      </c>
      <c r="S681">
        <v>1478.66</v>
      </c>
      <c r="T681" t="s">
        <v>112</v>
      </c>
      <c r="U681" t="s">
        <v>78</v>
      </c>
      <c r="V681" t="str">
        <f t="shared" si="100"/>
        <v>Invalid Discount</v>
      </c>
      <c r="W681" t="str">
        <f t="shared" si="101"/>
        <v/>
      </c>
      <c r="X681">
        <f t="shared" si="102"/>
        <v>5.6351635217523848</v>
      </c>
      <c r="Y681">
        <f t="shared" si="103"/>
        <v>1692.6840000000002</v>
      </c>
      <c r="Z681">
        <f t="shared" si="104"/>
        <v>-2188.826</v>
      </c>
      <c r="AA681">
        <f t="shared" si="105"/>
        <v>-1.2931096412561351</v>
      </c>
      <c r="AB681">
        <f t="shared" si="106"/>
        <v>7</v>
      </c>
      <c r="AC681" t="str">
        <f t="shared" si="107"/>
        <v>August</v>
      </c>
      <c r="AD681">
        <f t="shared" si="108"/>
        <v>2025</v>
      </c>
      <c r="AE681" t="str">
        <f t="shared" si="109"/>
        <v>INVALID</v>
      </c>
    </row>
    <row r="682" spans="1:31">
      <c r="A682" t="s">
        <v>2160</v>
      </c>
      <c r="B682" s="3">
        <v>45441</v>
      </c>
      <c r="C682" s="3">
        <v>45448</v>
      </c>
      <c r="D682" t="s">
        <v>2161</v>
      </c>
      <c r="E682" t="s">
        <v>276</v>
      </c>
      <c r="F682" t="s">
        <v>100</v>
      </c>
      <c r="G682" t="s">
        <v>64</v>
      </c>
      <c r="H682" t="s">
        <v>259</v>
      </c>
      <c r="I682" t="s">
        <v>260</v>
      </c>
      <c r="J682" t="s">
        <v>84</v>
      </c>
      <c r="K682" t="s">
        <v>85</v>
      </c>
      <c r="L682" t="s">
        <v>2162</v>
      </c>
      <c r="M682" t="s">
        <v>60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42</v>
      </c>
      <c r="U682" t="s">
        <v>43</v>
      </c>
      <c r="V682" t="str">
        <f t="shared" si="100"/>
        <v/>
      </c>
      <c r="W682" t="str">
        <f t="shared" si="101"/>
        <v/>
      </c>
      <c r="X682">
        <f t="shared" si="102"/>
        <v>-1.0661353799231277</v>
      </c>
      <c r="Y682">
        <f t="shared" si="103"/>
        <v>14800.96</v>
      </c>
      <c r="Z682">
        <f t="shared" si="104"/>
        <v>2752.5699999999997</v>
      </c>
      <c r="AA682">
        <f t="shared" si="105"/>
        <v>0.18597239638509933</v>
      </c>
      <c r="AB682">
        <f t="shared" si="106"/>
        <v>7</v>
      </c>
      <c r="AC682" t="str">
        <f t="shared" si="107"/>
        <v>May</v>
      </c>
      <c r="AD682">
        <f t="shared" si="108"/>
        <v>2024</v>
      </c>
      <c r="AE682" t="str">
        <f t="shared" si="109"/>
        <v>CLEAN</v>
      </c>
    </row>
    <row r="683" spans="1:31">
      <c r="A683" t="s">
        <v>2163</v>
      </c>
      <c r="B683" s="3">
        <v>45389</v>
      </c>
      <c r="C683" s="3">
        <v>45483</v>
      </c>
      <c r="D683" t="s">
        <v>2164</v>
      </c>
      <c r="E683" t="s">
        <v>81</v>
      </c>
      <c r="F683" t="s">
        <v>100</v>
      </c>
      <c r="G683" t="s">
        <v>35</v>
      </c>
      <c r="H683" t="s">
        <v>362</v>
      </c>
      <c r="I683" t="s">
        <v>363</v>
      </c>
      <c r="J683" t="s">
        <v>51</v>
      </c>
      <c r="K683" t="s">
        <v>52</v>
      </c>
      <c r="L683" t="s">
        <v>2165</v>
      </c>
      <c r="M683" t="s">
        <v>41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42</v>
      </c>
      <c r="U683" t="s">
        <v>78</v>
      </c>
      <c r="V683" t="str">
        <f t="shared" si="100"/>
        <v/>
      </c>
      <c r="W683" t="str">
        <f t="shared" si="101"/>
        <v/>
      </c>
      <c r="X683">
        <f t="shared" si="102"/>
        <v>-1.0661353799231277</v>
      </c>
      <c r="Y683">
        <f t="shared" si="103"/>
        <v>6001.35</v>
      </c>
      <c r="Z683">
        <f t="shared" si="104"/>
        <v>1818.3600000000006</v>
      </c>
      <c r="AA683">
        <f t="shared" si="105"/>
        <v>0.30299182683896131</v>
      </c>
      <c r="AB683">
        <f t="shared" si="106"/>
        <v>94</v>
      </c>
      <c r="AC683" t="str">
        <f t="shared" si="107"/>
        <v>April</v>
      </c>
      <c r="AD683">
        <f t="shared" si="108"/>
        <v>2024</v>
      </c>
      <c r="AE683" t="str">
        <f t="shared" si="109"/>
        <v>WARNING</v>
      </c>
    </row>
    <row r="684" spans="1:31">
      <c r="A684" t="s">
        <v>2166</v>
      </c>
      <c r="B684" s="3">
        <v>45693</v>
      </c>
      <c r="C684" s="3">
        <v>45693</v>
      </c>
      <c r="D684" t="s">
        <v>2167</v>
      </c>
      <c r="E684" t="s">
        <v>2168</v>
      </c>
      <c r="F684" t="s">
        <v>100</v>
      </c>
      <c r="G684" t="s">
        <v>35</v>
      </c>
      <c r="H684" t="s">
        <v>248</v>
      </c>
      <c r="I684" t="s">
        <v>249</v>
      </c>
      <c r="J684" t="s">
        <v>38</v>
      </c>
      <c r="K684" t="s">
        <v>134</v>
      </c>
      <c r="L684" t="s">
        <v>2169</v>
      </c>
      <c r="M684" t="s">
        <v>54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42</v>
      </c>
      <c r="U684" t="s">
        <v>43</v>
      </c>
      <c r="V684" t="str">
        <f t="shared" si="100"/>
        <v/>
      </c>
      <c r="W684" t="str">
        <f t="shared" si="101"/>
        <v/>
      </c>
      <c r="X684">
        <f t="shared" si="102"/>
        <v>-1.0661353799231277</v>
      </c>
      <c r="Y684">
        <f t="shared" si="103"/>
        <v>7772.34</v>
      </c>
      <c r="Z684">
        <f t="shared" si="104"/>
        <v>3658.6800000000003</v>
      </c>
      <c r="AA684">
        <f t="shared" si="105"/>
        <v>0.47073082237781677</v>
      </c>
      <c r="AB684">
        <f t="shared" si="106"/>
        <v>0</v>
      </c>
      <c r="AC684" t="str">
        <f t="shared" si="107"/>
        <v>February</v>
      </c>
      <c r="AD684">
        <f t="shared" si="108"/>
        <v>2025</v>
      </c>
      <c r="AE684" t="str">
        <f t="shared" si="109"/>
        <v>CLEAN</v>
      </c>
    </row>
    <row r="685" spans="1:31">
      <c r="A685" t="s">
        <v>2170</v>
      </c>
      <c r="B685" s="3">
        <v>45858</v>
      </c>
      <c r="C685" s="3">
        <v>45862</v>
      </c>
      <c r="D685" t="s">
        <v>2171</v>
      </c>
      <c r="E685" t="s">
        <v>63</v>
      </c>
      <c r="F685" t="s">
        <v>47</v>
      </c>
      <c r="G685" t="s">
        <v>64</v>
      </c>
      <c r="H685" t="s">
        <v>65</v>
      </c>
      <c r="I685" t="s">
        <v>66</v>
      </c>
      <c r="J685" t="s">
        <v>51</v>
      </c>
      <c r="K685" t="s">
        <v>67</v>
      </c>
      <c r="L685" t="s">
        <v>2172</v>
      </c>
      <c r="M685" t="s">
        <v>41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112</v>
      </c>
      <c r="U685" t="s">
        <v>78</v>
      </c>
      <c r="V685" t="str">
        <f t="shared" si="100"/>
        <v/>
      </c>
      <c r="W685" t="str">
        <f t="shared" si="101"/>
        <v/>
      </c>
      <c r="X685">
        <f t="shared" si="102"/>
        <v>0.84852144912701888</v>
      </c>
      <c r="Y685">
        <f t="shared" si="103"/>
        <v>7902.9600000000009</v>
      </c>
      <c r="Z685">
        <f t="shared" si="104"/>
        <v>2390.9300000000012</v>
      </c>
      <c r="AA685">
        <f t="shared" si="105"/>
        <v>0.30253601182341816</v>
      </c>
      <c r="AB685">
        <f t="shared" si="106"/>
        <v>4</v>
      </c>
      <c r="AC685" t="str">
        <f t="shared" si="107"/>
        <v>July</v>
      </c>
      <c r="AD685">
        <f t="shared" si="108"/>
        <v>2025</v>
      </c>
      <c r="AE685" t="str">
        <f t="shared" si="109"/>
        <v>WARNING</v>
      </c>
    </row>
    <row r="686" spans="1:31">
      <c r="A686" t="s">
        <v>2173</v>
      </c>
      <c r="B686" s="3">
        <v>45859</v>
      </c>
      <c r="C686" s="3">
        <v>45859</v>
      </c>
      <c r="D686" t="s">
        <v>2174</v>
      </c>
      <c r="E686" t="s">
        <v>57</v>
      </c>
      <c r="F686" t="s">
        <v>105</v>
      </c>
      <c r="G686" t="s">
        <v>64</v>
      </c>
      <c r="H686" t="s">
        <v>259</v>
      </c>
      <c r="I686" t="s">
        <v>260</v>
      </c>
      <c r="J686" t="s">
        <v>51</v>
      </c>
      <c r="K686" t="s">
        <v>168</v>
      </c>
      <c r="L686" t="s">
        <v>2175</v>
      </c>
      <c r="M686" t="s">
        <v>60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112</v>
      </c>
      <c r="U686" t="s">
        <v>78</v>
      </c>
      <c r="V686" t="str">
        <f t="shared" si="100"/>
        <v/>
      </c>
      <c r="W686" t="str">
        <f t="shared" si="101"/>
        <v/>
      </c>
      <c r="X686">
        <f t="shared" si="102"/>
        <v>0.84852144912701888</v>
      </c>
      <c r="Y686">
        <f t="shared" si="103"/>
        <v>24621.239999999998</v>
      </c>
      <c r="Z686">
        <f t="shared" si="104"/>
        <v>7465.7599999999984</v>
      </c>
      <c r="AA686">
        <f t="shared" si="105"/>
        <v>0.3032243705028666</v>
      </c>
      <c r="AB686">
        <f t="shared" si="106"/>
        <v>0</v>
      </c>
      <c r="AC686" t="str">
        <f t="shared" si="107"/>
        <v>July</v>
      </c>
      <c r="AD686">
        <f t="shared" si="108"/>
        <v>2025</v>
      </c>
      <c r="AE686" t="str">
        <f t="shared" si="109"/>
        <v>WARNING</v>
      </c>
    </row>
    <row r="687" spans="1:31">
      <c r="A687" t="s">
        <v>2176</v>
      </c>
      <c r="B687" s="3">
        <v>45931</v>
      </c>
      <c r="C687" s="3">
        <v>45933</v>
      </c>
      <c r="D687" t="s">
        <v>1839</v>
      </c>
      <c r="E687" t="s">
        <v>89</v>
      </c>
      <c r="F687" t="s">
        <v>100</v>
      </c>
      <c r="G687" t="s">
        <v>73</v>
      </c>
      <c r="H687" t="s">
        <v>200</v>
      </c>
      <c r="I687" t="s">
        <v>201</v>
      </c>
      <c r="J687" t="s">
        <v>38</v>
      </c>
      <c r="K687" t="s">
        <v>58</v>
      </c>
      <c r="L687" t="s">
        <v>2177</v>
      </c>
      <c r="M687" t="s">
        <v>69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165</v>
      </c>
      <c r="U687" t="s">
        <v>78</v>
      </c>
      <c r="V687" t="str">
        <f t="shared" si="100"/>
        <v>Invalid Discount</v>
      </c>
      <c r="W687" t="str">
        <f t="shared" si="101"/>
        <v/>
      </c>
      <c r="X687">
        <f t="shared" si="102"/>
        <v>4.1991708999647752</v>
      </c>
      <c r="Y687">
        <f t="shared" si="103"/>
        <v>3313.5074999999993</v>
      </c>
      <c r="Z687">
        <f t="shared" si="104"/>
        <v>-2293.2825000000007</v>
      </c>
      <c r="AA687">
        <f t="shared" si="105"/>
        <v>-0.69210119488185895</v>
      </c>
      <c r="AB687">
        <f t="shared" si="106"/>
        <v>2</v>
      </c>
      <c r="AC687" t="str">
        <f t="shared" si="107"/>
        <v>October</v>
      </c>
      <c r="AD687">
        <f t="shared" si="108"/>
        <v>2025</v>
      </c>
      <c r="AE687" t="str">
        <f t="shared" si="109"/>
        <v>INVALID</v>
      </c>
    </row>
    <row r="688" spans="1:31">
      <c r="A688" t="s">
        <v>2178</v>
      </c>
      <c r="B688" s="3">
        <v>45376</v>
      </c>
      <c r="C688" s="3">
        <v>45326</v>
      </c>
      <c r="D688" t="s">
        <v>2179</v>
      </c>
      <c r="E688" t="s">
        <v>142</v>
      </c>
      <c r="F688" t="s">
        <v>105</v>
      </c>
      <c r="G688" t="s">
        <v>64</v>
      </c>
      <c r="H688" t="s">
        <v>259</v>
      </c>
      <c r="I688" t="s">
        <v>260</v>
      </c>
      <c r="J688" t="s">
        <v>84</v>
      </c>
      <c r="K688" t="s">
        <v>90</v>
      </c>
      <c r="L688" t="s">
        <v>2180</v>
      </c>
      <c r="M688" t="s">
        <v>69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42</v>
      </c>
      <c r="U688" t="s">
        <v>43</v>
      </c>
      <c r="V688" t="str">
        <f t="shared" si="100"/>
        <v/>
      </c>
      <c r="W688" t="str">
        <f t="shared" si="101"/>
        <v>Invalid Shipping Record</v>
      </c>
      <c r="X688">
        <f t="shared" si="102"/>
        <v>-1.0661353799231277</v>
      </c>
      <c r="Y688">
        <f t="shared" si="103"/>
        <v>4698.26</v>
      </c>
      <c r="Z688">
        <f t="shared" si="104"/>
        <v>2043.3400000000001</v>
      </c>
      <c r="AA688">
        <f t="shared" si="105"/>
        <v>0.43491420227914163</v>
      </c>
      <c r="AB688" t="e">
        <f t="shared" si="106"/>
        <v>#NUM!</v>
      </c>
      <c r="AC688" t="str">
        <f t="shared" si="107"/>
        <v>March</v>
      </c>
      <c r="AD688">
        <f t="shared" si="108"/>
        <v>2024</v>
      </c>
      <c r="AE688" t="str">
        <f t="shared" si="109"/>
        <v>INVALID</v>
      </c>
    </row>
    <row r="689" spans="1:31">
      <c r="A689" t="s">
        <v>2181</v>
      </c>
      <c r="B689" s="3">
        <v>45938</v>
      </c>
      <c r="C689" s="3">
        <v>45943</v>
      </c>
      <c r="D689" t="s">
        <v>2182</v>
      </c>
      <c r="E689" t="s">
        <v>46</v>
      </c>
      <c r="F689" t="s">
        <v>105</v>
      </c>
      <c r="G689" t="s">
        <v>35</v>
      </c>
      <c r="H689" t="s">
        <v>132</v>
      </c>
      <c r="I689" t="s">
        <v>133</v>
      </c>
      <c r="J689" t="s">
        <v>51</v>
      </c>
      <c r="K689" t="s">
        <v>52</v>
      </c>
      <c r="L689" t="s">
        <v>2183</v>
      </c>
      <c r="M689" t="s">
        <v>60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165</v>
      </c>
      <c r="U689" t="s">
        <v>78</v>
      </c>
      <c r="V689" t="str">
        <f t="shared" si="100"/>
        <v/>
      </c>
      <c r="W689" t="str">
        <f t="shared" si="101"/>
        <v/>
      </c>
      <c r="X689">
        <f t="shared" si="102"/>
        <v>-1.0661353799231277</v>
      </c>
      <c r="Y689">
        <f t="shared" si="103"/>
        <v>688.2</v>
      </c>
      <c r="Z689">
        <f t="shared" si="104"/>
        <v>190.52000000000004</v>
      </c>
      <c r="AA689">
        <f t="shared" si="105"/>
        <v>0.27683812845103173</v>
      </c>
      <c r="AB689">
        <f t="shared" si="106"/>
        <v>5</v>
      </c>
      <c r="AC689" t="str">
        <f t="shared" si="107"/>
        <v>October</v>
      </c>
      <c r="AD689">
        <f t="shared" si="108"/>
        <v>2025</v>
      </c>
      <c r="AE689" t="str">
        <f t="shared" si="109"/>
        <v>WARNING</v>
      </c>
    </row>
    <row r="690" spans="1:31">
      <c r="A690" t="s">
        <v>2184</v>
      </c>
      <c r="B690" s="3">
        <v>45714</v>
      </c>
      <c r="C690" s="3">
        <v>45715</v>
      </c>
      <c r="D690" t="s">
        <v>2185</v>
      </c>
      <c r="E690" t="s">
        <v>89</v>
      </c>
      <c r="F690" t="s">
        <v>105</v>
      </c>
      <c r="G690" t="s">
        <v>35</v>
      </c>
      <c r="H690" t="s">
        <v>248</v>
      </c>
      <c r="I690" t="s">
        <v>249</v>
      </c>
      <c r="J690" t="s">
        <v>38</v>
      </c>
      <c r="K690" t="s">
        <v>58</v>
      </c>
      <c r="L690" t="s">
        <v>2186</v>
      </c>
      <c r="M690" t="s">
        <v>41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42</v>
      </c>
      <c r="U690" t="s">
        <v>43</v>
      </c>
      <c r="V690" t="str">
        <f t="shared" si="100"/>
        <v/>
      </c>
      <c r="W690" t="str">
        <f t="shared" si="101"/>
        <v/>
      </c>
      <c r="X690">
        <f t="shared" si="102"/>
        <v>0.3698572418644821</v>
      </c>
      <c r="Y690">
        <f t="shared" si="103"/>
        <v>15492.065999999999</v>
      </c>
      <c r="Z690">
        <f t="shared" si="104"/>
        <v>2910.8359999999993</v>
      </c>
      <c r="AA690">
        <f t="shared" si="105"/>
        <v>0.18789204745190213</v>
      </c>
      <c r="AB690">
        <f t="shared" si="106"/>
        <v>1</v>
      </c>
      <c r="AC690" t="str">
        <f t="shared" si="107"/>
        <v>February</v>
      </c>
      <c r="AD690">
        <f t="shared" si="108"/>
        <v>2025</v>
      </c>
      <c r="AE690" t="str">
        <f t="shared" si="109"/>
        <v>CLEAN</v>
      </c>
    </row>
    <row r="691" spans="1:31">
      <c r="A691" t="s">
        <v>2187</v>
      </c>
      <c r="B691" s="3">
        <v>45570</v>
      </c>
      <c r="C691" s="3">
        <v>45571</v>
      </c>
      <c r="D691" t="s">
        <v>2188</v>
      </c>
      <c r="E691" t="s">
        <v>151</v>
      </c>
      <c r="F691" t="s">
        <v>47</v>
      </c>
      <c r="G691" t="s">
        <v>35</v>
      </c>
      <c r="H691" t="s">
        <v>132</v>
      </c>
      <c r="I691" t="s">
        <v>133</v>
      </c>
      <c r="J691" t="s">
        <v>51</v>
      </c>
      <c r="K691" t="s">
        <v>52</v>
      </c>
      <c r="L691" t="s">
        <v>2189</v>
      </c>
      <c r="M691" t="s">
        <v>69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165</v>
      </c>
      <c r="U691" t="s">
        <v>78</v>
      </c>
      <c r="V691" t="str">
        <f t="shared" si="100"/>
        <v/>
      </c>
      <c r="W691" t="str">
        <f t="shared" si="101"/>
        <v/>
      </c>
      <c r="X691">
        <f t="shared" si="102"/>
        <v>0.3698572418644821</v>
      </c>
      <c r="Y691">
        <f t="shared" si="103"/>
        <v>3745.2870000000003</v>
      </c>
      <c r="Z691">
        <f t="shared" si="104"/>
        <v>1442.6370000000002</v>
      </c>
      <c r="AA691">
        <f t="shared" si="105"/>
        <v>0.38518730340291679</v>
      </c>
      <c r="AB691">
        <f t="shared" si="106"/>
        <v>1</v>
      </c>
      <c r="AC691" t="str">
        <f t="shared" si="107"/>
        <v>October</v>
      </c>
      <c r="AD691">
        <f t="shared" si="108"/>
        <v>2024</v>
      </c>
      <c r="AE691" t="str">
        <f t="shared" si="109"/>
        <v>WARNING</v>
      </c>
    </row>
    <row r="692" spans="1:31">
      <c r="A692" t="s">
        <v>2190</v>
      </c>
      <c r="B692" s="3">
        <v>45605</v>
      </c>
      <c r="C692" s="3">
        <v>45550</v>
      </c>
      <c r="D692" t="s">
        <v>2191</v>
      </c>
      <c r="E692" t="s">
        <v>142</v>
      </c>
      <c r="F692" t="s">
        <v>100</v>
      </c>
      <c r="G692" t="s">
        <v>64</v>
      </c>
      <c r="H692" t="s">
        <v>259</v>
      </c>
      <c r="I692" t="s">
        <v>260</v>
      </c>
      <c r="J692" t="s">
        <v>38</v>
      </c>
      <c r="K692" t="s">
        <v>58</v>
      </c>
      <c r="L692" t="s">
        <v>2192</v>
      </c>
      <c r="M692" t="s">
        <v>69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165</v>
      </c>
      <c r="U692" t="s">
        <v>113</v>
      </c>
      <c r="V692" t="str">
        <f t="shared" si="100"/>
        <v/>
      </c>
      <c r="W692" t="str">
        <f t="shared" si="101"/>
        <v>Invalid Shipping Record</v>
      </c>
      <c r="X692">
        <f t="shared" si="102"/>
        <v>-1.0661353799231277</v>
      </c>
      <c r="Y692">
        <f t="shared" si="103"/>
        <v>3462.52</v>
      </c>
      <c r="Z692">
        <f t="shared" si="104"/>
        <v>665.23</v>
      </c>
      <c r="AA692">
        <f t="shared" si="105"/>
        <v>0.19212307798944123</v>
      </c>
      <c r="AB692" t="e">
        <f t="shared" si="106"/>
        <v>#NUM!</v>
      </c>
      <c r="AC692" t="str">
        <f t="shared" si="107"/>
        <v>November</v>
      </c>
      <c r="AD692">
        <f t="shared" si="108"/>
        <v>2024</v>
      </c>
      <c r="AE692" t="str">
        <f t="shared" si="109"/>
        <v>INVALID</v>
      </c>
    </row>
    <row r="693" spans="1:31">
      <c r="A693" t="s">
        <v>2193</v>
      </c>
      <c r="B693" s="3">
        <v>45641</v>
      </c>
      <c r="C693" s="3">
        <v>45642</v>
      </c>
      <c r="D693" t="s">
        <v>2194</v>
      </c>
      <c r="E693" t="s">
        <v>151</v>
      </c>
      <c r="F693" t="s">
        <v>34</v>
      </c>
      <c r="G693" t="s">
        <v>48</v>
      </c>
      <c r="H693" t="s">
        <v>49</v>
      </c>
      <c r="I693" t="s">
        <v>50</v>
      </c>
      <c r="J693" t="s">
        <v>84</v>
      </c>
      <c r="K693" t="s">
        <v>90</v>
      </c>
      <c r="L693" t="s">
        <v>2195</v>
      </c>
      <c r="M693" t="s">
        <v>41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42</v>
      </c>
      <c r="U693" t="s">
        <v>43</v>
      </c>
      <c r="V693" t="str">
        <f t="shared" si="100"/>
        <v/>
      </c>
      <c r="W693" t="str">
        <f t="shared" si="101"/>
        <v/>
      </c>
      <c r="X693">
        <f t="shared" si="102"/>
        <v>-0.58747117266059101</v>
      </c>
      <c r="Y693">
        <f t="shared" si="103"/>
        <v>8767.1699999999983</v>
      </c>
      <c r="Z693">
        <f t="shared" si="104"/>
        <v>3668.9699999999984</v>
      </c>
      <c r="AA693">
        <f t="shared" si="105"/>
        <v>0.41848966085977563</v>
      </c>
      <c r="AB693">
        <f t="shared" si="106"/>
        <v>1</v>
      </c>
      <c r="AC693" t="str">
        <f t="shared" si="107"/>
        <v>December</v>
      </c>
      <c r="AD693">
        <f t="shared" si="108"/>
        <v>2024</v>
      </c>
      <c r="AE693" t="str">
        <f t="shared" si="109"/>
        <v>CLEAN</v>
      </c>
    </row>
    <row r="694" spans="1:31">
      <c r="A694" t="s">
        <v>2196</v>
      </c>
      <c r="B694" s="3">
        <v>45935</v>
      </c>
      <c r="C694" s="3">
        <v>45940</v>
      </c>
      <c r="D694" t="s">
        <v>2197</v>
      </c>
      <c r="E694" t="s">
        <v>57</v>
      </c>
      <c r="F694" t="s">
        <v>1192</v>
      </c>
      <c r="G694" t="s">
        <v>64</v>
      </c>
      <c r="H694" t="s">
        <v>185</v>
      </c>
      <c r="I694" t="s">
        <v>186</v>
      </c>
      <c r="J694" t="s">
        <v>51</v>
      </c>
      <c r="K694" t="s">
        <v>67</v>
      </c>
      <c r="L694" t="s">
        <v>2198</v>
      </c>
      <c r="M694" t="s">
        <v>41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42</v>
      </c>
      <c r="U694" t="s">
        <v>43</v>
      </c>
      <c r="V694" t="str">
        <f t="shared" si="100"/>
        <v/>
      </c>
      <c r="W694" t="str">
        <f t="shared" si="101"/>
        <v/>
      </c>
      <c r="X694">
        <f t="shared" si="102"/>
        <v>-0.10880696539805437</v>
      </c>
      <c r="Y694">
        <f t="shared" si="103"/>
        <v>8516.4480000000003</v>
      </c>
      <c r="Z694">
        <f t="shared" si="104"/>
        <v>2612.6379999999999</v>
      </c>
      <c r="AA694">
        <f t="shared" si="105"/>
        <v>0.30677554774009069</v>
      </c>
      <c r="AB694">
        <f t="shared" si="106"/>
        <v>5</v>
      </c>
      <c r="AC694" t="str">
        <f t="shared" si="107"/>
        <v>October</v>
      </c>
      <c r="AD694">
        <f t="shared" si="108"/>
        <v>2025</v>
      </c>
      <c r="AE694" t="str">
        <f t="shared" si="109"/>
        <v>CLEAN</v>
      </c>
    </row>
    <row r="695" spans="1:31">
      <c r="A695" t="s">
        <v>2199</v>
      </c>
      <c r="B695" s="3">
        <v>45750</v>
      </c>
      <c r="C695" s="3">
        <v>45758</v>
      </c>
      <c r="D695" t="s">
        <v>2200</v>
      </c>
      <c r="E695" t="s">
        <v>63</v>
      </c>
      <c r="F695" t="s">
        <v>34</v>
      </c>
      <c r="G695" t="s">
        <v>64</v>
      </c>
      <c r="H695" t="s">
        <v>259</v>
      </c>
      <c r="I695" t="s">
        <v>260</v>
      </c>
      <c r="J695" t="s">
        <v>51</v>
      </c>
      <c r="K695" t="s">
        <v>168</v>
      </c>
      <c r="L695" t="s">
        <v>2201</v>
      </c>
      <c r="M695" t="s">
        <v>41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42</v>
      </c>
      <c r="U695" t="s">
        <v>43</v>
      </c>
      <c r="V695" t="str">
        <f t="shared" si="100"/>
        <v/>
      </c>
      <c r="W695" t="str">
        <f t="shared" si="101"/>
        <v/>
      </c>
      <c r="X695">
        <f t="shared" si="102"/>
        <v>-0.58747117266059101</v>
      </c>
      <c r="Y695">
        <f t="shared" si="103"/>
        <v>11826.844500000001</v>
      </c>
      <c r="Z695">
        <f t="shared" si="104"/>
        <v>3790.884500000001</v>
      </c>
      <c r="AA695">
        <f t="shared" si="105"/>
        <v>0.32053220112938835</v>
      </c>
      <c r="AB695">
        <f t="shared" si="106"/>
        <v>8</v>
      </c>
      <c r="AC695" t="str">
        <f t="shared" si="107"/>
        <v>April</v>
      </c>
      <c r="AD695">
        <f t="shared" si="108"/>
        <v>2025</v>
      </c>
      <c r="AE695" t="str">
        <f t="shared" si="109"/>
        <v>CLEAN</v>
      </c>
    </row>
    <row r="696" spans="1:31">
      <c r="A696" t="s">
        <v>2202</v>
      </c>
      <c r="B696" s="3">
        <v>45870</v>
      </c>
      <c r="C696" s="3">
        <v>45878</v>
      </c>
      <c r="D696" t="s">
        <v>1161</v>
      </c>
      <c r="E696" t="s">
        <v>57</v>
      </c>
      <c r="F696" t="s">
        <v>34</v>
      </c>
      <c r="G696" t="s">
        <v>64</v>
      </c>
      <c r="H696" t="s">
        <v>94</v>
      </c>
      <c r="I696" t="s">
        <v>95</v>
      </c>
      <c r="J696" t="s">
        <v>38</v>
      </c>
      <c r="K696" t="s">
        <v>134</v>
      </c>
      <c r="L696" t="s">
        <v>2203</v>
      </c>
      <c r="M696" t="s">
        <v>60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42</v>
      </c>
      <c r="U696" t="s">
        <v>43</v>
      </c>
      <c r="V696" t="str">
        <f t="shared" si="100"/>
        <v/>
      </c>
      <c r="W696" t="str">
        <f t="shared" si="101"/>
        <v/>
      </c>
      <c r="X696">
        <f t="shared" si="102"/>
        <v>0.3698572418644821</v>
      </c>
      <c r="Y696">
        <f t="shared" si="103"/>
        <v>11629.019999999999</v>
      </c>
      <c r="Z696">
        <f t="shared" si="104"/>
        <v>2001.8099999999995</v>
      </c>
      <c r="AA696">
        <f t="shared" si="105"/>
        <v>0.17213918283741877</v>
      </c>
      <c r="AB696">
        <f t="shared" si="106"/>
        <v>8</v>
      </c>
      <c r="AC696" t="str">
        <f t="shared" si="107"/>
        <v>August</v>
      </c>
      <c r="AD696">
        <f t="shared" si="108"/>
        <v>2025</v>
      </c>
      <c r="AE696" t="str">
        <f t="shared" si="109"/>
        <v>CLEAN</v>
      </c>
    </row>
    <row r="697" spans="1:31">
      <c r="A697" t="s">
        <v>2204</v>
      </c>
      <c r="B697" s="3">
        <v>45474</v>
      </c>
      <c r="C697" s="3">
        <v>45474</v>
      </c>
      <c r="D697" t="s">
        <v>2205</v>
      </c>
      <c r="E697" t="s">
        <v>138</v>
      </c>
      <c r="F697" t="s">
        <v>34</v>
      </c>
      <c r="G697" t="s">
        <v>73</v>
      </c>
      <c r="H697" t="s">
        <v>82</v>
      </c>
      <c r="I697" t="s">
        <v>83</v>
      </c>
      <c r="J697" t="s">
        <v>84</v>
      </c>
      <c r="K697" t="s">
        <v>286</v>
      </c>
      <c r="L697" t="s">
        <v>2206</v>
      </c>
      <c r="M697" t="s">
        <v>69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42</v>
      </c>
      <c r="U697" t="s">
        <v>43</v>
      </c>
      <c r="V697" t="str">
        <f t="shared" si="100"/>
        <v/>
      </c>
      <c r="W697" t="str">
        <f t="shared" si="101"/>
        <v/>
      </c>
      <c r="X697">
        <f t="shared" si="102"/>
        <v>-1.0661353799231277</v>
      </c>
      <c r="Y697">
        <f t="shared" si="103"/>
        <v>1029.56</v>
      </c>
      <c r="Z697">
        <f t="shared" si="104"/>
        <v>403.2299999999999</v>
      </c>
      <c r="AA697">
        <f t="shared" si="105"/>
        <v>0.39165274486188267</v>
      </c>
      <c r="AB697">
        <f t="shared" si="106"/>
        <v>0</v>
      </c>
      <c r="AC697" t="str">
        <f t="shared" si="107"/>
        <v>July</v>
      </c>
      <c r="AD697">
        <f t="shared" si="108"/>
        <v>2024</v>
      </c>
      <c r="AE697" t="str">
        <f t="shared" si="109"/>
        <v>CLEAN</v>
      </c>
    </row>
    <row r="698" spans="1:31">
      <c r="A698" t="s">
        <v>2207</v>
      </c>
      <c r="B698" s="3">
        <v>45922</v>
      </c>
      <c r="C698" s="3">
        <v>45925</v>
      </c>
      <c r="D698" t="s">
        <v>2208</v>
      </c>
      <c r="E698" t="s">
        <v>57</v>
      </c>
      <c r="F698" t="s">
        <v>47</v>
      </c>
      <c r="G698" t="s">
        <v>64</v>
      </c>
      <c r="H698" t="s">
        <v>195</v>
      </c>
      <c r="I698" t="s">
        <v>196</v>
      </c>
      <c r="J698" t="s">
        <v>84</v>
      </c>
      <c r="K698" t="s">
        <v>181</v>
      </c>
      <c r="L698" t="s">
        <v>2209</v>
      </c>
      <c r="M698" t="s">
        <v>215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42</v>
      </c>
      <c r="U698" t="s">
        <v>43</v>
      </c>
      <c r="V698" t="str">
        <f t="shared" si="100"/>
        <v/>
      </c>
      <c r="W698" t="str">
        <f t="shared" si="101"/>
        <v/>
      </c>
      <c r="X698">
        <f t="shared" si="102"/>
        <v>1.3271856563895552</v>
      </c>
      <c r="Y698">
        <f t="shared" si="103"/>
        <v>3536.5199999999995</v>
      </c>
      <c r="Z698">
        <f t="shared" si="104"/>
        <v>1434.1099999999997</v>
      </c>
      <c r="AA698">
        <f t="shared" si="105"/>
        <v>0.40551446054313278</v>
      </c>
      <c r="AB698">
        <f t="shared" si="106"/>
        <v>3</v>
      </c>
      <c r="AC698" t="str">
        <f t="shared" si="107"/>
        <v>September</v>
      </c>
      <c r="AD698">
        <f t="shared" si="108"/>
        <v>2025</v>
      </c>
      <c r="AE698" t="str">
        <f t="shared" si="109"/>
        <v>CLEAN</v>
      </c>
    </row>
    <row r="699" spans="1:31">
      <c r="A699" t="s">
        <v>2210</v>
      </c>
      <c r="B699" s="3">
        <v>45660</v>
      </c>
      <c r="C699" s="3">
        <v>45723</v>
      </c>
      <c r="D699" t="s">
        <v>2211</v>
      </c>
      <c r="E699" t="s">
        <v>63</v>
      </c>
      <c r="F699" t="s">
        <v>100</v>
      </c>
      <c r="G699" t="s">
        <v>64</v>
      </c>
      <c r="H699" t="s">
        <v>94</v>
      </c>
      <c r="I699" t="s">
        <v>95</v>
      </c>
      <c r="J699" t="s">
        <v>38</v>
      </c>
      <c r="K699" t="s">
        <v>101</v>
      </c>
      <c r="L699" t="s">
        <v>2212</v>
      </c>
      <c r="M699" t="s">
        <v>60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112</v>
      </c>
      <c r="U699" t="s">
        <v>113</v>
      </c>
      <c r="V699" t="str">
        <f t="shared" si="100"/>
        <v/>
      </c>
      <c r="W699" t="str">
        <f t="shared" si="101"/>
        <v/>
      </c>
      <c r="X699">
        <f t="shared" si="102"/>
        <v>-1.0661353799231277</v>
      </c>
      <c r="Y699">
        <f t="shared" si="103"/>
        <v>3970.0499999999997</v>
      </c>
      <c r="Z699">
        <f t="shared" si="104"/>
        <v>2120.75</v>
      </c>
      <c r="AA699">
        <f t="shared" si="105"/>
        <v>0.53418722686112274</v>
      </c>
      <c r="AB699">
        <f t="shared" si="106"/>
        <v>63</v>
      </c>
      <c r="AC699" t="str">
        <f t="shared" si="107"/>
        <v>January</v>
      </c>
      <c r="AD699">
        <f t="shared" si="108"/>
        <v>2025</v>
      </c>
      <c r="AE699" t="str">
        <f t="shared" si="109"/>
        <v>CLEAN</v>
      </c>
    </row>
    <row r="700" spans="1:31">
      <c r="A700" t="s">
        <v>2213</v>
      </c>
      <c r="B700" s="3">
        <v>45549</v>
      </c>
      <c r="C700" s="3">
        <v>45549</v>
      </c>
      <c r="D700" t="s">
        <v>2214</v>
      </c>
      <c r="E700" t="s">
        <v>46</v>
      </c>
      <c r="F700" t="s">
        <v>100</v>
      </c>
      <c r="G700" t="s">
        <v>35</v>
      </c>
      <c r="H700" t="s">
        <v>36</v>
      </c>
      <c r="I700" t="s">
        <v>37</v>
      </c>
      <c r="J700" t="s">
        <v>84</v>
      </c>
      <c r="K700" t="s">
        <v>286</v>
      </c>
      <c r="L700" t="s">
        <v>2215</v>
      </c>
      <c r="M700" t="s">
        <v>69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42</v>
      </c>
      <c r="U700" t="s">
        <v>113</v>
      </c>
      <c r="V700" t="str">
        <f t="shared" si="100"/>
        <v/>
      </c>
      <c r="W700" t="str">
        <f t="shared" si="101"/>
        <v/>
      </c>
      <c r="X700">
        <f t="shared" si="102"/>
        <v>0.3698572418644821</v>
      </c>
      <c r="Y700">
        <f t="shared" si="103"/>
        <v>27755.287999999997</v>
      </c>
      <c r="Z700">
        <f t="shared" si="104"/>
        <v>4003.377999999997</v>
      </c>
      <c r="AA700">
        <f t="shared" si="105"/>
        <v>0.14423838801456493</v>
      </c>
      <c r="AB700">
        <f t="shared" si="106"/>
        <v>0</v>
      </c>
      <c r="AC700" t="str">
        <f t="shared" si="107"/>
        <v>September</v>
      </c>
      <c r="AD700">
        <f t="shared" si="108"/>
        <v>2024</v>
      </c>
      <c r="AE700" t="str">
        <f t="shared" si="109"/>
        <v>CLEAN</v>
      </c>
    </row>
    <row r="701" spans="1:31">
      <c r="A701" t="s">
        <v>2216</v>
      </c>
      <c r="B701" s="3">
        <v>45454</v>
      </c>
      <c r="C701" s="3">
        <v>45454</v>
      </c>
      <c r="D701" t="s">
        <v>2217</v>
      </c>
      <c r="E701" t="s">
        <v>63</v>
      </c>
      <c r="F701" t="s">
        <v>47</v>
      </c>
      <c r="G701" t="s">
        <v>64</v>
      </c>
      <c r="H701" t="s">
        <v>185</v>
      </c>
      <c r="I701" t="s">
        <v>186</v>
      </c>
      <c r="J701" t="s">
        <v>51</v>
      </c>
      <c r="K701" t="s">
        <v>168</v>
      </c>
      <c r="L701" t="s">
        <v>2218</v>
      </c>
      <c r="M701" t="s">
        <v>69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42</v>
      </c>
      <c r="U701" t="s">
        <v>43</v>
      </c>
      <c r="V701" t="str">
        <f t="shared" si="100"/>
        <v/>
      </c>
      <c r="W701" t="str">
        <f t="shared" si="101"/>
        <v/>
      </c>
      <c r="X701">
        <f t="shared" si="102"/>
        <v>1.3271856563895552</v>
      </c>
      <c r="Y701">
        <f t="shared" si="103"/>
        <v>9450.7425000000003</v>
      </c>
      <c r="Z701">
        <f t="shared" si="104"/>
        <v>1652.1824999999999</v>
      </c>
      <c r="AA701">
        <f t="shared" si="105"/>
        <v>0.17482039109625511</v>
      </c>
      <c r="AB701">
        <f t="shared" si="106"/>
        <v>0</v>
      </c>
      <c r="AC701" t="str">
        <f t="shared" si="107"/>
        <v>June</v>
      </c>
      <c r="AD701">
        <f t="shared" si="108"/>
        <v>2024</v>
      </c>
      <c r="AE701" t="str">
        <f t="shared" si="109"/>
        <v>CLEAN</v>
      </c>
    </row>
    <row r="702" spans="1:31">
      <c r="A702" t="s">
        <v>2219</v>
      </c>
      <c r="B702" s="3">
        <v>45553</v>
      </c>
      <c r="C702" s="3">
        <v>45556</v>
      </c>
      <c r="D702" t="s">
        <v>2220</v>
      </c>
      <c r="E702" t="s">
        <v>89</v>
      </c>
      <c r="F702" t="s">
        <v>100</v>
      </c>
      <c r="G702" t="s">
        <v>48</v>
      </c>
      <c r="H702" t="s">
        <v>109</v>
      </c>
      <c r="I702" t="s">
        <v>110</v>
      </c>
      <c r="J702" t="s">
        <v>84</v>
      </c>
      <c r="K702" t="s">
        <v>286</v>
      </c>
      <c r="L702" t="s">
        <v>2221</v>
      </c>
      <c r="M702" t="s">
        <v>69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42</v>
      </c>
      <c r="U702" t="s">
        <v>43</v>
      </c>
      <c r="V702" t="str">
        <f t="shared" si="100"/>
        <v/>
      </c>
      <c r="W702" t="str">
        <f t="shared" si="101"/>
        <v/>
      </c>
      <c r="X702">
        <f t="shared" si="102"/>
        <v>0.3698572418644821</v>
      </c>
      <c r="Y702">
        <f t="shared" si="103"/>
        <v>7792.5450000000001</v>
      </c>
      <c r="Z702">
        <f t="shared" si="104"/>
        <v>3100.8150000000005</v>
      </c>
      <c r="AA702">
        <f t="shared" si="105"/>
        <v>0.39792070498149201</v>
      </c>
      <c r="AB702">
        <f t="shared" si="106"/>
        <v>3</v>
      </c>
      <c r="AC702" t="str">
        <f t="shared" si="107"/>
        <v>September</v>
      </c>
      <c r="AD702">
        <f t="shared" si="108"/>
        <v>2024</v>
      </c>
      <c r="AE702" t="str">
        <f t="shared" si="109"/>
        <v>CLEAN</v>
      </c>
    </row>
    <row r="703" spans="1:31">
      <c r="A703" t="s">
        <v>2222</v>
      </c>
      <c r="B703" s="3">
        <v>45412</v>
      </c>
      <c r="C703" s="3">
        <v>45416</v>
      </c>
      <c r="D703" t="s">
        <v>2223</v>
      </c>
      <c r="E703" t="s">
        <v>151</v>
      </c>
      <c r="F703" t="s">
        <v>47</v>
      </c>
      <c r="G703" t="s">
        <v>73</v>
      </c>
      <c r="H703" t="s">
        <v>190</v>
      </c>
      <c r="I703" t="s">
        <v>191</v>
      </c>
      <c r="J703" t="s">
        <v>38</v>
      </c>
      <c r="K703" t="s">
        <v>58</v>
      </c>
      <c r="L703" t="s">
        <v>2224</v>
      </c>
      <c r="M703" t="s">
        <v>54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42</v>
      </c>
      <c r="U703" t="s">
        <v>113</v>
      </c>
      <c r="V703" t="str">
        <f t="shared" si="100"/>
        <v/>
      </c>
      <c r="W703" t="str">
        <f t="shared" si="101"/>
        <v/>
      </c>
      <c r="X703">
        <f t="shared" si="102"/>
        <v>-1.0661353799231277</v>
      </c>
      <c r="Y703">
        <f t="shared" si="103"/>
        <v>8574.58</v>
      </c>
      <c r="Z703">
        <f t="shared" si="104"/>
        <v>1888.7699999999995</v>
      </c>
      <c r="AA703">
        <f t="shared" si="105"/>
        <v>0.22027551203674112</v>
      </c>
      <c r="AB703">
        <f t="shared" si="106"/>
        <v>4</v>
      </c>
      <c r="AC703" t="str">
        <f t="shared" si="107"/>
        <v>April</v>
      </c>
      <c r="AD703">
        <f t="shared" si="108"/>
        <v>2024</v>
      </c>
      <c r="AE703" t="str">
        <f t="shared" si="109"/>
        <v>CLEAN</v>
      </c>
    </row>
    <row r="704" spans="1:31">
      <c r="A704" t="s">
        <v>2225</v>
      </c>
      <c r="B704" s="3">
        <v>45690</v>
      </c>
      <c r="C704" s="3">
        <v>45810</v>
      </c>
      <c r="D704" t="s">
        <v>2226</v>
      </c>
      <c r="E704" t="s">
        <v>33</v>
      </c>
      <c r="F704" t="s">
        <v>47</v>
      </c>
      <c r="G704" t="s">
        <v>73</v>
      </c>
      <c r="H704" t="s">
        <v>36</v>
      </c>
      <c r="I704" t="s">
        <v>119</v>
      </c>
      <c r="J704" t="s">
        <v>51</v>
      </c>
      <c r="K704" t="s">
        <v>52</v>
      </c>
      <c r="L704" t="s">
        <v>2227</v>
      </c>
      <c r="M704" t="s">
        <v>41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42</v>
      </c>
      <c r="U704" t="s">
        <v>43</v>
      </c>
      <c r="V704" t="str">
        <f t="shared" si="100"/>
        <v/>
      </c>
      <c r="W704" t="str">
        <f t="shared" si="101"/>
        <v/>
      </c>
      <c r="X704">
        <f t="shared" si="102"/>
        <v>-0.10880696539805437</v>
      </c>
      <c r="Y704">
        <f t="shared" si="103"/>
        <v>2692.8180000000002</v>
      </c>
      <c r="Z704">
        <f t="shared" si="104"/>
        <v>872.73800000000028</v>
      </c>
      <c r="AA704">
        <f t="shared" si="105"/>
        <v>0.32409839803506968</v>
      </c>
      <c r="AB704">
        <f t="shared" si="106"/>
        <v>120</v>
      </c>
      <c r="AC704" t="str">
        <f t="shared" si="107"/>
        <v>February</v>
      </c>
      <c r="AD704">
        <f t="shared" si="108"/>
        <v>2025</v>
      </c>
      <c r="AE704" t="str">
        <f t="shared" si="109"/>
        <v>CLEAN</v>
      </c>
    </row>
    <row r="705" spans="1:31">
      <c r="A705" t="s">
        <v>2228</v>
      </c>
      <c r="B705" s="3">
        <v>45584</v>
      </c>
      <c r="C705" s="3">
        <v>45585</v>
      </c>
      <c r="D705" t="s">
        <v>2229</v>
      </c>
      <c r="E705" t="s">
        <v>99</v>
      </c>
      <c r="F705" t="s">
        <v>100</v>
      </c>
      <c r="G705" t="s">
        <v>35</v>
      </c>
      <c r="H705" t="s">
        <v>36</v>
      </c>
      <c r="I705" t="s">
        <v>37</v>
      </c>
      <c r="J705" t="s">
        <v>51</v>
      </c>
      <c r="K705" t="s">
        <v>52</v>
      </c>
      <c r="L705" t="s">
        <v>2230</v>
      </c>
      <c r="M705" t="s">
        <v>60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42</v>
      </c>
      <c r="U705" t="s">
        <v>43</v>
      </c>
      <c r="V705" t="str">
        <f t="shared" si="100"/>
        <v/>
      </c>
      <c r="W705" t="str">
        <f t="shared" si="101"/>
        <v/>
      </c>
      <c r="X705">
        <f t="shared" si="102"/>
        <v>-0.10880696539805437</v>
      </c>
      <c r="Y705">
        <f t="shared" si="103"/>
        <v>1035.027</v>
      </c>
      <c r="Z705">
        <f t="shared" si="104"/>
        <v>180.67700000000002</v>
      </c>
      <c r="AA705">
        <f t="shared" si="105"/>
        <v>0.1745625959516032</v>
      </c>
      <c r="AB705">
        <f t="shared" si="106"/>
        <v>1</v>
      </c>
      <c r="AC705" t="str">
        <f t="shared" si="107"/>
        <v>October</v>
      </c>
      <c r="AD705">
        <f t="shared" si="108"/>
        <v>2024</v>
      </c>
      <c r="AE705" t="str">
        <f t="shared" si="109"/>
        <v>CLEAN</v>
      </c>
    </row>
    <row r="706" spans="1:31">
      <c r="A706" t="s">
        <v>2231</v>
      </c>
      <c r="B706" s="3">
        <v>45364</v>
      </c>
      <c r="C706" s="3">
        <v>45371</v>
      </c>
      <c r="D706" t="s">
        <v>2232</v>
      </c>
      <c r="E706" t="s">
        <v>124</v>
      </c>
      <c r="F706" t="s">
        <v>105</v>
      </c>
      <c r="G706" t="s">
        <v>64</v>
      </c>
      <c r="H706" t="s">
        <v>259</v>
      </c>
      <c r="I706" t="s">
        <v>260</v>
      </c>
      <c r="J706" t="s">
        <v>51</v>
      </c>
      <c r="K706" t="s">
        <v>168</v>
      </c>
      <c r="L706" t="s">
        <v>2233</v>
      </c>
      <c r="M706" t="s">
        <v>215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42</v>
      </c>
      <c r="U706" t="s">
        <v>43</v>
      </c>
      <c r="V706" t="str">
        <f t="shared" si="100"/>
        <v/>
      </c>
      <c r="W706" t="str">
        <f t="shared" si="101"/>
        <v/>
      </c>
      <c r="X706">
        <f t="shared" si="102"/>
        <v>0.3698572418644821</v>
      </c>
      <c r="Y706">
        <f t="shared" si="103"/>
        <v>2401.7855</v>
      </c>
      <c r="Z706">
        <f t="shared" si="104"/>
        <v>581.44550000000004</v>
      </c>
      <c r="AA706">
        <f t="shared" si="105"/>
        <v>0.24208885431276025</v>
      </c>
      <c r="AB706">
        <f t="shared" si="106"/>
        <v>7</v>
      </c>
      <c r="AC706" t="str">
        <f t="shared" si="107"/>
        <v>March</v>
      </c>
      <c r="AD706">
        <f t="shared" si="108"/>
        <v>2024</v>
      </c>
      <c r="AE706" t="str">
        <f t="shared" si="109"/>
        <v>CLEAN</v>
      </c>
    </row>
    <row r="707" spans="1:31">
      <c r="A707" t="s">
        <v>2234</v>
      </c>
      <c r="B707" s="3">
        <v>45543</v>
      </c>
      <c r="C707" s="3">
        <v>45549</v>
      </c>
      <c r="D707" t="s">
        <v>2235</v>
      </c>
      <c r="E707" t="s">
        <v>151</v>
      </c>
      <c r="F707" t="s">
        <v>34</v>
      </c>
      <c r="G707" t="s">
        <v>35</v>
      </c>
      <c r="H707" t="s">
        <v>36</v>
      </c>
      <c r="I707" t="s">
        <v>37</v>
      </c>
      <c r="J707" t="s">
        <v>38</v>
      </c>
      <c r="K707" t="s">
        <v>163</v>
      </c>
      <c r="L707" t="s">
        <v>2236</v>
      </c>
      <c r="M707" t="s">
        <v>69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42</v>
      </c>
      <c r="U707" t="s">
        <v>43</v>
      </c>
      <c r="V707" t="str">
        <f t="shared" ref="V707:V770" si="110">IF(AND(N707&gt;0,O707&gt;0,Q707&gt;0,R707&gt;=0,S707&lt;&gt;""),IF(OR(P707&lt;0,ABS(P707-AVERAGE($P:$P))&gt;2*_xlfn.STDEV.P($P:$P)),"Invalid Discount",""),"")</f>
        <v/>
      </c>
      <c r="W707" t="str">
        <f t="shared" ref="W707:W770" si="111">IF(AND(B707&lt;&gt;"",C707&lt;&gt;""),IF(C707&lt;B707,"Invalid Shipping Record",""),"")</f>
        <v/>
      </c>
      <c r="X707">
        <f t="shared" ref="X707:X770" si="112">(P707-AVERAGE($P:$P))/_xlfn.STDEV.P($P:$P)</f>
        <v>-0.58747117266059101</v>
      </c>
      <c r="Y707">
        <f t="shared" ref="Y707:Y770" si="113">N707*O707*(1-P707)</f>
        <v>16015.8125</v>
      </c>
      <c r="Z707">
        <f t="shared" ref="Z707:Z770" si="114">Y707-R707</f>
        <v>4663.4325000000008</v>
      </c>
      <c r="AA707">
        <f t="shared" ref="AA707:AA770" si="115">IF(Y707=0,0,Z707/Y707)</f>
        <v>0.29117676671102394</v>
      </c>
      <c r="AB707">
        <f t="shared" ref="AB707:AB770" si="116">DATEDIF(B707,C707,"d")</f>
        <v>6</v>
      </c>
      <c r="AC707" t="str">
        <f t="shared" ref="AC707:AC770" si="117">TEXT(B707,"mmmm")</f>
        <v>September</v>
      </c>
      <c r="AD707">
        <f t="shared" ref="AD707:AD770" si="118">YEAR(B707)</f>
        <v>2024</v>
      </c>
      <c r="AE707" t="str">
        <f t="shared" ref="AE707:AE770" si="119">IF(OR(V707="Invalid Discount",W707="Invalid Shipping Record"),"INVALID",IF(U707="Cancelled","WARNING","CLEAN"))</f>
        <v>CLEAN</v>
      </c>
    </row>
    <row r="708" spans="1:31">
      <c r="A708" t="s">
        <v>2237</v>
      </c>
      <c r="B708" s="3">
        <v>45467</v>
      </c>
      <c r="C708" s="3">
        <v>45471</v>
      </c>
      <c r="D708" t="s">
        <v>2238</v>
      </c>
      <c r="E708" t="s">
        <v>57</v>
      </c>
      <c r="F708" t="s">
        <v>47</v>
      </c>
      <c r="G708" t="s">
        <v>48</v>
      </c>
      <c r="H708" t="s">
        <v>49</v>
      </c>
      <c r="I708" t="s">
        <v>50</v>
      </c>
      <c r="J708" t="s">
        <v>38</v>
      </c>
      <c r="K708" t="s">
        <v>39</v>
      </c>
      <c r="L708" t="s">
        <v>2239</v>
      </c>
      <c r="M708" t="s">
        <v>54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42</v>
      </c>
      <c r="U708" t="s">
        <v>43</v>
      </c>
      <c r="V708" t="str">
        <f t="shared" si="110"/>
        <v/>
      </c>
      <c r="W708" t="str">
        <f t="shared" si="111"/>
        <v/>
      </c>
      <c r="X708">
        <f t="shared" si="112"/>
        <v>-0.10880696539805437</v>
      </c>
      <c r="Y708">
        <f t="shared" si="113"/>
        <v>1901.4750000000001</v>
      </c>
      <c r="Z708">
        <f t="shared" si="114"/>
        <v>547.19500000000016</v>
      </c>
      <c r="AA708">
        <f t="shared" si="115"/>
        <v>0.28777396494826391</v>
      </c>
      <c r="AB708">
        <f t="shared" si="116"/>
        <v>4</v>
      </c>
      <c r="AC708" t="str">
        <f t="shared" si="117"/>
        <v>June</v>
      </c>
      <c r="AD708">
        <f t="shared" si="118"/>
        <v>2024</v>
      </c>
      <c r="AE708" t="str">
        <f t="shared" si="119"/>
        <v>CLEAN</v>
      </c>
    </row>
    <row r="709" spans="1:31">
      <c r="A709" t="s">
        <v>2240</v>
      </c>
      <c r="B709" s="3">
        <v>45832</v>
      </c>
      <c r="C709" s="3">
        <v>45834</v>
      </c>
      <c r="D709" t="s">
        <v>2241</v>
      </c>
      <c r="E709" t="s">
        <v>81</v>
      </c>
      <c r="F709" t="s">
        <v>34</v>
      </c>
      <c r="G709" t="s">
        <v>35</v>
      </c>
      <c r="H709" t="s">
        <v>36</v>
      </c>
      <c r="I709" t="s">
        <v>37</v>
      </c>
      <c r="J709" t="s">
        <v>84</v>
      </c>
      <c r="K709" t="s">
        <v>85</v>
      </c>
      <c r="L709" t="s">
        <v>2242</v>
      </c>
      <c r="M709" t="s">
        <v>54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42</v>
      </c>
      <c r="U709" t="s">
        <v>43</v>
      </c>
      <c r="V709" t="str">
        <f t="shared" si="110"/>
        <v>Invalid Discount</v>
      </c>
      <c r="W709" t="str">
        <f t="shared" si="111"/>
        <v/>
      </c>
      <c r="X709">
        <f t="shared" si="112"/>
        <v>4.1991708999647752</v>
      </c>
      <c r="Y709">
        <f t="shared" si="113"/>
        <v>8375.9849999999988</v>
      </c>
      <c r="Z709">
        <f t="shared" si="114"/>
        <v>-3302.3350000000009</v>
      </c>
      <c r="AA709">
        <f t="shared" si="115"/>
        <v>-0.39426228676388525</v>
      </c>
      <c r="AB709">
        <f t="shared" si="116"/>
        <v>2</v>
      </c>
      <c r="AC709" t="str">
        <f t="shared" si="117"/>
        <v>June</v>
      </c>
      <c r="AD709">
        <f t="shared" si="118"/>
        <v>2025</v>
      </c>
      <c r="AE709" t="str">
        <f t="shared" si="119"/>
        <v>INVALID</v>
      </c>
    </row>
    <row r="710" spans="1:31">
      <c r="A710" t="s">
        <v>2243</v>
      </c>
      <c r="B710" s="3">
        <v>45736</v>
      </c>
      <c r="C710" s="3">
        <v>45742</v>
      </c>
      <c r="D710" t="s">
        <v>2244</v>
      </c>
      <c r="E710" t="s">
        <v>142</v>
      </c>
      <c r="F710" t="s">
        <v>34</v>
      </c>
      <c r="G710" t="s">
        <v>48</v>
      </c>
      <c r="H710" t="s">
        <v>176</v>
      </c>
      <c r="I710" t="s">
        <v>177</v>
      </c>
      <c r="J710" t="s">
        <v>51</v>
      </c>
      <c r="K710" t="s">
        <v>168</v>
      </c>
      <c r="L710" t="s">
        <v>2245</v>
      </c>
      <c r="M710" t="s">
        <v>60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42</v>
      </c>
      <c r="U710" t="s">
        <v>43</v>
      </c>
      <c r="V710" t="str">
        <f t="shared" si="110"/>
        <v/>
      </c>
      <c r="W710" t="str">
        <f t="shared" si="111"/>
        <v/>
      </c>
      <c r="X710">
        <f t="shared" si="112"/>
        <v>-0.58747117266059101</v>
      </c>
      <c r="Y710">
        <f t="shared" si="113"/>
        <v>16559.108</v>
      </c>
      <c r="Z710">
        <f t="shared" si="114"/>
        <v>3325.3179999999993</v>
      </c>
      <c r="AA710">
        <f t="shared" si="115"/>
        <v>0.20081504390212318</v>
      </c>
      <c r="AB710">
        <f t="shared" si="116"/>
        <v>6</v>
      </c>
      <c r="AC710" t="str">
        <f t="shared" si="117"/>
        <v>March</v>
      </c>
      <c r="AD710">
        <f t="shared" si="118"/>
        <v>2025</v>
      </c>
      <c r="AE710" t="str">
        <f t="shared" si="119"/>
        <v>CLEAN</v>
      </c>
    </row>
    <row r="711" spans="1:31">
      <c r="A711" t="s">
        <v>2246</v>
      </c>
      <c r="B711" s="3">
        <v>45676</v>
      </c>
      <c r="C711" s="3">
        <v>45680</v>
      </c>
      <c r="D711" t="s">
        <v>2247</v>
      </c>
      <c r="E711" t="s">
        <v>276</v>
      </c>
      <c r="F711" t="s">
        <v>105</v>
      </c>
      <c r="G711" t="s">
        <v>35</v>
      </c>
      <c r="H711" t="s">
        <v>132</v>
      </c>
      <c r="I711" t="s">
        <v>133</v>
      </c>
      <c r="J711" t="s">
        <v>84</v>
      </c>
      <c r="K711" t="s">
        <v>181</v>
      </c>
      <c r="L711" t="s">
        <v>2248</v>
      </c>
      <c r="M711" t="s">
        <v>54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42</v>
      </c>
      <c r="U711" t="s">
        <v>78</v>
      </c>
      <c r="V711" t="str">
        <f t="shared" si="110"/>
        <v/>
      </c>
      <c r="W711" t="str">
        <f t="shared" si="111"/>
        <v/>
      </c>
      <c r="X711">
        <f t="shared" si="112"/>
        <v>0.3698572418644821</v>
      </c>
      <c r="Y711">
        <f t="shared" si="113"/>
        <v>8110.0879999999988</v>
      </c>
      <c r="Z711">
        <f t="shared" si="114"/>
        <v>1692.7679999999991</v>
      </c>
      <c r="AA711">
        <f t="shared" si="115"/>
        <v>0.2087237524426368</v>
      </c>
      <c r="AB711">
        <f t="shared" si="116"/>
        <v>4</v>
      </c>
      <c r="AC711" t="str">
        <f t="shared" si="117"/>
        <v>January</v>
      </c>
      <c r="AD711">
        <f t="shared" si="118"/>
        <v>2025</v>
      </c>
      <c r="AE711" t="str">
        <f t="shared" si="119"/>
        <v>WARNING</v>
      </c>
    </row>
    <row r="712" spans="1:31">
      <c r="A712" t="s">
        <v>2249</v>
      </c>
      <c r="B712" s="3">
        <v>45633</v>
      </c>
      <c r="C712" s="3">
        <v>45492</v>
      </c>
      <c r="D712" t="s">
        <v>2250</v>
      </c>
      <c r="E712" t="s">
        <v>81</v>
      </c>
      <c r="F712" t="s">
        <v>100</v>
      </c>
      <c r="G712" t="s">
        <v>35</v>
      </c>
      <c r="H712" t="s">
        <v>132</v>
      </c>
      <c r="I712" t="s">
        <v>133</v>
      </c>
      <c r="J712" t="s">
        <v>38</v>
      </c>
      <c r="K712" t="s">
        <v>58</v>
      </c>
      <c r="L712" t="s">
        <v>2251</v>
      </c>
      <c r="M712" t="s">
        <v>41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42</v>
      </c>
      <c r="U712" t="s">
        <v>43</v>
      </c>
      <c r="V712" t="str">
        <f t="shared" si="110"/>
        <v/>
      </c>
      <c r="W712" t="str">
        <f t="shared" si="111"/>
        <v>Invalid Shipping Record</v>
      </c>
      <c r="X712">
        <f t="shared" si="112"/>
        <v>-0.58747117266059101</v>
      </c>
      <c r="Y712">
        <f t="shared" si="113"/>
        <v>7406.01</v>
      </c>
      <c r="Z712">
        <f t="shared" si="114"/>
        <v>1464.2700000000004</v>
      </c>
      <c r="AA712">
        <f t="shared" si="115"/>
        <v>0.19771374869869207</v>
      </c>
      <c r="AB712" t="e">
        <f t="shared" si="116"/>
        <v>#NUM!</v>
      </c>
      <c r="AC712" t="str">
        <f t="shared" si="117"/>
        <v>December</v>
      </c>
      <c r="AD712">
        <f t="shared" si="118"/>
        <v>2024</v>
      </c>
      <c r="AE712" t="str">
        <f t="shared" si="119"/>
        <v>INVALID</v>
      </c>
    </row>
    <row r="713" spans="1:31">
      <c r="A713" t="s">
        <v>2252</v>
      </c>
      <c r="B713" s="3">
        <v>45690</v>
      </c>
      <c r="C713" s="3">
        <v>45690</v>
      </c>
      <c r="D713" t="s">
        <v>2253</v>
      </c>
      <c r="E713" t="s">
        <v>276</v>
      </c>
      <c r="F713" t="s">
        <v>100</v>
      </c>
      <c r="G713" t="s">
        <v>48</v>
      </c>
      <c r="H713" t="s">
        <v>109</v>
      </c>
      <c r="I713" t="s">
        <v>110</v>
      </c>
      <c r="J713" t="s">
        <v>84</v>
      </c>
      <c r="K713" t="s">
        <v>286</v>
      </c>
      <c r="L713" t="s">
        <v>2254</v>
      </c>
      <c r="M713" t="s">
        <v>60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121</v>
      </c>
      <c r="U713" t="s">
        <v>113</v>
      </c>
      <c r="V713" t="str">
        <f t="shared" si="110"/>
        <v/>
      </c>
      <c r="W713" t="str">
        <f t="shared" si="111"/>
        <v/>
      </c>
      <c r="X713">
        <f t="shared" si="112"/>
        <v>-0.58747117266059101</v>
      </c>
      <c r="Y713">
        <f t="shared" si="113"/>
        <v>4110.4124999999995</v>
      </c>
      <c r="Z713">
        <f t="shared" si="114"/>
        <v>1716.2724999999996</v>
      </c>
      <c r="AA713">
        <f t="shared" si="115"/>
        <v>0.41754264322619683</v>
      </c>
      <c r="AB713">
        <f t="shared" si="116"/>
        <v>0</v>
      </c>
      <c r="AC713" t="str">
        <f t="shared" si="117"/>
        <v>February</v>
      </c>
      <c r="AD713">
        <f t="shared" si="118"/>
        <v>2025</v>
      </c>
      <c r="AE713" t="str">
        <f t="shared" si="119"/>
        <v>CLEAN</v>
      </c>
    </row>
    <row r="714" spans="1:31">
      <c r="A714" t="s">
        <v>2255</v>
      </c>
      <c r="B714" s="3">
        <v>45332</v>
      </c>
      <c r="C714" s="3">
        <v>45340</v>
      </c>
      <c r="D714" t="s">
        <v>2256</v>
      </c>
      <c r="E714" t="s">
        <v>57</v>
      </c>
      <c r="F714" t="s">
        <v>105</v>
      </c>
      <c r="G714" t="s">
        <v>73</v>
      </c>
      <c r="H714" t="s">
        <v>82</v>
      </c>
      <c r="I714" t="s">
        <v>83</v>
      </c>
      <c r="J714" t="s">
        <v>51</v>
      </c>
      <c r="K714" t="s">
        <v>76</v>
      </c>
      <c r="L714" t="s">
        <v>2257</v>
      </c>
      <c r="M714" t="s">
        <v>60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42</v>
      </c>
      <c r="U714" t="s">
        <v>43</v>
      </c>
      <c r="V714" t="str">
        <f t="shared" si="110"/>
        <v/>
      </c>
      <c r="W714" t="str">
        <f t="shared" si="111"/>
        <v/>
      </c>
      <c r="X714">
        <f t="shared" si="112"/>
        <v>-1.0661353799231277</v>
      </c>
      <c r="Y714">
        <f t="shared" si="113"/>
        <v>9680.0199999999986</v>
      </c>
      <c r="Z714">
        <f t="shared" si="114"/>
        <v>2803.3599999999988</v>
      </c>
      <c r="AA714">
        <f t="shared" si="115"/>
        <v>0.28960270743242256</v>
      </c>
      <c r="AB714">
        <f t="shared" si="116"/>
        <v>8</v>
      </c>
      <c r="AC714" t="str">
        <f t="shared" si="117"/>
        <v>February</v>
      </c>
      <c r="AD714">
        <f t="shared" si="118"/>
        <v>2024</v>
      </c>
      <c r="AE714" t="str">
        <f t="shared" si="119"/>
        <v>CLEAN</v>
      </c>
    </row>
    <row r="715" spans="1:31">
      <c r="A715" t="s">
        <v>2258</v>
      </c>
      <c r="B715" s="3">
        <v>45814</v>
      </c>
      <c r="C715" s="3">
        <v>45936</v>
      </c>
      <c r="D715" t="s">
        <v>614</v>
      </c>
      <c r="E715" t="s">
        <v>46</v>
      </c>
      <c r="F715" t="s">
        <v>34</v>
      </c>
      <c r="G715" t="s">
        <v>73</v>
      </c>
      <c r="H715" t="s">
        <v>36</v>
      </c>
      <c r="I715" t="s">
        <v>119</v>
      </c>
      <c r="J715" t="s">
        <v>84</v>
      </c>
      <c r="K715" t="s">
        <v>286</v>
      </c>
      <c r="L715" t="s">
        <v>2259</v>
      </c>
      <c r="M715" t="s">
        <v>41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42</v>
      </c>
      <c r="U715" t="s">
        <v>43</v>
      </c>
      <c r="V715" t="str">
        <f t="shared" si="110"/>
        <v/>
      </c>
      <c r="W715" t="str">
        <f t="shared" si="111"/>
        <v/>
      </c>
      <c r="X715">
        <f t="shared" si="112"/>
        <v>1.3271856563895552</v>
      </c>
      <c r="Y715">
        <f t="shared" si="113"/>
        <v>217.47750000000002</v>
      </c>
      <c r="Z715">
        <f t="shared" si="114"/>
        <v>85.347500000000025</v>
      </c>
      <c r="AA715">
        <f t="shared" si="115"/>
        <v>0.39244289639158081</v>
      </c>
      <c r="AB715">
        <f t="shared" si="116"/>
        <v>122</v>
      </c>
      <c r="AC715" t="str">
        <f t="shared" si="117"/>
        <v>June</v>
      </c>
      <c r="AD715">
        <f t="shared" si="118"/>
        <v>2025</v>
      </c>
      <c r="AE715" t="str">
        <f t="shared" si="119"/>
        <v>CLEAN</v>
      </c>
    </row>
    <row r="716" spans="1:31">
      <c r="A716" t="s">
        <v>2260</v>
      </c>
      <c r="B716" s="3">
        <v>45738</v>
      </c>
      <c r="C716" s="3">
        <v>45739</v>
      </c>
      <c r="D716" t="s">
        <v>2261</v>
      </c>
      <c r="E716" t="s">
        <v>33</v>
      </c>
      <c r="F716" t="s">
        <v>105</v>
      </c>
      <c r="G716" t="s">
        <v>35</v>
      </c>
      <c r="H716" t="s">
        <v>362</v>
      </c>
      <c r="I716" t="s">
        <v>363</v>
      </c>
      <c r="J716" t="s">
        <v>84</v>
      </c>
      <c r="K716" t="s">
        <v>90</v>
      </c>
      <c r="L716" t="s">
        <v>2262</v>
      </c>
      <c r="M716" t="s">
        <v>69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42</v>
      </c>
      <c r="U716" t="s">
        <v>43</v>
      </c>
      <c r="V716" t="str">
        <f t="shared" si="110"/>
        <v/>
      </c>
      <c r="W716" t="str">
        <f t="shared" si="111"/>
        <v/>
      </c>
      <c r="X716">
        <f t="shared" si="112"/>
        <v>-1.0661353799231277</v>
      </c>
      <c r="Y716">
        <f t="shared" si="113"/>
        <v>18675.18</v>
      </c>
      <c r="Z716">
        <f t="shared" si="114"/>
        <v>4700.4799999999996</v>
      </c>
      <c r="AA716">
        <f t="shared" si="115"/>
        <v>0.25169663692665878</v>
      </c>
      <c r="AB716">
        <f t="shared" si="116"/>
        <v>1</v>
      </c>
      <c r="AC716" t="str">
        <f t="shared" si="117"/>
        <v>March</v>
      </c>
      <c r="AD716">
        <f t="shared" si="118"/>
        <v>2025</v>
      </c>
      <c r="AE716" t="str">
        <f t="shared" si="119"/>
        <v>CLEAN</v>
      </c>
    </row>
    <row r="717" spans="1:31">
      <c r="A717" t="s">
        <v>2263</v>
      </c>
      <c r="B717" s="3">
        <v>45891</v>
      </c>
      <c r="C717" s="3">
        <v>45896</v>
      </c>
      <c r="D717" t="s">
        <v>2264</v>
      </c>
      <c r="E717" t="s">
        <v>124</v>
      </c>
      <c r="F717" t="s">
        <v>34</v>
      </c>
      <c r="G717" t="s">
        <v>35</v>
      </c>
      <c r="H717" t="s">
        <v>248</v>
      </c>
      <c r="I717" t="s">
        <v>249</v>
      </c>
      <c r="J717" t="s">
        <v>51</v>
      </c>
      <c r="K717" t="s">
        <v>76</v>
      </c>
      <c r="L717" t="s">
        <v>2265</v>
      </c>
      <c r="M717" t="s">
        <v>41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112</v>
      </c>
      <c r="U717" t="s">
        <v>78</v>
      </c>
      <c r="V717" t="str">
        <f t="shared" si="110"/>
        <v/>
      </c>
      <c r="W717" t="str">
        <f t="shared" si="111"/>
        <v/>
      </c>
      <c r="X717">
        <f t="shared" si="112"/>
        <v>-1.0661353799231277</v>
      </c>
      <c r="Y717">
        <f t="shared" si="113"/>
        <v>19901.63</v>
      </c>
      <c r="Z717">
        <f t="shared" si="114"/>
        <v>4409.6000000000004</v>
      </c>
      <c r="AA717">
        <f t="shared" si="115"/>
        <v>0.22156979101711771</v>
      </c>
      <c r="AB717">
        <f t="shared" si="116"/>
        <v>5</v>
      </c>
      <c r="AC717" t="str">
        <f t="shared" si="117"/>
        <v>August</v>
      </c>
      <c r="AD717">
        <f t="shared" si="118"/>
        <v>2025</v>
      </c>
      <c r="AE717" t="str">
        <f t="shared" si="119"/>
        <v>WARNING</v>
      </c>
    </row>
    <row r="718" spans="1:31">
      <c r="A718" t="s">
        <v>2266</v>
      </c>
      <c r="B718" s="3">
        <v>45895</v>
      </c>
      <c r="C718" s="3">
        <v>45900</v>
      </c>
      <c r="D718" t="s">
        <v>2267</v>
      </c>
      <c r="E718" t="s">
        <v>172</v>
      </c>
      <c r="F718" t="s">
        <v>47</v>
      </c>
      <c r="G718" t="s">
        <v>35</v>
      </c>
      <c r="H718" t="s">
        <v>248</v>
      </c>
      <c r="I718" t="s">
        <v>249</v>
      </c>
      <c r="J718" t="s">
        <v>84</v>
      </c>
      <c r="K718" t="s">
        <v>181</v>
      </c>
      <c r="L718" t="s">
        <v>2268</v>
      </c>
      <c r="M718" t="s">
        <v>60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42</v>
      </c>
      <c r="U718" t="s">
        <v>43</v>
      </c>
      <c r="V718" t="str">
        <f t="shared" si="110"/>
        <v/>
      </c>
      <c r="W718" t="str">
        <f t="shared" si="111"/>
        <v/>
      </c>
      <c r="X718">
        <f t="shared" si="112"/>
        <v>0.3698572418644821</v>
      </c>
      <c r="Y718">
        <f t="shared" si="113"/>
        <v>2879.817</v>
      </c>
      <c r="Z718">
        <f t="shared" si="114"/>
        <v>1054.9369999999999</v>
      </c>
      <c r="AA718">
        <f t="shared" si="115"/>
        <v>0.3663208460815392</v>
      </c>
      <c r="AB718">
        <f t="shared" si="116"/>
        <v>5</v>
      </c>
      <c r="AC718" t="str">
        <f t="shared" si="117"/>
        <v>August</v>
      </c>
      <c r="AD718">
        <f t="shared" si="118"/>
        <v>2025</v>
      </c>
      <c r="AE718" t="str">
        <f t="shared" si="119"/>
        <v>CLEAN</v>
      </c>
    </row>
    <row r="719" spans="1:31">
      <c r="A719" t="s">
        <v>2269</v>
      </c>
      <c r="B719" s="3">
        <v>45942</v>
      </c>
      <c r="C719" s="3">
        <v>45945</v>
      </c>
      <c r="D719" t="s">
        <v>2270</v>
      </c>
      <c r="E719" t="s">
        <v>276</v>
      </c>
      <c r="F719" t="s">
        <v>47</v>
      </c>
      <c r="G719" t="s">
        <v>35</v>
      </c>
      <c r="H719" t="s">
        <v>248</v>
      </c>
      <c r="I719" t="s">
        <v>249</v>
      </c>
      <c r="J719" t="s">
        <v>84</v>
      </c>
      <c r="K719" t="s">
        <v>286</v>
      </c>
      <c r="L719" t="s">
        <v>2271</v>
      </c>
      <c r="M719" t="s">
        <v>69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121</v>
      </c>
      <c r="U719" t="s">
        <v>78</v>
      </c>
      <c r="V719" t="str">
        <f t="shared" si="110"/>
        <v/>
      </c>
      <c r="W719" t="str">
        <f t="shared" si="111"/>
        <v/>
      </c>
      <c r="X719">
        <f t="shared" si="112"/>
        <v>0.84852144912701888</v>
      </c>
      <c r="Y719">
        <f t="shared" si="113"/>
        <v>18712.223999999998</v>
      </c>
      <c r="Z719">
        <f t="shared" si="114"/>
        <v>6860.003999999999</v>
      </c>
      <c r="AA719">
        <f t="shared" si="115"/>
        <v>0.3666054874075898</v>
      </c>
      <c r="AB719">
        <f t="shared" si="116"/>
        <v>3</v>
      </c>
      <c r="AC719" t="str">
        <f t="shared" si="117"/>
        <v>October</v>
      </c>
      <c r="AD719">
        <f t="shared" si="118"/>
        <v>2025</v>
      </c>
      <c r="AE719" t="str">
        <f t="shared" si="119"/>
        <v>WARNING</v>
      </c>
    </row>
    <row r="720" spans="1:31">
      <c r="A720" t="s">
        <v>2272</v>
      </c>
      <c r="B720" s="3">
        <v>45541</v>
      </c>
      <c r="C720" s="3">
        <v>45544</v>
      </c>
      <c r="D720" t="s">
        <v>2273</v>
      </c>
      <c r="E720" t="s">
        <v>46</v>
      </c>
      <c r="F720" t="s">
        <v>34</v>
      </c>
      <c r="G720" t="s">
        <v>73</v>
      </c>
      <c r="H720" t="s">
        <v>74</v>
      </c>
      <c r="I720" t="s">
        <v>75</v>
      </c>
      <c r="J720" t="s">
        <v>38</v>
      </c>
      <c r="K720" t="s">
        <v>58</v>
      </c>
      <c r="L720" t="s">
        <v>2274</v>
      </c>
      <c r="M720" t="s">
        <v>54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42</v>
      </c>
      <c r="U720" t="s">
        <v>43</v>
      </c>
      <c r="V720" t="str">
        <f t="shared" si="110"/>
        <v/>
      </c>
      <c r="W720" t="str">
        <f t="shared" si="111"/>
        <v/>
      </c>
      <c r="X720">
        <f t="shared" si="112"/>
        <v>0.84852144912701888</v>
      </c>
      <c r="Y720">
        <f t="shared" si="113"/>
        <v>4733.4479999999994</v>
      </c>
      <c r="Z720">
        <f t="shared" si="114"/>
        <v>1061.1279999999992</v>
      </c>
      <c r="AA720">
        <f t="shared" si="115"/>
        <v>0.22417654107534282</v>
      </c>
      <c r="AB720">
        <f t="shared" si="116"/>
        <v>3</v>
      </c>
      <c r="AC720" t="str">
        <f t="shared" si="117"/>
        <v>September</v>
      </c>
      <c r="AD720">
        <f t="shared" si="118"/>
        <v>2024</v>
      </c>
      <c r="AE720" t="str">
        <f t="shared" si="119"/>
        <v>CLEAN</v>
      </c>
    </row>
    <row r="721" spans="1:31">
      <c r="A721" t="s">
        <v>2275</v>
      </c>
      <c r="B721" s="3">
        <v>45908</v>
      </c>
      <c r="C721" s="3">
        <v>45909</v>
      </c>
      <c r="D721" t="s">
        <v>154</v>
      </c>
      <c r="E721" t="s">
        <v>276</v>
      </c>
      <c r="F721" t="s">
        <v>100</v>
      </c>
      <c r="G721" t="s">
        <v>73</v>
      </c>
      <c r="H721" t="s">
        <v>190</v>
      </c>
      <c r="I721" t="s">
        <v>191</v>
      </c>
      <c r="J721" t="s">
        <v>38</v>
      </c>
      <c r="K721" t="s">
        <v>58</v>
      </c>
      <c r="L721" t="s">
        <v>2276</v>
      </c>
      <c r="M721" t="s">
        <v>54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42</v>
      </c>
      <c r="U721" t="s">
        <v>43</v>
      </c>
      <c r="V721" t="str">
        <f t="shared" si="110"/>
        <v/>
      </c>
      <c r="W721" t="str">
        <f t="shared" si="111"/>
        <v/>
      </c>
      <c r="X721">
        <f t="shared" si="112"/>
        <v>0.84852144912701888</v>
      </c>
      <c r="Y721">
        <f t="shared" si="113"/>
        <v>3795.8559999999998</v>
      </c>
      <c r="Z721">
        <f t="shared" si="114"/>
        <v>1530.9359999999997</v>
      </c>
      <c r="AA721">
        <f t="shared" si="115"/>
        <v>0.40331772332775528</v>
      </c>
      <c r="AB721">
        <f t="shared" si="116"/>
        <v>1</v>
      </c>
      <c r="AC721" t="str">
        <f t="shared" si="117"/>
        <v>September</v>
      </c>
      <c r="AD721">
        <f t="shared" si="118"/>
        <v>2025</v>
      </c>
      <c r="AE721" t="str">
        <f t="shared" si="119"/>
        <v>CLEAN</v>
      </c>
    </row>
    <row r="722" spans="1:31">
      <c r="A722" t="s">
        <v>2277</v>
      </c>
      <c r="B722" s="3">
        <v>45489</v>
      </c>
      <c r="C722" s="3">
        <v>45489</v>
      </c>
      <c r="D722" t="s">
        <v>2278</v>
      </c>
      <c r="E722" t="s">
        <v>99</v>
      </c>
      <c r="F722" t="s">
        <v>105</v>
      </c>
      <c r="G722" t="s">
        <v>73</v>
      </c>
      <c r="H722" t="s">
        <v>82</v>
      </c>
      <c r="I722" t="s">
        <v>83</v>
      </c>
      <c r="J722" t="s">
        <v>84</v>
      </c>
      <c r="K722" t="s">
        <v>90</v>
      </c>
      <c r="L722" t="s">
        <v>2279</v>
      </c>
      <c r="M722" t="s">
        <v>54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42</v>
      </c>
      <c r="U722" t="s">
        <v>43</v>
      </c>
      <c r="V722" t="str">
        <f t="shared" si="110"/>
        <v/>
      </c>
      <c r="W722" t="str">
        <f t="shared" si="111"/>
        <v/>
      </c>
      <c r="X722">
        <f t="shared" si="112"/>
        <v>0.3698572418644821</v>
      </c>
      <c r="Y722">
        <f t="shared" si="113"/>
        <v>15231.727999999999</v>
      </c>
      <c r="Z722">
        <f t="shared" si="114"/>
        <v>2780.268</v>
      </c>
      <c r="AA722">
        <f t="shared" si="115"/>
        <v>0.1825313582280356</v>
      </c>
      <c r="AB722">
        <f t="shared" si="116"/>
        <v>0</v>
      </c>
      <c r="AC722" t="str">
        <f t="shared" si="117"/>
        <v>July</v>
      </c>
      <c r="AD722">
        <f t="shared" si="118"/>
        <v>2024</v>
      </c>
      <c r="AE722" t="str">
        <f t="shared" si="119"/>
        <v>CLEAN</v>
      </c>
    </row>
    <row r="723" spans="1:31">
      <c r="A723" t="s">
        <v>2280</v>
      </c>
      <c r="B723" s="3">
        <v>45827</v>
      </c>
      <c r="C723" s="3">
        <v>45831</v>
      </c>
      <c r="D723" t="s">
        <v>2281</v>
      </c>
      <c r="E723" t="s">
        <v>142</v>
      </c>
      <c r="F723" t="s">
        <v>34</v>
      </c>
      <c r="G723" t="s">
        <v>64</v>
      </c>
      <c r="H723" t="s">
        <v>185</v>
      </c>
      <c r="I723" t="s">
        <v>186</v>
      </c>
      <c r="J723" t="s">
        <v>84</v>
      </c>
      <c r="K723" t="s">
        <v>90</v>
      </c>
      <c r="L723" t="s">
        <v>2282</v>
      </c>
      <c r="M723" t="s">
        <v>60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42</v>
      </c>
      <c r="U723" t="s">
        <v>43</v>
      </c>
      <c r="V723" t="str">
        <f t="shared" si="110"/>
        <v/>
      </c>
      <c r="W723" t="str">
        <f t="shared" si="111"/>
        <v/>
      </c>
      <c r="X723">
        <f t="shared" si="112"/>
        <v>-1.0661353799231277</v>
      </c>
      <c r="Y723">
        <f t="shared" si="113"/>
        <v>13649.75</v>
      </c>
      <c r="Z723">
        <f t="shared" si="114"/>
        <v>3361.7199999999993</v>
      </c>
      <c r="AA723">
        <f t="shared" si="115"/>
        <v>0.24628436418249414</v>
      </c>
      <c r="AB723">
        <f t="shared" si="116"/>
        <v>4</v>
      </c>
      <c r="AC723" t="str">
        <f t="shared" si="117"/>
        <v>June</v>
      </c>
      <c r="AD723">
        <f t="shared" si="118"/>
        <v>2025</v>
      </c>
      <c r="AE723" t="str">
        <f t="shared" si="119"/>
        <v>CLEAN</v>
      </c>
    </row>
    <row r="724" spans="1:31">
      <c r="A724" t="s">
        <v>2283</v>
      </c>
      <c r="B724" s="3">
        <v>45572</v>
      </c>
      <c r="C724" s="3">
        <v>45575</v>
      </c>
      <c r="D724" t="s">
        <v>2284</v>
      </c>
      <c r="E724" t="s">
        <v>81</v>
      </c>
      <c r="F724" t="s">
        <v>34</v>
      </c>
      <c r="G724" t="s">
        <v>48</v>
      </c>
      <c r="H724" t="s">
        <v>109</v>
      </c>
      <c r="I724" t="s">
        <v>110</v>
      </c>
      <c r="J724" t="s">
        <v>51</v>
      </c>
      <c r="K724" t="s">
        <v>76</v>
      </c>
      <c r="L724" t="s">
        <v>2285</v>
      </c>
      <c r="M724" t="s">
        <v>41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112</v>
      </c>
      <c r="U724" t="s">
        <v>78</v>
      </c>
      <c r="V724" t="str">
        <f t="shared" si="110"/>
        <v/>
      </c>
      <c r="W724" t="str">
        <f t="shared" si="111"/>
        <v/>
      </c>
      <c r="X724">
        <f t="shared" si="112"/>
        <v>-1.0661353799231277</v>
      </c>
      <c r="Y724">
        <f t="shared" si="113"/>
        <v>4333.59</v>
      </c>
      <c r="Z724">
        <f t="shared" si="114"/>
        <v>1800</v>
      </c>
      <c r="AA724">
        <f t="shared" si="115"/>
        <v>0.41536001329152039</v>
      </c>
      <c r="AB724">
        <f t="shared" si="116"/>
        <v>3</v>
      </c>
      <c r="AC724" t="str">
        <f t="shared" si="117"/>
        <v>October</v>
      </c>
      <c r="AD724">
        <f t="shared" si="118"/>
        <v>2024</v>
      </c>
      <c r="AE724" t="str">
        <f t="shared" si="119"/>
        <v>WARNING</v>
      </c>
    </row>
    <row r="725" spans="1:31">
      <c r="A725" t="s">
        <v>2286</v>
      </c>
      <c r="B725" s="3">
        <v>45818</v>
      </c>
      <c r="C725" s="3">
        <v>45943</v>
      </c>
      <c r="D725" t="s">
        <v>2287</v>
      </c>
      <c r="E725" t="s">
        <v>276</v>
      </c>
      <c r="F725" t="s">
        <v>105</v>
      </c>
      <c r="G725" t="s">
        <v>48</v>
      </c>
      <c r="H725" t="s">
        <v>240</v>
      </c>
      <c r="I725" t="s">
        <v>241</v>
      </c>
      <c r="J725" t="s">
        <v>84</v>
      </c>
      <c r="K725" t="s">
        <v>85</v>
      </c>
      <c r="L725" t="s">
        <v>2288</v>
      </c>
      <c r="M725" t="s">
        <v>69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165</v>
      </c>
      <c r="U725" t="s">
        <v>113</v>
      </c>
      <c r="V725" t="str">
        <f t="shared" si="110"/>
        <v/>
      </c>
      <c r="W725" t="str">
        <f t="shared" si="111"/>
        <v/>
      </c>
      <c r="X725">
        <f t="shared" si="112"/>
        <v>-0.58747117266059101</v>
      </c>
      <c r="Y725">
        <f t="shared" si="113"/>
        <v>13634.000999999998</v>
      </c>
      <c r="Z725">
        <f t="shared" si="114"/>
        <v>4044.1909999999989</v>
      </c>
      <c r="AA725">
        <f t="shared" si="115"/>
        <v>0.29662539998346776</v>
      </c>
      <c r="AB725">
        <f t="shared" si="116"/>
        <v>125</v>
      </c>
      <c r="AC725" t="str">
        <f t="shared" si="117"/>
        <v>June</v>
      </c>
      <c r="AD725">
        <f t="shared" si="118"/>
        <v>2025</v>
      </c>
      <c r="AE725" t="str">
        <f t="shared" si="119"/>
        <v>CLEAN</v>
      </c>
    </row>
    <row r="726" spans="1:31">
      <c r="A726" t="s">
        <v>2289</v>
      </c>
      <c r="B726" s="3">
        <v>45567</v>
      </c>
      <c r="C726" s="3">
        <v>45338</v>
      </c>
      <c r="D726" t="s">
        <v>2290</v>
      </c>
      <c r="E726" t="s">
        <v>33</v>
      </c>
      <c r="F726" t="s">
        <v>34</v>
      </c>
      <c r="G726" t="s">
        <v>73</v>
      </c>
      <c r="H726" t="s">
        <v>200</v>
      </c>
      <c r="I726" t="s">
        <v>201</v>
      </c>
      <c r="J726" t="s">
        <v>51</v>
      </c>
      <c r="K726" t="s">
        <v>67</v>
      </c>
      <c r="L726" t="s">
        <v>2291</v>
      </c>
      <c r="M726" t="s">
        <v>41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42</v>
      </c>
      <c r="U726" t="s">
        <v>43</v>
      </c>
      <c r="V726" t="str">
        <f t="shared" si="110"/>
        <v/>
      </c>
      <c r="W726" t="str">
        <f t="shared" si="111"/>
        <v>Invalid Shipping Record</v>
      </c>
      <c r="X726">
        <f t="shared" si="112"/>
        <v>-1.0661353799231277</v>
      </c>
      <c r="Y726">
        <f t="shared" si="113"/>
        <v>760.29</v>
      </c>
      <c r="Z726">
        <f t="shared" si="114"/>
        <v>262.52</v>
      </c>
      <c r="AA726">
        <f t="shared" si="115"/>
        <v>0.34528929750489945</v>
      </c>
      <c r="AB726" t="e">
        <f t="shared" si="116"/>
        <v>#NUM!</v>
      </c>
      <c r="AC726" t="str">
        <f t="shared" si="117"/>
        <v>October</v>
      </c>
      <c r="AD726">
        <f t="shared" si="118"/>
        <v>2024</v>
      </c>
      <c r="AE726" t="str">
        <f t="shared" si="119"/>
        <v>INVALID</v>
      </c>
    </row>
    <row r="727" spans="1:31">
      <c r="A727" t="s">
        <v>2292</v>
      </c>
      <c r="B727" s="3">
        <v>45787</v>
      </c>
      <c r="C727" s="3">
        <v>45942</v>
      </c>
      <c r="D727" t="s">
        <v>2293</v>
      </c>
      <c r="E727" t="s">
        <v>124</v>
      </c>
      <c r="F727" t="s">
        <v>100</v>
      </c>
      <c r="G727" t="s">
        <v>64</v>
      </c>
      <c r="H727" t="s">
        <v>185</v>
      </c>
      <c r="I727" t="s">
        <v>186</v>
      </c>
      <c r="J727" t="s">
        <v>51</v>
      </c>
      <c r="K727" t="s">
        <v>52</v>
      </c>
      <c r="L727" t="s">
        <v>2294</v>
      </c>
      <c r="M727" t="s">
        <v>41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42</v>
      </c>
      <c r="U727" t="s">
        <v>43</v>
      </c>
      <c r="V727" t="str">
        <f t="shared" si="110"/>
        <v/>
      </c>
      <c r="W727" t="str">
        <f t="shared" si="111"/>
        <v/>
      </c>
      <c r="X727">
        <f t="shared" si="112"/>
        <v>-1.0661353799231277</v>
      </c>
      <c r="Y727">
        <f t="shared" si="113"/>
        <v>14943.11</v>
      </c>
      <c r="Z727">
        <f t="shared" si="114"/>
        <v>6421.6100000000006</v>
      </c>
      <c r="AA727">
        <f t="shared" si="115"/>
        <v>0.42973718322357263</v>
      </c>
      <c r="AB727">
        <f t="shared" si="116"/>
        <v>155</v>
      </c>
      <c r="AC727" t="str">
        <f t="shared" si="117"/>
        <v>May</v>
      </c>
      <c r="AD727">
        <f t="shared" si="118"/>
        <v>2025</v>
      </c>
      <c r="AE727" t="str">
        <f t="shared" si="119"/>
        <v>CLEAN</v>
      </c>
    </row>
    <row r="728" spans="1:31">
      <c r="A728" t="s">
        <v>2295</v>
      </c>
      <c r="B728" s="3">
        <v>45308</v>
      </c>
      <c r="C728" s="3">
        <v>45314</v>
      </c>
      <c r="D728" t="s">
        <v>2296</v>
      </c>
      <c r="E728" t="s">
        <v>276</v>
      </c>
      <c r="F728" t="s">
        <v>105</v>
      </c>
      <c r="G728" t="s">
        <v>73</v>
      </c>
      <c r="H728" t="s">
        <v>190</v>
      </c>
      <c r="I728" t="s">
        <v>191</v>
      </c>
      <c r="J728" t="s">
        <v>84</v>
      </c>
      <c r="K728" t="s">
        <v>181</v>
      </c>
      <c r="L728" t="s">
        <v>2297</v>
      </c>
      <c r="M728" t="s">
        <v>69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121</v>
      </c>
      <c r="U728" t="s">
        <v>113</v>
      </c>
      <c r="V728" t="str">
        <f t="shared" si="110"/>
        <v/>
      </c>
      <c r="W728" t="str">
        <f t="shared" si="111"/>
        <v/>
      </c>
      <c r="X728">
        <f t="shared" si="112"/>
        <v>0.84852144912701888</v>
      </c>
      <c r="Y728">
        <f t="shared" si="113"/>
        <v>8072</v>
      </c>
      <c r="Z728">
        <f t="shared" si="114"/>
        <v>2692.7799999999997</v>
      </c>
      <c r="AA728">
        <f t="shared" si="115"/>
        <v>0.33359514370664023</v>
      </c>
      <c r="AB728">
        <f t="shared" si="116"/>
        <v>6</v>
      </c>
      <c r="AC728" t="str">
        <f t="shared" si="117"/>
        <v>January</v>
      </c>
      <c r="AD728">
        <f t="shared" si="118"/>
        <v>2024</v>
      </c>
      <c r="AE728" t="str">
        <f t="shared" si="119"/>
        <v>CLEAN</v>
      </c>
    </row>
    <row r="729" spans="1:31">
      <c r="A729" t="s">
        <v>2298</v>
      </c>
      <c r="B729" s="3">
        <v>45578</v>
      </c>
      <c r="C729" s="3">
        <v>45578</v>
      </c>
      <c r="D729" t="s">
        <v>2299</v>
      </c>
      <c r="E729" t="s">
        <v>138</v>
      </c>
      <c r="F729" t="s">
        <v>47</v>
      </c>
      <c r="G729" t="s">
        <v>48</v>
      </c>
      <c r="H729" t="s">
        <v>176</v>
      </c>
      <c r="I729" t="s">
        <v>177</v>
      </c>
      <c r="J729" t="s">
        <v>84</v>
      </c>
      <c r="K729" t="s">
        <v>85</v>
      </c>
      <c r="L729" t="s">
        <v>2300</v>
      </c>
      <c r="M729" t="s">
        <v>41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42</v>
      </c>
      <c r="U729" t="s">
        <v>43</v>
      </c>
      <c r="V729" t="str">
        <f t="shared" si="110"/>
        <v/>
      </c>
      <c r="W729" t="str">
        <f t="shared" si="111"/>
        <v/>
      </c>
      <c r="X729">
        <f t="shared" si="112"/>
        <v>-0.58747117266059101</v>
      </c>
      <c r="Y729">
        <f t="shared" si="113"/>
        <v>28353.015999999996</v>
      </c>
      <c r="Z729">
        <f t="shared" si="114"/>
        <v>9095.1659999999974</v>
      </c>
      <c r="AA729">
        <f t="shared" si="115"/>
        <v>0.3207830165228277</v>
      </c>
      <c r="AB729">
        <f t="shared" si="116"/>
        <v>0</v>
      </c>
      <c r="AC729" t="str">
        <f t="shared" si="117"/>
        <v>October</v>
      </c>
      <c r="AD729">
        <f t="shared" si="118"/>
        <v>2024</v>
      </c>
      <c r="AE729" t="str">
        <f t="shared" si="119"/>
        <v>CLEAN</v>
      </c>
    </row>
    <row r="730" spans="1:31">
      <c r="A730" t="s">
        <v>2301</v>
      </c>
      <c r="B730" s="3">
        <v>45295</v>
      </c>
      <c r="C730" s="3">
        <v>45298</v>
      </c>
      <c r="D730" t="s">
        <v>2302</v>
      </c>
      <c r="E730" t="s">
        <v>142</v>
      </c>
      <c r="F730" t="s">
        <v>47</v>
      </c>
      <c r="G730" t="s">
        <v>64</v>
      </c>
      <c r="H730" t="s">
        <v>185</v>
      </c>
      <c r="I730" t="s">
        <v>186</v>
      </c>
      <c r="J730" t="s">
        <v>84</v>
      </c>
      <c r="K730" t="s">
        <v>286</v>
      </c>
      <c r="L730" t="s">
        <v>2303</v>
      </c>
      <c r="M730" t="s">
        <v>60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42</v>
      </c>
      <c r="U730" t="s">
        <v>43</v>
      </c>
      <c r="V730" t="str">
        <f t="shared" si="110"/>
        <v/>
      </c>
      <c r="W730" t="str">
        <f t="shared" si="111"/>
        <v/>
      </c>
      <c r="X730">
        <f t="shared" si="112"/>
        <v>0.3698572418644821</v>
      </c>
      <c r="Y730">
        <f t="shared" si="113"/>
        <v>2008.567</v>
      </c>
      <c r="Z730">
        <f t="shared" si="114"/>
        <v>813.73700000000008</v>
      </c>
      <c r="AA730">
        <f t="shared" si="115"/>
        <v>0.40513311231340554</v>
      </c>
      <c r="AB730">
        <f t="shared" si="116"/>
        <v>3</v>
      </c>
      <c r="AC730" t="str">
        <f t="shared" si="117"/>
        <v>January</v>
      </c>
      <c r="AD730">
        <f t="shared" si="118"/>
        <v>2024</v>
      </c>
      <c r="AE730" t="str">
        <f t="shared" si="119"/>
        <v>CLEAN</v>
      </c>
    </row>
    <row r="731" spans="1:31">
      <c r="A731" t="s">
        <v>2304</v>
      </c>
      <c r="B731" s="3">
        <v>45794</v>
      </c>
      <c r="C731" s="3">
        <v>45802</v>
      </c>
      <c r="D731" t="s">
        <v>2305</v>
      </c>
      <c r="E731" t="s">
        <v>72</v>
      </c>
      <c r="F731" t="s">
        <v>100</v>
      </c>
      <c r="G731" t="s">
        <v>64</v>
      </c>
      <c r="H731" t="s">
        <v>259</v>
      </c>
      <c r="I731" t="s">
        <v>260</v>
      </c>
      <c r="J731" t="s">
        <v>84</v>
      </c>
      <c r="K731" t="s">
        <v>286</v>
      </c>
      <c r="L731" t="s">
        <v>2306</v>
      </c>
      <c r="M731" t="s">
        <v>54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42</v>
      </c>
      <c r="U731" t="s">
        <v>43</v>
      </c>
      <c r="V731" t="str">
        <f t="shared" si="110"/>
        <v/>
      </c>
      <c r="W731" t="str">
        <f t="shared" si="111"/>
        <v/>
      </c>
      <c r="X731">
        <f t="shared" si="112"/>
        <v>0.3698572418644821</v>
      </c>
      <c r="Y731">
        <f t="shared" si="113"/>
        <v>9234.2129999999997</v>
      </c>
      <c r="Z731">
        <f t="shared" si="114"/>
        <v>3717.6929999999993</v>
      </c>
      <c r="AA731">
        <f t="shared" si="115"/>
        <v>0.40259987505161504</v>
      </c>
      <c r="AB731">
        <f t="shared" si="116"/>
        <v>8</v>
      </c>
      <c r="AC731" t="str">
        <f t="shared" si="117"/>
        <v>May</v>
      </c>
      <c r="AD731">
        <f t="shared" si="118"/>
        <v>2025</v>
      </c>
      <c r="AE731" t="str">
        <f t="shared" si="119"/>
        <v>CLEAN</v>
      </c>
    </row>
    <row r="732" spans="1:31">
      <c r="A732" t="s">
        <v>2307</v>
      </c>
      <c r="B732" s="3">
        <v>45827</v>
      </c>
      <c r="C732" s="3">
        <v>45832</v>
      </c>
      <c r="D732" t="s">
        <v>2308</v>
      </c>
      <c r="E732" t="s">
        <v>63</v>
      </c>
      <c r="F732" t="s">
        <v>34</v>
      </c>
      <c r="G732" t="s">
        <v>48</v>
      </c>
      <c r="H732" t="s">
        <v>109</v>
      </c>
      <c r="I732" t="s">
        <v>110</v>
      </c>
      <c r="J732" t="s">
        <v>38</v>
      </c>
      <c r="K732" t="s">
        <v>58</v>
      </c>
      <c r="L732" t="s">
        <v>2309</v>
      </c>
      <c r="M732" t="s">
        <v>41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112</v>
      </c>
      <c r="U732" t="s">
        <v>113</v>
      </c>
      <c r="V732" t="str">
        <f t="shared" si="110"/>
        <v/>
      </c>
      <c r="W732" t="str">
        <f t="shared" si="111"/>
        <v/>
      </c>
      <c r="X732">
        <f t="shared" si="112"/>
        <v>0.3698572418644821</v>
      </c>
      <c r="Y732">
        <f t="shared" si="113"/>
        <v>2658.8339999999998</v>
      </c>
      <c r="Z732">
        <f t="shared" si="114"/>
        <v>431.86400000000003</v>
      </c>
      <c r="AA732">
        <f t="shared" si="115"/>
        <v>0.16242608602116568</v>
      </c>
      <c r="AB732">
        <f t="shared" si="116"/>
        <v>5</v>
      </c>
      <c r="AC732" t="str">
        <f t="shared" si="117"/>
        <v>June</v>
      </c>
      <c r="AD732">
        <f t="shared" si="118"/>
        <v>2025</v>
      </c>
      <c r="AE732" t="str">
        <f t="shared" si="119"/>
        <v>CLEAN</v>
      </c>
    </row>
    <row r="733" spans="1:31">
      <c r="A733" t="s">
        <v>2310</v>
      </c>
      <c r="B733" s="3">
        <v>45368</v>
      </c>
      <c r="C733" s="3">
        <v>45370</v>
      </c>
      <c r="D733" t="s">
        <v>2311</v>
      </c>
      <c r="E733" t="s">
        <v>72</v>
      </c>
      <c r="F733" t="s">
        <v>100</v>
      </c>
      <c r="G733" t="s">
        <v>48</v>
      </c>
      <c r="H733" t="s">
        <v>49</v>
      </c>
      <c r="I733" t="s">
        <v>50</v>
      </c>
      <c r="J733" t="s">
        <v>38</v>
      </c>
      <c r="K733" t="s">
        <v>163</v>
      </c>
      <c r="L733" t="s">
        <v>2312</v>
      </c>
      <c r="M733" t="s">
        <v>60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42</v>
      </c>
      <c r="U733" t="s">
        <v>43</v>
      </c>
      <c r="V733" t="str">
        <f t="shared" si="110"/>
        <v/>
      </c>
      <c r="W733" t="str">
        <f t="shared" si="111"/>
        <v/>
      </c>
      <c r="X733">
        <f t="shared" si="112"/>
        <v>-0.10880696539805437</v>
      </c>
      <c r="Y733">
        <f t="shared" si="113"/>
        <v>15756.048000000001</v>
      </c>
      <c r="Z733">
        <f t="shared" si="114"/>
        <v>5510.6080000000002</v>
      </c>
      <c r="AA733">
        <f t="shared" si="115"/>
        <v>0.3497455707167178</v>
      </c>
      <c r="AB733">
        <f t="shared" si="116"/>
        <v>2</v>
      </c>
      <c r="AC733" t="str">
        <f t="shared" si="117"/>
        <v>March</v>
      </c>
      <c r="AD733">
        <f t="shared" si="118"/>
        <v>2024</v>
      </c>
      <c r="AE733" t="str">
        <f t="shared" si="119"/>
        <v>CLEAN</v>
      </c>
    </row>
    <row r="734" spans="1:31">
      <c r="A734" t="s">
        <v>2313</v>
      </c>
      <c r="B734" s="3">
        <v>45624</v>
      </c>
      <c r="C734" s="3">
        <v>45632</v>
      </c>
      <c r="D734" t="s">
        <v>2314</v>
      </c>
      <c r="E734" t="s">
        <v>63</v>
      </c>
      <c r="F734" t="s">
        <v>47</v>
      </c>
      <c r="G734" t="s">
        <v>35</v>
      </c>
      <c r="H734" t="s">
        <v>132</v>
      </c>
      <c r="I734" t="s">
        <v>133</v>
      </c>
      <c r="J734" t="s">
        <v>84</v>
      </c>
      <c r="K734" t="s">
        <v>181</v>
      </c>
      <c r="L734" t="s">
        <v>2315</v>
      </c>
      <c r="M734" t="s">
        <v>69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42</v>
      </c>
      <c r="U734" t="s">
        <v>43</v>
      </c>
      <c r="V734" t="str">
        <f t="shared" si="110"/>
        <v/>
      </c>
      <c r="W734" t="str">
        <f t="shared" si="111"/>
        <v/>
      </c>
      <c r="X734">
        <f t="shared" si="112"/>
        <v>-1.0661353799231277</v>
      </c>
      <c r="Y734">
        <f t="shared" si="113"/>
        <v>14787.78</v>
      </c>
      <c r="Z734">
        <f t="shared" si="114"/>
        <v>6191.130000000001</v>
      </c>
      <c r="AA734">
        <f t="shared" si="115"/>
        <v>0.41866527632950995</v>
      </c>
      <c r="AB734">
        <f t="shared" si="116"/>
        <v>8</v>
      </c>
      <c r="AC734" t="str">
        <f t="shared" si="117"/>
        <v>November</v>
      </c>
      <c r="AD734">
        <f t="shared" si="118"/>
        <v>2024</v>
      </c>
      <c r="AE734" t="str">
        <f t="shared" si="119"/>
        <v>CLEAN</v>
      </c>
    </row>
    <row r="735" spans="1:31">
      <c r="A735" t="s">
        <v>2316</v>
      </c>
      <c r="B735" s="3">
        <v>45464</v>
      </c>
      <c r="C735" s="3">
        <v>45471</v>
      </c>
      <c r="D735" t="s">
        <v>2317</v>
      </c>
      <c r="E735" t="s">
        <v>138</v>
      </c>
      <c r="F735" t="s">
        <v>105</v>
      </c>
      <c r="G735" t="s">
        <v>35</v>
      </c>
      <c r="H735" t="s">
        <v>36</v>
      </c>
      <c r="I735" t="s">
        <v>37</v>
      </c>
      <c r="J735" t="s">
        <v>51</v>
      </c>
      <c r="K735" t="s">
        <v>67</v>
      </c>
      <c r="L735" t="s">
        <v>2318</v>
      </c>
      <c r="M735" t="s">
        <v>60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42</v>
      </c>
      <c r="U735" t="s">
        <v>43</v>
      </c>
      <c r="V735" t="str">
        <f t="shared" si="110"/>
        <v/>
      </c>
      <c r="W735" t="str">
        <f t="shared" si="111"/>
        <v/>
      </c>
      <c r="X735">
        <f t="shared" si="112"/>
        <v>-1.0661353799231277</v>
      </c>
      <c r="Y735">
        <f t="shared" si="113"/>
        <v>25181.64</v>
      </c>
      <c r="Z735">
        <f t="shared" si="114"/>
        <v>9843.74</v>
      </c>
      <c r="AA735">
        <f t="shared" si="115"/>
        <v>0.39090940860086953</v>
      </c>
      <c r="AB735">
        <f t="shared" si="116"/>
        <v>7</v>
      </c>
      <c r="AC735" t="str">
        <f t="shared" si="117"/>
        <v>June</v>
      </c>
      <c r="AD735">
        <f t="shared" si="118"/>
        <v>2024</v>
      </c>
      <c r="AE735" t="str">
        <f t="shared" si="119"/>
        <v>CLEAN</v>
      </c>
    </row>
    <row r="736" spans="1:31">
      <c r="A736" t="s">
        <v>2319</v>
      </c>
      <c r="B736" s="3">
        <v>45528</v>
      </c>
      <c r="C736" s="3">
        <v>45528</v>
      </c>
      <c r="D736" t="s">
        <v>2320</v>
      </c>
      <c r="E736" t="s">
        <v>72</v>
      </c>
      <c r="F736" t="s">
        <v>47</v>
      </c>
      <c r="G736" t="s">
        <v>35</v>
      </c>
      <c r="H736" t="s">
        <v>36</v>
      </c>
      <c r="I736" t="s">
        <v>37</v>
      </c>
      <c r="J736" t="s">
        <v>84</v>
      </c>
      <c r="K736" t="s">
        <v>85</v>
      </c>
      <c r="L736" t="s">
        <v>2321</v>
      </c>
      <c r="M736" t="s">
        <v>60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42</v>
      </c>
      <c r="U736" t="s">
        <v>43</v>
      </c>
      <c r="V736" t="str">
        <f t="shared" si="110"/>
        <v/>
      </c>
      <c r="W736" t="str">
        <f t="shared" si="111"/>
        <v/>
      </c>
      <c r="X736">
        <f t="shared" si="112"/>
        <v>0.84852144912701888</v>
      </c>
      <c r="Y736">
        <f t="shared" si="113"/>
        <v>8837.9520000000011</v>
      </c>
      <c r="Z736">
        <f t="shared" si="114"/>
        <v>2680.6820000000007</v>
      </c>
      <c r="AA736">
        <f t="shared" si="115"/>
        <v>0.30331484036120587</v>
      </c>
      <c r="AB736">
        <f t="shared" si="116"/>
        <v>0</v>
      </c>
      <c r="AC736" t="str">
        <f t="shared" si="117"/>
        <v>August</v>
      </c>
      <c r="AD736">
        <f t="shared" si="118"/>
        <v>2024</v>
      </c>
      <c r="AE736" t="str">
        <f t="shared" si="119"/>
        <v>CLEAN</v>
      </c>
    </row>
    <row r="737" spans="1:31">
      <c r="A737" t="s">
        <v>2322</v>
      </c>
      <c r="B737" s="3">
        <v>45515</v>
      </c>
      <c r="C737" s="3">
        <v>45523</v>
      </c>
      <c r="D737" t="s">
        <v>2323</v>
      </c>
      <c r="E737" t="s">
        <v>46</v>
      </c>
      <c r="F737" t="s">
        <v>34</v>
      </c>
      <c r="G737" t="s">
        <v>73</v>
      </c>
      <c r="H737" t="s">
        <v>74</v>
      </c>
      <c r="I737" t="s">
        <v>75</v>
      </c>
      <c r="J737" t="s">
        <v>51</v>
      </c>
      <c r="K737" t="s">
        <v>52</v>
      </c>
      <c r="L737" t="s">
        <v>2324</v>
      </c>
      <c r="M737" t="s">
        <v>69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42</v>
      </c>
      <c r="U737" t="s">
        <v>43</v>
      </c>
      <c r="V737" t="str">
        <f t="shared" si="110"/>
        <v/>
      </c>
      <c r="W737" t="str">
        <f t="shared" si="111"/>
        <v/>
      </c>
      <c r="X737">
        <f t="shared" si="112"/>
        <v>0.84852144912701888</v>
      </c>
      <c r="Y737">
        <f t="shared" si="113"/>
        <v>7275.7920000000004</v>
      </c>
      <c r="Z737">
        <f t="shared" si="114"/>
        <v>1122.9220000000005</v>
      </c>
      <c r="AA737">
        <f t="shared" si="115"/>
        <v>0.15433673749881804</v>
      </c>
      <c r="AB737">
        <f t="shared" si="116"/>
        <v>8</v>
      </c>
      <c r="AC737" t="str">
        <f t="shared" si="117"/>
        <v>August</v>
      </c>
      <c r="AD737">
        <f t="shared" si="118"/>
        <v>2024</v>
      </c>
      <c r="AE737" t="str">
        <f t="shared" si="119"/>
        <v>CLEAN</v>
      </c>
    </row>
    <row r="738" spans="1:31">
      <c r="A738" t="s">
        <v>2325</v>
      </c>
      <c r="B738" s="3">
        <v>45632</v>
      </c>
      <c r="C738" s="3">
        <v>45635</v>
      </c>
      <c r="D738" t="s">
        <v>2326</v>
      </c>
      <c r="E738" t="s">
        <v>99</v>
      </c>
      <c r="F738" t="s">
        <v>34</v>
      </c>
      <c r="G738" t="s">
        <v>73</v>
      </c>
      <c r="H738" t="s">
        <v>74</v>
      </c>
      <c r="I738" t="s">
        <v>75</v>
      </c>
      <c r="J738" t="s">
        <v>51</v>
      </c>
      <c r="K738" t="s">
        <v>76</v>
      </c>
      <c r="L738" t="s">
        <v>2327</v>
      </c>
      <c r="M738" t="s">
        <v>41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42</v>
      </c>
      <c r="U738" t="s">
        <v>43</v>
      </c>
      <c r="V738" t="str">
        <f t="shared" si="110"/>
        <v/>
      </c>
      <c r="W738" t="str">
        <f t="shared" si="111"/>
        <v/>
      </c>
      <c r="X738">
        <f t="shared" si="112"/>
        <v>-0.10880696539805437</v>
      </c>
      <c r="Y738">
        <f t="shared" si="113"/>
        <v>2355.0750000000003</v>
      </c>
      <c r="Z738">
        <f t="shared" si="114"/>
        <v>1005.0450000000003</v>
      </c>
      <c r="AA738">
        <f t="shared" si="115"/>
        <v>0.42675710964618968</v>
      </c>
      <c r="AB738">
        <f t="shared" si="116"/>
        <v>3</v>
      </c>
      <c r="AC738" t="str">
        <f t="shared" si="117"/>
        <v>December</v>
      </c>
      <c r="AD738">
        <f t="shared" si="118"/>
        <v>2024</v>
      </c>
      <c r="AE738" t="str">
        <f t="shared" si="119"/>
        <v>CLEAN</v>
      </c>
    </row>
    <row r="739" spans="1:31">
      <c r="A739" t="s">
        <v>2328</v>
      </c>
      <c r="B739" s="3">
        <v>45332</v>
      </c>
      <c r="C739" s="3">
        <v>45332</v>
      </c>
      <c r="D739" t="s">
        <v>2329</v>
      </c>
      <c r="E739" t="s">
        <v>57</v>
      </c>
      <c r="F739" t="s">
        <v>105</v>
      </c>
      <c r="G739" t="s">
        <v>73</v>
      </c>
      <c r="H739" t="s">
        <v>74</v>
      </c>
      <c r="I739" t="s">
        <v>75</v>
      </c>
      <c r="J739" t="s">
        <v>51</v>
      </c>
      <c r="K739" t="s">
        <v>76</v>
      </c>
      <c r="L739" t="s">
        <v>2330</v>
      </c>
      <c r="M739" t="s">
        <v>54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42</v>
      </c>
      <c r="U739" t="s">
        <v>43</v>
      </c>
      <c r="V739" t="str">
        <f t="shared" si="110"/>
        <v/>
      </c>
      <c r="W739" t="str">
        <f t="shared" si="111"/>
        <v/>
      </c>
      <c r="X739">
        <f t="shared" si="112"/>
        <v>-1.0661353799231277</v>
      </c>
      <c r="Y739">
        <f t="shared" si="113"/>
        <v>3609.12</v>
      </c>
      <c r="Z739">
        <f t="shared" si="114"/>
        <v>963.61999999999989</v>
      </c>
      <c r="AA739">
        <f t="shared" si="115"/>
        <v>0.2669958327791816</v>
      </c>
      <c r="AB739">
        <f t="shared" si="116"/>
        <v>0</v>
      </c>
      <c r="AC739" t="str">
        <f t="shared" si="117"/>
        <v>February</v>
      </c>
      <c r="AD739">
        <f t="shared" si="118"/>
        <v>2024</v>
      </c>
      <c r="AE739" t="str">
        <f t="shared" si="119"/>
        <v>CLEAN</v>
      </c>
    </row>
    <row r="740" spans="1:31">
      <c r="A740" t="s">
        <v>2331</v>
      </c>
      <c r="B740" s="3">
        <v>45708</v>
      </c>
      <c r="C740" s="3">
        <v>45710</v>
      </c>
      <c r="D740" t="s">
        <v>2332</v>
      </c>
      <c r="E740" t="s">
        <v>124</v>
      </c>
      <c r="F740" t="s">
        <v>100</v>
      </c>
      <c r="G740" t="s">
        <v>64</v>
      </c>
      <c r="H740" t="s">
        <v>195</v>
      </c>
      <c r="I740" t="s">
        <v>196</v>
      </c>
      <c r="J740" t="s">
        <v>38</v>
      </c>
      <c r="K740" t="s">
        <v>39</v>
      </c>
      <c r="L740" t="s">
        <v>2333</v>
      </c>
      <c r="M740" t="s">
        <v>60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42</v>
      </c>
      <c r="U740" t="s">
        <v>43</v>
      </c>
      <c r="V740" t="str">
        <f t="shared" si="110"/>
        <v/>
      </c>
      <c r="W740" t="str">
        <f t="shared" si="111"/>
        <v/>
      </c>
      <c r="X740">
        <f t="shared" si="112"/>
        <v>-1.0661353799231277</v>
      </c>
      <c r="Y740">
        <f t="shared" si="113"/>
        <v>2188.19</v>
      </c>
      <c r="Z740">
        <f t="shared" si="114"/>
        <v>889.35000000000014</v>
      </c>
      <c r="AA740">
        <f t="shared" si="115"/>
        <v>0.40643179979800664</v>
      </c>
      <c r="AB740">
        <f t="shared" si="116"/>
        <v>2</v>
      </c>
      <c r="AC740" t="str">
        <f t="shared" si="117"/>
        <v>February</v>
      </c>
      <c r="AD740">
        <f t="shared" si="118"/>
        <v>2025</v>
      </c>
      <c r="AE740" t="str">
        <f t="shared" si="119"/>
        <v>CLEAN</v>
      </c>
    </row>
    <row r="741" spans="1:31">
      <c r="A741" t="s">
        <v>2334</v>
      </c>
      <c r="B741" s="3">
        <v>45629</v>
      </c>
      <c r="C741" s="3">
        <v>45577</v>
      </c>
      <c r="D741" t="s">
        <v>2335</v>
      </c>
      <c r="E741" t="s">
        <v>89</v>
      </c>
      <c r="F741" t="s">
        <v>100</v>
      </c>
      <c r="G741" t="s">
        <v>35</v>
      </c>
      <c r="H741" t="s">
        <v>36</v>
      </c>
      <c r="I741" t="s">
        <v>37</v>
      </c>
      <c r="J741" t="s">
        <v>84</v>
      </c>
      <c r="K741" t="s">
        <v>181</v>
      </c>
      <c r="L741" t="s">
        <v>2336</v>
      </c>
      <c r="M741" t="s">
        <v>69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42</v>
      </c>
      <c r="U741" t="s">
        <v>43</v>
      </c>
      <c r="V741" t="str">
        <f t="shared" si="110"/>
        <v/>
      </c>
      <c r="W741" t="str">
        <f t="shared" si="111"/>
        <v>Invalid Shipping Record</v>
      </c>
      <c r="X741">
        <f t="shared" si="112"/>
        <v>-0.58747117266059101</v>
      </c>
      <c r="Y741">
        <f t="shared" si="113"/>
        <v>11370.835000000001</v>
      </c>
      <c r="Z741">
        <f t="shared" si="114"/>
        <v>3901.255000000001</v>
      </c>
      <c r="AA741">
        <f t="shared" si="115"/>
        <v>0.34309309738466881</v>
      </c>
      <c r="AB741" t="e">
        <f t="shared" si="116"/>
        <v>#NUM!</v>
      </c>
      <c r="AC741" t="str">
        <f t="shared" si="117"/>
        <v>December</v>
      </c>
      <c r="AD741">
        <f t="shared" si="118"/>
        <v>2024</v>
      </c>
      <c r="AE741" t="str">
        <f t="shared" si="119"/>
        <v>INVALID</v>
      </c>
    </row>
    <row r="742" spans="1:31">
      <c r="A742" t="s">
        <v>2337</v>
      </c>
      <c r="B742" s="3">
        <v>45384</v>
      </c>
      <c r="C742" s="3">
        <v>45326</v>
      </c>
      <c r="D742" t="s">
        <v>535</v>
      </c>
      <c r="E742" t="s">
        <v>142</v>
      </c>
      <c r="F742" t="s">
        <v>47</v>
      </c>
      <c r="G742" t="s">
        <v>73</v>
      </c>
      <c r="H742" t="s">
        <v>74</v>
      </c>
      <c r="I742" t="s">
        <v>75</v>
      </c>
      <c r="J742" t="s">
        <v>51</v>
      </c>
      <c r="K742" t="s">
        <v>76</v>
      </c>
      <c r="L742" t="s">
        <v>2338</v>
      </c>
      <c r="M742" t="s">
        <v>60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42</v>
      </c>
      <c r="U742" t="s">
        <v>43</v>
      </c>
      <c r="V742" t="str">
        <f t="shared" si="110"/>
        <v/>
      </c>
      <c r="W742" t="str">
        <f t="shared" si="111"/>
        <v>Invalid Shipping Record</v>
      </c>
      <c r="X742">
        <f t="shared" si="112"/>
        <v>-0.10880696539805437</v>
      </c>
      <c r="Y742">
        <f t="shared" si="113"/>
        <v>9298.8000000000011</v>
      </c>
      <c r="Z742">
        <f t="shared" si="114"/>
        <v>2750.3000000000011</v>
      </c>
      <c r="AA742">
        <f t="shared" si="115"/>
        <v>0.29576934658235482</v>
      </c>
      <c r="AB742" t="e">
        <f t="shared" si="116"/>
        <v>#NUM!</v>
      </c>
      <c r="AC742" t="str">
        <f t="shared" si="117"/>
        <v>April</v>
      </c>
      <c r="AD742">
        <f t="shared" si="118"/>
        <v>2024</v>
      </c>
      <c r="AE742" t="str">
        <f t="shared" si="119"/>
        <v>INVALID</v>
      </c>
    </row>
    <row r="743" spans="1:31">
      <c r="A743" t="s">
        <v>2339</v>
      </c>
      <c r="B743" s="3">
        <v>45770</v>
      </c>
      <c r="C743" s="3">
        <v>45772</v>
      </c>
      <c r="D743" t="s">
        <v>2340</v>
      </c>
      <c r="E743" t="s">
        <v>57</v>
      </c>
      <c r="F743" t="s">
        <v>105</v>
      </c>
      <c r="G743" t="s">
        <v>64</v>
      </c>
      <c r="H743" t="s">
        <v>259</v>
      </c>
      <c r="I743" t="s">
        <v>260</v>
      </c>
      <c r="J743" t="s">
        <v>51</v>
      </c>
      <c r="K743" t="s">
        <v>76</v>
      </c>
      <c r="L743" t="s">
        <v>2341</v>
      </c>
      <c r="M743" t="s">
        <v>41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42</v>
      </c>
      <c r="U743" t="s">
        <v>78</v>
      </c>
      <c r="V743" t="str">
        <f t="shared" si="110"/>
        <v/>
      </c>
      <c r="W743" t="str">
        <f t="shared" si="111"/>
        <v/>
      </c>
      <c r="X743">
        <f t="shared" si="112"/>
        <v>-1.0661353799231277</v>
      </c>
      <c r="Y743">
        <f t="shared" si="113"/>
        <v>8853.36</v>
      </c>
      <c r="Z743">
        <f t="shared" si="114"/>
        <v>3257.0200000000004</v>
      </c>
      <c r="AA743">
        <f t="shared" si="115"/>
        <v>0.36788518709280998</v>
      </c>
      <c r="AB743">
        <f t="shared" si="116"/>
        <v>2</v>
      </c>
      <c r="AC743" t="str">
        <f t="shared" si="117"/>
        <v>April</v>
      </c>
      <c r="AD743">
        <f t="shared" si="118"/>
        <v>2025</v>
      </c>
      <c r="AE743" t="str">
        <f t="shared" si="119"/>
        <v>WARNING</v>
      </c>
    </row>
    <row r="744" spans="1:31">
      <c r="A744" t="s">
        <v>2342</v>
      </c>
      <c r="B744" s="3">
        <v>45580</v>
      </c>
      <c r="C744" s="3">
        <v>45587</v>
      </c>
      <c r="D744" t="s">
        <v>2343</v>
      </c>
      <c r="E744" t="s">
        <v>33</v>
      </c>
      <c r="F744" t="s">
        <v>100</v>
      </c>
      <c r="G744" t="s">
        <v>2344</v>
      </c>
      <c r="H744" t="s">
        <v>49</v>
      </c>
      <c r="I744" t="s">
        <v>50</v>
      </c>
      <c r="J744" t="s">
        <v>38</v>
      </c>
      <c r="K744" t="s">
        <v>39</v>
      </c>
      <c r="L744" t="s">
        <v>2345</v>
      </c>
      <c r="M744" t="s">
        <v>69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42</v>
      </c>
      <c r="U744" t="s">
        <v>43</v>
      </c>
      <c r="V744" t="str">
        <f t="shared" si="110"/>
        <v/>
      </c>
      <c r="W744" t="str">
        <f t="shared" si="111"/>
        <v/>
      </c>
      <c r="X744">
        <f t="shared" si="112"/>
        <v>-1.0661353799231277</v>
      </c>
      <c r="Y744">
        <f t="shared" si="113"/>
        <v>9043.7999999999993</v>
      </c>
      <c r="Z744">
        <f t="shared" si="114"/>
        <v>3130.4199999999992</v>
      </c>
      <c r="AA744">
        <f t="shared" si="115"/>
        <v>0.34613989694597397</v>
      </c>
      <c r="AB744">
        <f t="shared" si="116"/>
        <v>7</v>
      </c>
      <c r="AC744" t="str">
        <f t="shared" si="117"/>
        <v>October</v>
      </c>
      <c r="AD744">
        <f t="shared" si="118"/>
        <v>2024</v>
      </c>
      <c r="AE744" t="str">
        <f t="shared" si="119"/>
        <v>CLEAN</v>
      </c>
    </row>
    <row r="745" spans="1:31">
      <c r="A745" t="s">
        <v>2346</v>
      </c>
      <c r="B745" s="3">
        <v>45993</v>
      </c>
      <c r="C745" s="3">
        <v>45702</v>
      </c>
      <c r="D745" t="s">
        <v>2347</v>
      </c>
      <c r="E745" t="s">
        <v>142</v>
      </c>
      <c r="F745" t="s">
        <v>34</v>
      </c>
      <c r="G745" t="s">
        <v>35</v>
      </c>
      <c r="H745" t="s">
        <v>146</v>
      </c>
      <c r="I745" t="s">
        <v>147</v>
      </c>
      <c r="J745" t="s">
        <v>38</v>
      </c>
      <c r="K745" t="s">
        <v>58</v>
      </c>
      <c r="L745" t="s">
        <v>2348</v>
      </c>
      <c r="M745" t="s">
        <v>69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42</v>
      </c>
      <c r="U745" t="s">
        <v>43</v>
      </c>
      <c r="V745" t="str">
        <f t="shared" si="110"/>
        <v/>
      </c>
      <c r="W745" t="str">
        <f t="shared" si="111"/>
        <v>Invalid Shipping Record</v>
      </c>
      <c r="X745">
        <f t="shared" si="112"/>
        <v>1.3271856563895552</v>
      </c>
      <c r="Y745">
        <f t="shared" si="113"/>
        <v>2211.2999999999997</v>
      </c>
      <c r="Z745">
        <f t="shared" si="114"/>
        <v>475.65999999999963</v>
      </c>
      <c r="AA745">
        <f t="shared" si="115"/>
        <v>0.21510423732645942</v>
      </c>
      <c r="AB745" t="e">
        <f t="shared" si="116"/>
        <v>#NUM!</v>
      </c>
      <c r="AC745" t="str">
        <f t="shared" si="117"/>
        <v>December</v>
      </c>
      <c r="AD745">
        <f t="shared" si="118"/>
        <v>2025</v>
      </c>
      <c r="AE745" t="str">
        <f t="shared" si="119"/>
        <v>INVALID</v>
      </c>
    </row>
    <row r="746" spans="1:31">
      <c r="A746" t="s">
        <v>2349</v>
      </c>
      <c r="B746" s="3">
        <v>45886</v>
      </c>
      <c r="C746" s="3">
        <v>45889</v>
      </c>
      <c r="D746" t="s">
        <v>2350</v>
      </c>
      <c r="E746" t="s">
        <v>46</v>
      </c>
      <c r="F746" t="s">
        <v>105</v>
      </c>
      <c r="G746" t="s">
        <v>35</v>
      </c>
      <c r="H746" t="s">
        <v>132</v>
      </c>
      <c r="I746" t="s">
        <v>133</v>
      </c>
      <c r="J746" t="s">
        <v>38</v>
      </c>
      <c r="K746" t="s">
        <v>163</v>
      </c>
      <c r="L746" t="s">
        <v>2351</v>
      </c>
      <c r="M746" t="s">
        <v>60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42</v>
      </c>
      <c r="U746" t="s">
        <v>78</v>
      </c>
      <c r="V746" t="str">
        <f t="shared" si="110"/>
        <v/>
      </c>
      <c r="W746" t="str">
        <f t="shared" si="111"/>
        <v/>
      </c>
      <c r="X746">
        <f t="shared" si="112"/>
        <v>-0.10880696539805437</v>
      </c>
      <c r="Y746">
        <f t="shared" si="113"/>
        <v>12158.504999999999</v>
      </c>
      <c r="Z746">
        <f t="shared" si="114"/>
        <v>1898.4349999999995</v>
      </c>
      <c r="AA746">
        <f t="shared" si="115"/>
        <v>0.15614049589155901</v>
      </c>
      <c r="AB746">
        <f t="shared" si="116"/>
        <v>3</v>
      </c>
      <c r="AC746" t="str">
        <f t="shared" si="117"/>
        <v>August</v>
      </c>
      <c r="AD746">
        <f t="shared" si="118"/>
        <v>2025</v>
      </c>
      <c r="AE746" t="str">
        <f t="shared" si="119"/>
        <v>WARNING</v>
      </c>
    </row>
    <row r="747" spans="1:31">
      <c r="A747" t="s">
        <v>2352</v>
      </c>
      <c r="B747" s="3">
        <v>45589</v>
      </c>
      <c r="C747" s="3">
        <v>45593</v>
      </c>
      <c r="D747" t="s">
        <v>2353</v>
      </c>
      <c r="E747" t="s">
        <v>46</v>
      </c>
      <c r="F747" t="s">
        <v>47</v>
      </c>
      <c r="G747" t="s">
        <v>48</v>
      </c>
      <c r="H747" t="s">
        <v>176</v>
      </c>
      <c r="I747" t="s">
        <v>177</v>
      </c>
      <c r="J747" t="s">
        <v>84</v>
      </c>
      <c r="K747" t="s">
        <v>90</v>
      </c>
      <c r="L747" t="s">
        <v>2354</v>
      </c>
      <c r="M747" t="s">
        <v>69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42</v>
      </c>
      <c r="U747" t="s">
        <v>43</v>
      </c>
      <c r="V747" t="str">
        <f t="shared" si="110"/>
        <v/>
      </c>
      <c r="W747" t="str">
        <f t="shared" si="111"/>
        <v/>
      </c>
      <c r="X747">
        <f t="shared" si="112"/>
        <v>0.84852144912701888</v>
      </c>
      <c r="Y747">
        <f t="shared" si="113"/>
        <v>1736.616</v>
      </c>
      <c r="Z747">
        <f t="shared" si="114"/>
        <v>677.096</v>
      </c>
      <c r="AA747">
        <f t="shared" si="115"/>
        <v>0.38989390861307277</v>
      </c>
      <c r="AB747">
        <f t="shared" si="116"/>
        <v>4</v>
      </c>
      <c r="AC747" t="str">
        <f t="shared" si="117"/>
        <v>October</v>
      </c>
      <c r="AD747">
        <f t="shared" si="118"/>
        <v>2024</v>
      </c>
      <c r="AE747" t="str">
        <f t="shared" si="119"/>
        <v>CLEAN</v>
      </c>
    </row>
    <row r="748" spans="1:31">
      <c r="A748" t="s">
        <v>2355</v>
      </c>
      <c r="B748" s="3">
        <v>45661</v>
      </c>
      <c r="C748" s="3">
        <v>45667</v>
      </c>
      <c r="D748" t="s">
        <v>2061</v>
      </c>
      <c r="E748" t="s">
        <v>138</v>
      </c>
      <c r="F748" t="s">
        <v>105</v>
      </c>
      <c r="G748" t="s">
        <v>48</v>
      </c>
      <c r="H748" t="s">
        <v>109</v>
      </c>
      <c r="I748" t="s">
        <v>110</v>
      </c>
      <c r="J748" t="s">
        <v>38</v>
      </c>
      <c r="K748" t="s">
        <v>39</v>
      </c>
      <c r="L748" t="s">
        <v>2356</v>
      </c>
      <c r="M748" t="s">
        <v>69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42</v>
      </c>
      <c r="U748" t="s">
        <v>43</v>
      </c>
      <c r="V748" t="str">
        <f t="shared" si="110"/>
        <v/>
      </c>
      <c r="W748" t="str">
        <f t="shared" si="111"/>
        <v/>
      </c>
      <c r="X748">
        <f t="shared" si="112"/>
        <v>0.84852144912701888</v>
      </c>
      <c r="Y748">
        <f t="shared" si="113"/>
        <v>8266.2080000000005</v>
      </c>
      <c r="Z748">
        <f t="shared" si="114"/>
        <v>2029.8880000000008</v>
      </c>
      <c r="AA748">
        <f t="shared" si="115"/>
        <v>0.24556459261610653</v>
      </c>
      <c r="AB748">
        <f t="shared" si="116"/>
        <v>6</v>
      </c>
      <c r="AC748" t="str">
        <f t="shared" si="117"/>
        <v>January</v>
      </c>
      <c r="AD748">
        <f t="shared" si="118"/>
        <v>2025</v>
      </c>
      <c r="AE748" t="str">
        <f t="shared" si="119"/>
        <v>CLEAN</v>
      </c>
    </row>
    <row r="749" spans="1:31">
      <c r="A749" t="s">
        <v>2357</v>
      </c>
      <c r="B749" s="3">
        <v>45413</v>
      </c>
      <c r="C749" s="3">
        <v>45419</v>
      </c>
      <c r="D749" t="s">
        <v>2358</v>
      </c>
      <c r="E749" t="s">
        <v>57</v>
      </c>
      <c r="F749" t="s">
        <v>105</v>
      </c>
      <c r="G749" t="s">
        <v>48</v>
      </c>
      <c r="H749" t="s">
        <v>49</v>
      </c>
      <c r="I749" t="s">
        <v>50</v>
      </c>
      <c r="J749" t="s">
        <v>38</v>
      </c>
      <c r="K749" t="s">
        <v>39</v>
      </c>
      <c r="L749" t="s">
        <v>2359</v>
      </c>
      <c r="M749" t="s">
        <v>54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42</v>
      </c>
      <c r="U749" t="s">
        <v>43</v>
      </c>
      <c r="V749" t="str">
        <f t="shared" si="110"/>
        <v/>
      </c>
      <c r="W749" t="str">
        <f t="shared" si="111"/>
        <v/>
      </c>
      <c r="X749">
        <f t="shared" si="112"/>
        <v>0.3698572418644821</v>
      </c>
      <c r="Y749">
        <f t="shared" si="113"/>
        <v>10022.044</v>
      </c>
      <c r="Z749">
        <f t="shared" si="114"/>
        <v>4445.0640000000003</v>
      </c>
      <c r="AA749">
        <f t="shared" si="115"/>
        <v>0.44352868536597928</v>
      </c>
      <c r="AB749">
        <f t="shared" si="116"/>
        <v>6</v>
      </c>
      <c r="AC749" t="str">
        <f t="shared" si="117"/>
        <v>May</v>
      </c>
      <c r="AD749">
        <f t="shared" si="118"/>
        <v>2024</v>
      </c>
      <c r="AE749" t="str">
        <f t="shared" si="119"/>
        <v>CLEAN</v>
      </c>
    </row>
    <row r="750" spans="1:31">
      <c r="A750" t="s">
        <v>2360</v>
      </c>
      <c r="B750" s="3">
        <v>45442</v>
      </c>
      <c r="C750" s="3">
        <v>45442</v>
      </c>
      <c r="D750" t="s">
        <v>2361</v>
      </c>
      <c r="E750" t="s">
        <v>172</v>
      </c>
      <c r="F750" t="s">
        <v>105</v>
      </c>
      <c r="G750" t="s">
        <v>35</v>
      </c>
      <c r="H750" t="s">
        <v>248</v>
      </c>
      <c r="I750" t="s">
        <v>249</v>
      </c>
      <c r="J750" t="s">
        <v>84</v>
      </c>
      <c r="K750" t="s">
        <v>181</v>
      </c>
      <c r="L750" t="s">
        <v>2362</v>
      </c>
      <c r="M750" t="s">
        <v>41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42</v>
      </c>
      <c r="U750" t="s">
        <v>43</v>
      </c>
      <c r="V750" t="str">
        <f t="shared" si="110"/>
        <v/>
      </c>
      <c r="W750" t="str">
        <f t="shared" si="111"/>
        <v/>
      </c>
      <c r="X750">
        <f t="shared" si="112"/>
        <v>1.3271856563895552</v>
      </c>
      <c r="Y750">
        <f t="shared" si="113"/>
        <v>2886.0299999999997</v>
      </c>
      <c r="Z750">
        <f t="shared" si="114"/>
        <v>821.19999999999982</v>
      </c>
      <c r="AA750">
        <f t="shared" si="115"/>
        <v>0.28454312671732446</v>
      </c>
      <c r="AB750">
        <f t="shared" si="116"/>
        <v>0</v>
      </c>
      <c r="AC750" t="str">
        <f t="shared" si="117"/>
        <v>May</v>
      </c>
      <c r="AD750">
        <f t="shared" si="118"/>
        <v>2024</v>
      </c>
      <c r="AE750" t="str">
        <f t="shared" si="119"/>
        <v>CLEAN</v>
      </c>
    </row>
    <row r="751" spans="1:31">
      <c r="A751" t="s">
        <v>2363</v>
      </c>
      <c r="B751" s="3">
        <v>45372</v>
      </c>
      <c r="C751" s="3">
        <v>45376</v>
      </c>
      <c r="D751" t="s">
        <v>2364</v>
      </c>
      <c r="E751" t="s">
        <v>99</v>
      </c>
      <c r="F751" t="s">
        <v>105</v>
      </c>
      <c r="G751" t="s">
        <v>48</v>
      </c>
      <c r="H751" t="s">
        <v>176</v>
      </c>
      <c r="I751" t="s">
        <v>177</v>
      </c>
      <c r="J751" t="s">
        <v>84</v>
      </c>
      <c r="K751" t="s">
        <v>286</v>
      </c>
      <c r="L751" t="s">
        <v>2365</v>
      </c>
      <c r="M751" t="s">
        <v>69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42</v>
      </c>
      <c r="U751" t="s">
        <v>43</v>
      </c>
      <c r="V751" t="str">
        <f t="shared" si="110"/>
        <v/>
      </c>
      <c r="W751" t="str">
        <f t="shared" si="111"/>
        <v/>
      </c>
      <c r="X751">
        <f t="shared" si="112"/>
        <v>0.3698572418644821</v>
      </c>
      <c r="Y751">
        <f t="shared" si="113"/>
        <v>1459.1949999999999</v>
      </c>
      <c r="Z751">
        <f t="shared" si="114"/>
        <v>403.40499999999997</v>
      </c>
      <c r="AA751">
        <f t="shared" si="115"/>
        <v>0.27645722470266137</v>
      </c>
      <c r="AB751">
        <f t="shared" si="116"/>
        <v>4</v>
      </c>
      <c r="AC751" t="str">
        <f t="shared" si="117"/>
        <v>March</v>
      </c>
      <c r="AD751">
        <f t="shared" si="118"/>
        <v>2024</v>
      </c>
      <c r="AE751" t="str">
        <f t="shared" si="119"/>
        <v>CLEAN</v>
      </c>
    </row>
    <row r="752" spans="1:31">
      <c r="A752" t="s">
        <v>2366</v>
      </c>
      <c r="B752" s="3">
        <v>45694</v>
      </c>
      <c r="C752" s="3">
        <v>45810</v>
      </c>
      <c r="D752" t="s">
        <v>2367</v>
      </c>
      <c r="E752" t="s">
        <v>138</v>
      </c>
      <c r="F752" t="s">
        <v>105</v>
      </c>
      <c r="G752" t="s">
        <v>64</v>
      </c>
      <c r="H752" t="s">
        <v>65</v>
      </c>
      <c r="I752" t="s">
        <v>66</v>
      </c>
      <c r="J752" t="s">
        <v>84</v>
      </c>
      <c r="K752" t="s">
        <v>85</v>
      </c>
      <c r="L752" t="s">
        <v>2368</v>
      </c>
      <c r="M752" t="s">
        <v>60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42</v>
      </c>
      <c r="U752" t="s">
        <v>43</v>
      </c>
      <c r="V752" t="str">
        <f t="shared" si="110"/>
        <v/>
      </c>
      <c r="W752" t="str">
        <f t="shared" si="111"/>
        <v/>
      </c>
      <c r="X752">
        <f t="shared" si="112"/>
        <v>0.3698572418644821</v>
      </c>
      <c r="Y752">
        <f t="shared" si="113"/>
        <v>26696.323999999997</v>
      </c>
      <c r="Z752">
        <f t="shared" si="114"/>
        <v>3971.8039999999964</v>
      </c>
      <c r="AA752">
        <f t="shared" si="115"/>
        <v>0.14877718745097629</v>
      </c>
      <c r="AB752">
        <f t="shared" si="116"/>
        <v>116</v>
      </c>
      <c r="AC752" t="str">
        <f t="shared" si="117"/>
        <v>February</v>
      </c>
      <c r="AD752">
        <f t="shared" si="118"/>
        <v>2025</v>
      </c>
      <c r="AE752" t="str">
        <f t="shared" si="119"/>
        <v>CLEAN</v>
      </c>
    </row>
    <row r="753" spans="1:31">
      <c r="A753" t="s">
        <v>2369</v>
      </c>
      <c r="B753" s="3">
        <v>45856</v>
      </c>
      <c r="C753" s="3">
        <v>45857</v>
      </c>
      <c r="D753" t="s">
        <v>2370</v>
      </c>
      <c r="E753" t="s">
        <v>124</v>
      </c>
      <c r="F753" t="s">
        <v>105</v>
      </c>
      <c r="G753" t="s">
        <v>215</v>
      </c>
      <c r="H753" t="s">
        <v>146</v>
      </c>
      <c r="I753" t="s">
        <v>147</v>
      </c>
      <c r="J753" t="s">
        <v>84</v>
      </c>
      <c r="K753" t="s">
        <v>286</v>
      </c>
      <c r="L753" t="s">
        <v>2371</v>
      </c>
      <c r="M753" t="s">
        <v>215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42</v>
      </c>
      <c r="U753" t="s">
        <v>43</v>
      </c>
      <c r="V753" t="str">
        <f t="shared" si="110"/>
        <v/>
      </c>
      <c r="W753" t="str">
        <f t="shared" si="111"/>
        <v/>
      </c>
      <c r="X753">
        <f t="shared" si="112"/>
        <v>-0.58747117266059101</v>
      </c>
      <c r="Y753">
        <f t="shared" si="113"/>
        <v>8445.2624999999989</v>
      </c>
      <c r="Z753">
        <f t="shared" si="114"/>
        <v>1507.6624999999985</v>
      </c>
      <c r="AA753">
        <f t="shared" si="115"/>
        <v>0.17852168597482893</v>
      </c>
      <c r="AB753">
        <f t="shared" si="116"/>
        <v>1</v>
      </c>
      <c r="AC753" t="str">
        <f t="shared" si="117"/>
        <v>July</v>
      </c>
      <c r="AD753">
        <f t="shared" si="118"/>
        <v>2025</v>
      </c>
      <c r="AE753" t="str">
        <f t="shared" si="119"/>
        <v>CLEAN</v>
      </c>
    </row>
    <row r="754" spans="1:31">
      <c r="A754" t="s">
        <v>2372</v>
      </c>
      <c r="B754" s="3">
        <v>45375</v>
      </c>
      <c r="C754" s="3">
        <v>45378</v>
      </c>
      <c r="D754" t="s">
        <v>2373</v>
      </c>
      <c r="E754" t="s">
        <v>99</v>
      </c>
      <c r="F754" t="s">
        <v>100</v>
      </c>
      <c r="G754" t="s">
        <v>73</v>
      </c>
      <c r="H754" t="s">
        <v>190</v>
      </c>
      <c r="I754" t="s">
        <v>191</v>
      </c>
      <c r="J754" t="s">
        <v>38</v>
      </c>
      <c r="K754" t="s">
        <v>134</v>
      </c>
      <c r="L754" t="s">
        <v>2374</v>
      </c>
      <c r="M754" t="s">
        <v>60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42</v>
      </c>
      <c r="U754" t="s">
        <v>43</v>
      </c>
      <c r="V754" t="str">
        <f t="shared" si="110"/>
        <v/>
      </c>
      <c r="W754" t="str">
        <f t="shared" si="111"/>
        <v/>
      </c>
      <c r="X754">
        <f t="shared" si="112"/>
        <v>-0.58747117266059101</v>
      </c>
      <c r="Y754">
        <f t="shared" si="113"/>
        <v>11709.794999999998</v>
      </c>
      <c r="Z754">
        <f t="shared" si="114"/>
        <v>3337.5049999999974</v>
      </c>
      <c r="AA754">
        <f t="shared" si="115"/>
        <v>0.28501822619439521</v>
      </c>
      <c r="AB754">
        <f t="shared" si="116"/>
        <v>3</v>
      </c>
      <c r="AC754" t="str">
        <f t="shared" si="117"/>
        <v>March</v>
      </c>
      <c r="AD754">
        <f t="shared" si="118"/>
        <v>2024</v>
      </c>
      <c r="AE754" t="str">
        <f t="shared" si="119"/>
        <v>CLEAN</v>
      </c>
    </row>
    <row r="755" spans="1:31">
      <c r="A755" t="s">
        <v>2375</v>
      </c>
      <c r="B755" s="3">
        <v>45515</v>
      </c>
      <c r="C755" s="3">
        <v>45514</v>
      </c>
      <c r="D755" t="s">
        <v>2376</v>
      </c>
      <c r="E755" t="s">
        <v>99</v>
      </c>
      <c r="F755" t="s">
        <v>100</v>
      </c>
      <c r="G755" t="s">
        <v>35</v>
      </c>
      <c r="H755" t="s">
        <v>362</v>
      </c>
      <c r="I755" t="s">
        <v>363</v>
      </c>
      <c r="J755" t="s">
        <v>51</v>
      </c>
      <c r="K755" t="s">
        <v>67</v>
      </c>
      <c r="L755" t="s">
        <v>2377</v>
      </c>
      <c r="M755" t="s">
        <v>41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165</v>
      </c>
      <c r="U755" t="s">
        <v>113</v>
      </c>
      <c r="V755" t="str">
        <f t="shared" si="110"/>
        <v/>
      </c>
      <c r="W755" t="str">
        <f t="shared" si="111"/>
        <v>Invalid Shipping Record</v>
      </c>
      <c r="X755">
        <f t="shared" si="112"/>
        <v>0.3698572418644821</v>
      </c>
      <c r="Y755">
        <f t="shared" si="113"/>
        <v>2593.9109999999996</v>
      </c>
      <c r="Z755">
        <f t="shared" si="114"/>
        <v>745.43099999999959</v>
      </c>
      <c r="AA755">
        <f t="shared" si="115"/>
        <v>0.28737724617382776</v>
      </c>
      <c r="AB755" t="e">
        <f t="shared" si="116"/>
        <v>#NUM!</v>
      </c>
      <c r="AC755" t="str">
        <f t="shared" si="117"/>
        <v>August</v>
      </c>
      <c r="AD755">
        <f t="shared" si="118"/>
        <v>2024</v>
      </c>
      <c r="AE755" t="str">
        <f t="shared" si="119"/>
        <v>INVALID</v>
      </c>
    </row>
    <row r="756" spans="1:31">
      <c r="A756" t="s">
        <v>2378</v>
      </c>
      <c r="B756" s="3">
        <v>45753</v>
      </c>
      <c r="C756" s="3">
        <v>45753</v>
      </c>
      <c r="D756" t="s">
        <v>2379</v>
      </c>
      <c r="E756" t="s">
        <v>89</v>
      </c>
      <c r="F756" t="s">
        <v>100</v>
      </c>
      <c r="G756" t="s">
        <v>64</v>
      </c>
      <c r="H756" t="s">
        <v>195</v>
      </c>
      <c r="I756" t="s">
        <v>196</v>
      </c>
      <c r="J756" t="s">
        <v>38</v>
      </c>
      <c r="K756" t="s">
        <v>134</v>
      </c>
      <c r="L756" t="s">
        <v>2380</v>
      </c>
      <c r="M756" t="s">
        <v>69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42</v>
      </c>
      <c r="U756" t="s">
        <v>43</v>
      </c>
      <c r="V756" t="str">
        <f t="shared" si="110"/>
        <v/>
      </c>
      <c r="W756" t="str">
        <f t="shared" si="111"/>
        <v/>
      </c>
      <c r="X756">
        <f t="shared" si="112"/>
        <v>1.3271856563895552</v>
      </c>
      <c r="Y756">
        <f t="shared" si="113"/>
        <v>2674.02</v>
      </c>
      <c r="Z756">
        <f t="shared" si="114"/>
        <v>466.44999999999982</v>
      </c>
      <c r="AA756">
        <f t="shared" si="115"/>
        <v>0.17443773793763689</v>
      </c>
      <c r="AB756">
        <f t="shared" si="116"/>
        <v>0</v>
      </c>
      <c r="AC756" t="str">
        <f t="shared" si="117"/>
        <v>April</v>
      </c>
      <c r="AD756">
        <f t="shared" si="118"/>
        <v>2025</v>
      </c>
      <c r="AE756" t="str">
        <f t="shared" si="119"/>
        <v>CLEAN</v>
      </c>
    </row>
    <row r="757" spans="1:31">
      <c r="A757" t="s">
        <v>2381</v>
      </c>
      <c r="B757" s="3">
        <v>45858</v>
      </c>
      <c r="C757" s="3">
        <v>45862</v>
      </c>
      <c r="D757" t="s">
        <v>2382</v>
      </c>
      <c r="E757" t="s">
        <v>124</v>
      </c>
      <c r="F757" t="s">
        <v>105</v>
      </c>
      <c r="G757" t="s">
        <v>73</v>
      </c>
      <c r="H757" t="s">
        <v>82</v>
      </c>
      <c r="I757" t="s">
        <v>83</v>
      </c>
      <c r="J757" t="s">
        <v>38</v>
      </c>
      <c r="K757" t="s">
        <v>134</v>
      </c>
      <c r="L757" t="s">
        <v>2383</v>
      </c>
      <c r="M757" t="s">
        <v>41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42</v>
      </c>
      <c r="U757" t="s">
        <v>43</v>
      </c>
      <c r="V757" t="str">
        <f t="shared" si="110"/>
        <v/>
      </c>
      <c r="W757" t="str">
        <f t="shared" si="111"/>
        <v/>
      </c>
      <c r="X757">
        <f t="shared" si="112"/>
        <v>0.84852144912701888</v>
      </c>
      <c r="Y757">
        <f t="shared" si="113"/>
        <v>9926.9599999999991</v>
      </c>
      <c r="Z757">
        <f t="shared" si="114"/>
        <v>1931.9799999999996</v>
      </c>
      <c r="AA757">
        <f t="shared" si="115"/>
        <v>0.19461950083409219</v>
      </c>
      <c r="AB757">
        <f t="shared" si="116"/>
        <v>4</v>
      </c>
      <c r="AC757" t="str">
        <f t="shared" si="117"/>
        <v>July</v>
      </c>
      <c r="AD757">
        <f t="shared" si="118"/>
        <v>2025</v>
      </c>
      <c r="AE757" t="str">
        <f t="shared" si="119"/>
        <v>CLEAN</v>
      </c>
    </row>
    <row r="758" spans="1:31">
      <c r="A758" t="s">
        <v>2384</v>
      </c>
      <c r="B758" s="3">
        <v>45592</v>
      </c>
      <c r="C758" s="3">
        <v>45302</v>
      </c>
      <c r="D758" t="s">
        <v>2385</v>
      </c>
      <c r="E758" t="s">
        <v>151</v>
      </c>
      <c r="F758" t="s">
        <v>34</v>
      </c>
      <c r="G758" t="s">
        <v>35</v>
      </c>
      <c r="H758" t="s">
        <v>36</v>
      </c>
      <c r="I758" t="s">
        <v>37</v>
      </c>
      <c r="J758" t="s">
        <v>84</v>
      </c>
      <c r="K758" t="s">
        <v>85</v>
      </c>
      <c r="L758" t="s">
        <v>2386</v>
      </c>
      <c r="M758" t="s">
        <v>54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42</v>
      </c>
      <c r="U758" t="s">
        <v>113</v>
      </c>
      <c r="V758" t="str">
        <f t="shared" si="110"/>
        <v/>
      </c>
      <c r="W758" t="str">
        <f t="shared" si="111"/>
        <v>Invalid Shipping Record</v>
      </c>
      <c r="X758">
        <f t="shared" si="112"/>
        <v>0.84852144912701888</v>
      </c>
      <c r="Y758">
        <f t="shared" si="113"/>
        <v>12191.76</v>
      </c>
      <c r="Z758">
        <f t="shared" si="114"/>
        <v>1734.2700000000004</v>
      </c>
      <c r="AA758">
        <f t="shared" si="115"/>
        <v>0.14224935530226976</v>
      </c>
      <c r="AB758" t="e">
        <f t="shared" si="116"/>
        <v>#NUM!</v>
      </c>
      <c r="AC758" t="str">
        <f t="shared" si="117"/>
        <v>October</v>
      </c>
      <c r="AD758">
        <f t="shared" si="118"/>
        <v>2024</v>
      </c>
      <c r="AE758" t="str">
        <f t="shared" si="119"/>
        <v>INVALID</v>
      </c>
    </row>
    <row r="759" spans="1:31">
      <c r="A759" t="s">
        <v>2387</v>
      </c>
      <c r="B759" s="3">
        <v>45870</v>
      </c>
      <c r="C759" s="3">
        <v>45872</v>
      </c>
      <c r="D759" t="s">
        <v>2388</v>
      </c>
      <c r="E759" t="s">
        <v>99</v>
      </c>
      <c r="F759" t="s">
        <v>47</v>
      </c>
      <c r="G759" t="s">
        <v>64</v>
      </c>
      <c r="H759" t="s">
        <v>195</v>
      </c>
      <c r="I759" t="s">
        <v>196</v>
      </c>
      <c r="J759" t="s">
        <v>51</v>
      </c>
      <c r="K759" t="s">
        <v>168</v>
      </c>
      <c r="L759" t="s">
        <v>2389</v>
      </c>
      <c r="M759" t="s">
        <v>69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165</v>
      </c>
      <c r="U759" t="s">
        <v>78</v>
      </c>
      <c r="V759" t="str">
        <f t="shared" si="110"/>
        <v/>
      </c>
      <c r="W759" t="str">
        <f t="shared" si="111"/>
        <v/>
      </c>
      <c r="X759">
        <f t="shared" si="112"/>
        <v>1.3271856563895552</v>
      </c>
      <c r="Y759">
        <f t="shared" si="113"/>
        <v>4285.7550000000001</v>
      </c>
      <c r="Z759">
        <f t="shared" si="114"/>
        <v>1899.4250000000002</v>
      </c>
      <c r="AA759">
        <f t="shared" si="115"/>
        <v>0.44319495631458172</v>
      </c>
      <c r="AB759">
        <f t="shared" si="116"/>
        <v>2</v>
      </c>
      <c r="AC759" t="str">
        <f t="shared" si="117"/>
        <v>August</v>
      </c>
      <c r="AD759">
        <f t="shared" si="118"/>
        <v>2025</v>
      </c>
      <c r="AE759" t="str">
        <f t="shared" si="119"/>
        <v>WARNING</v>
      </c>
    </row>
    <row r="760" spans="1:31">
      <c r="A760" t="s">
        <v>2390</v>
      </c>
      <c r="B760" s="3">
        <v>45414</v>
      </c>
      <c r="C760" s="3">
        <v>45422</v>
      </c>
      <c r="D760" t="s">
        <v>2391</v>
      </c>
      <c r="E760" t="s">
        <v>138</v>
      </c>
      <c r="F760" t="s">
        <v>47</v>
      </c>
      <c r="G760" t="s">
        <v>64</v>
      </c>
      <c r="H760" t="s">
        <v>185</v>
      </c>
      <c r="I760" t="s">
        <v>186</v>
      </c>
      <c r="J760" t="s">
        <v>51</v>
      </c>
      <c r="K760" t="s">
        <v>76</v>
      </c>
      <c r="L760" t="s">
        <v>2392</v>
      </c>
      <c r="M760" t="s">
        <v>69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42</v>
      </c>
      <c r="U760" t="s">
        <v>43</v>
      </c>
      <c r="V760" t="str">
        <f t="shared" si="110"/>
        <v/>
      </c>
      <c r="W760" t="str">
        <f t="shared" si="111"/>
        <v/>
      </c>
      <c r="X760">
        <f t="shared" si="112"/>
        <v>-1.0661353799231277</v>
      </c>
      <c r="Y760">
        <f t="shared" si="113"/>
        <v>4166.91</v>
      </c>
      <c r="Z760">
        <f t="shared" si="114"/>
        <v>754.27999999999975</v>
      </c>
      <c r="AA760">
        <f t="shared" si="115"/>
        <v>0.18101662862888801</v>
      </c>
      <c r="AB760">
        <f t="shared" si="116"/>
        <v>8</v>
      </c>
      <c r="AC760" t="str">
        <f t="shared" si="117"/>
        <v>May</v>
      </c>
      <c r="AD760">
        <f t="shared" si="118"/>
        <v>2024</v>
      </c>
      <c r="AE760" t="str">
        <f t="shared" si="119"/>
        <v>CLEAN</v>
      </c>
    </row>
    <row r="761" spans="1:31">
      <c r="A761" t="s">
        <v>2393</v>
      </c>
      <c r="B761" s="3">
        <v>45492</v>
      </c>
      <c r="C761" s="3">
        <v>45499</v>
      </c>
      <c r="D761" t="s">
        <v>2394</v>
      </c>
      <c r="E761" t="s">
        <v>63</v>
      </c>
      <c r="F761" t="s">
        <v>105</v>
      </c>
      <c r="G761" t="s">
        <v>64</v>
      </c>
      <c r="H761" t="s">
        <v>185</v>
      </c>
      <c r="I761" t="s">
        <v>186</v>
      </c>
      <c r="J761" t="s">
        <v>51</v>
      </c>
      <c r="K761" t="s">
        <v>52</v>
      </c>
      <c r="L761" t="s">
        <v>2395</v>
      </c>
      <c r="M761" t="s">
        <v>41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42</v>
      </c>
      <c r="U761" t="s">
        <v>43</v>
      </c>
      <c r="V761" t="str">
        <f t="shared" si="110"/>
        <v/>
      </c>
      <c r="W761" t="str">
        <f t="shared" si="111"/>
        <v/>
      </c>
      <c r="X761">
        <f t="shared" si="112"/>
        <v>1.3271856563895552</v>
      </c>
      <c r="Y761">
        <f t="shared" si="113"/>
        <v>14947.537500000002</v>
      </c>
      <c r="Z761">
        <f t="shared" si="114"/>
        <v>5509.0775000000031</v>
      </c>
      <c r="AA761">
        <f t="shared" si="115"/>
        <v>0.36856087499362367</v>
      </c>
      <c r="AB761">
        <f t="shared" si="116"/>
        <v>7</v>
      </c>
      <c r="AC761" t="str">
        <f t="shared" si="117"/>
        <v>July</v>
      </c>
      <c r="AD761">
        <f t="shared" si="118"/>
        <v>2024</v>
      </c>
      <c r="AE761" t="str">
        <f t="shared" si="119"/>
        <v>CLEAN</v>
      </c>
    </row>
    <row r="762" spans="1:31">
      <c r="A762" t="s">
        <v>2396</v>
      </c>
      <c r="B762" s="3">
        <v>45532</v>
      </c>
      <c r="C762" s="3">
        <v>45537</v>
      </c>
      <c r="D762" t="s">
        <v>2397</v>
      </c>
      <c r="E762" t="s">
        <v>99</v>
      </c>
      <c r="F762" t="s">
        <v>105</v>
      </c>
      <c r="G762" t="s">
        <v>48</v>
      </c>
      <c r="H762" t="s">
        <v>176</v>
      </c>
      <c r="I762" t="s">
        <v>177</v>
      </c>
      <c r="J762" t="s">
        <v>38</v>
      </c>
      <c r="K762" t="s">
        <v>58</v>
      </c>
      <c r="L762" t="s">
        <v>2398</v>
      </c>
      <c r="M762" t="s">
        <v>41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121</v>
      </c>
      <c r="U762" t="s">
        <v>113</v>
      </c>
      <c r="V762" t="str">
        <f t="shared" si="110"/>
        <v/>
      </c>
      <c r="W762" t="str">
        <f t="shared" si="111"/>
        <v/>
      </c>
      <c r="X762">
        <f t="shared" si="112"/>
        <v>-1.0661353799231277</v>
      </c>
      <c r="Y762">
        <f t="shared" si="113"/>
        <v>13462.12</v>
      </c>
      <c r="Z762">
        <f t="shared" si="114"/>
        <v>5861.4900000000007</v>
      </c>
      <c r="AA762">
        <f t="shared" si="115"/>
        <v>0.43540616188237813</v>
      </c>
      <c r="AB762">
        <f t="shared" si="116"/>
        <v>5</v>
      </c>
      <c r="AC762" t="str">
        <f t="shared" si="117"/>
        <v>August</v>
      </c>
      <c r="AD762">
        <f t="shared" si="118"/>
        <v>2024</v>
      </c>
      <c r="AE762" t="str">
        <f t="shared" si="119"/>
        <v>CLEAN</v>
      </c>
    </row>
    <row r="763" spans="1:31">
      <c r="A763" t="s">
        <v>2399</v>
      </c>
      <c r="B763" s="3">
        <v>45896</v>
      </c>
      <c r="C763" s="3">
        <v>45900</v>
      </c>
      <c r="D763" t="s">
        <v>2400</v>
      </c>
      <c r="E763" t="s">
        <v>57</v>
      </c>
      <c r="F763" t="s">
        <v>34</v>
      </c>
      <c r="G763" t="s">
        <v>64</v>
      </c>
      <c r="H763" t="s">
        <v>185</v>
      </c>
      <c r="I763" t="s">
        <v>186</v>
      </c>
      <c r="J763" t="s">
        <v>84</v>
      </c>
      <c r="K763" t="s">
        <v>286</v>
      </c>
      <c r="L763" t="s">
        <v>2401</v>
      </c>
      <c r="M763" t="s">
        <v>60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42</v>
      </c>
      <c r="U763" t="s">
        <v>43</v>
      </c>
      <c r="V763" t="str">
        <f t="shared" si="110"/>
        <v/>
      </c>
      <c r="W763" t="str">
        <f t="shared" si="111"/>
        <v/>
      </c>
      <c r="X763">
        <f t="shared" si="112"/>
        <v>-1.0661353799231277</v>
      </c>
      <c r="Y763">
        <f t="shared" si="113"/>
        <v>7467.36</v>
      </c>
      <c r="Z763">
        <f t="shared" si="114"/>
        <v>2456.75</v>
      </c>
      <c r="AA763">
        <f t="shared" si="115"/>
        <v>0.32899846799940008</v>
      </c>
      <c r="AB763">
        <f t="shared" si="116"/>
        <v>4</v>
      </c>
      <c r="AC763" t="str">
        <f t="shared" si="117"/>
        <v>August</v>
      </c>
      <c r="AD763">
        <f t="shared" si="118"/>
        <v>2025</v>
      </c>
      <c r="AE763" t="str">
        <f t="shared" si="119"/>
        <v>CLEAN</v>
      </c>
    </row>
    <row r="764" spans="1:31">
      <c r="A764" t="s">
        <v>2402</v>
      </c>
      <c r="B764" s="3">
        <v>45292</v>
      </c>
      <c r="C764" s="3">
        <v>45296</v>
      </c>
      <c r="D764" t="s">
        <v>2403</v>
      </c>
      <c r="E764" t="s">
        <v>172</v>
      </c>
      <c r="F764" t="s">
        <v>100</v>
      </c>
      <c r="G764" t="s">
        <v>73</v>
      </c>
      <c r="H764" t="s">
        <v>82</v>
      </c>
      <c r="I764" t="s">
        <v>83</v>
      </c>
      <c r="J764" t="s">
        <v>84</v>
      </c>
      <c r="K764" t="s">
        <v>286</v>
      </c>
      <c r="L764" t="s">
        <v>2404</v>
      </c>
      <c r="M764" t="s">
        <v>41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112</v>
      </c>
      <c r="U764" t="s">
        <v>113</v>
      </c>
      <c r="V764" t="str">
        <f t="shared" si="110"/>
        <v/>
      </c>
      <c r="W764" t="str">
        <f t="shared" si="111"/>
        <v/>
      </c>
      <c r="X764">
        <f t="shared" si="112"/>
        <v>0.84852144912701888</v>
      </c>
      <c r="Y764">
        <f t="shared" si="113"/>
        <v>5910.5920000000006</v>
      </c>
      <c r="Z764">
        <f t="shared" si="114"/>
        <v>1135.152000000001</v>
      </c>
      <c r="AA764">
        <f t="shared" si="115"/>
        <v>0.19205385856442145</v>
      </c>
      <c r="AB764">
        <f t="shared" si="116"/>
        <v>4</v>
      </c>
      <c r="AC764" t="str">
        <f t="shared" si="117"/>
        <v>January</v>
      </c>
      <c r="AD764">
        <f t="shared" si="118"/>
        <v>2024</v>
      </c>
      <c r="AE764" t="str">
        <f t="shared" si="119"/>
        <v>CLEAN</v>
      </c>
    </row>
    <row r="765" spans="1:31">
      <c r="A765" t="s">
        <v>2405</v>
      </c>
      <c r="B765" s="3">
        <v>45892</v>
      </c>
      <c r="C765" s="3">
        <v>45894</v>
      </c>
      <c r="D765" t="s">
        <v>2406</v>
      </c>
      <c r="E765" t="s">
        <v>172</v>
      </c>
      <c r="F765" t="s">
        <v>34</v>
      </c>
      <c r="G765" t="s">
        <v>35</v>
      </c>
      <c r="H765" t="s">
        <v>36</v>
      </c>
      <c r="I765" t="s">
        <v>37</v>
      </c>
      <c r="J765" t="s">
        <v>51</v>
      </c>
      <c r="K765" t="s">
        <v>67</v>
      </c>
      <c r="L765" t="s">
        <v>2407</v>
      </c>
      <c r="M765" t="s">
        <v>54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42</v>
      </c>
      <c r="U765" t="s">
        <v>43</v>
      </c>
      <c r="V765" t="str">
        <f t="shared" si="110"/>
        <v/>
      </c>
      <c r="W765" t="str">
        <f t="shared" si="111"/>
        <v/>
      </c>
      <c r="X765">
        <f t="shared" si="112"/>
        <v>-1.0661353799231277</v>
      </c>
      <c r="Y765">
        <f t="shared" si="113"/>
        <v>16454.88</v>
      </c>
      <c r="Z765">
        <f t="shared" si="114"/>
        <v>4373.34</v>
      </c>
      <c r="AA765">
        <f t="shared" si="115"/>
        <v>0.26577769026574488</v>
      </c>
      <c r="AB765">
        <f t="shared" si="116"/>
        <v>2</v>
      </c>
      <c r="AC765" t="str">
        <f t="shared" si="117"/>
        <v>August</v>
      </c>
      <c r="AD765">
        <f t="shared" si="118"/>
        <v>2025</v>
      </c>
      <c r="AE765" t="str">
        <f t="shared" si="119"/>
        <v>CLEAN</v>
      </c>
    </row>
    <row r="766" spans="1:31">
      <c r="A766" t="s">
        <v>2408</v>
      </c>
      <c r="B766" s="3">
        <v>45760</v>
      </c>
      <c r="C766" s="3">
        <v>45760</v>
      </c>
      <c r="D766" t="s">
        <v>908</v>
      </c>
      <c r="E766" t="s">
        <v>124</v>
      </c>
      <c r="F766" t="s">
        <v>100</v>
      </c>
      <c r="G766" t="s">
        <v>64</v>
      </c>
      <c r="H766" t="s">
        <v>195</v>
      </c>
      <c r="I766" t="s">
        <v>196</v>
      </c>
      <c r="J766" t="s">
        <v>51</v>
      </c>
      <c r="K766" t="s">
        <v>168</v>
      </c>
      <c r="L766" t="s">
        <v>2409</v>
      </c>
      <c r="M766" t="s">
        <v>60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42</v>
      </c>
      <c r="U766" t="s">
        <v>43</v>
      </c>
      <c r="V766" t="str">
        <f t="shared" si="110"/>
        <v/>
      </c>
      <c r="W766" t="str">
        <f t="shared" si="111"/>
        <v/>
      </c>
      <c r="X766">
        <f t="shared" si="112"/>
        <v>-0.58747117266059101</v>
      </c>
      <c r="Y766">
        <f t="shared" si="113"/>
        <v>25159.8</v>
      </c>
      <c r="Z766">
        <f t="shared" si="114"/>
        <v>3552.9699999999975</v>
      </c>
      <c r="AA766">
        <f t="shared" si="115"/>
        <v>0.14121614639226057</v>
      </c>
      <c r="AB766">
        <f t="shared" si="116"/>
        <v>0</v>
      </c>
      <c r="AC766" t="str">
        <f t="shared" si="117"/>
        <v>April</v>
      </c>
      <c r="AD766">
        <f t="shared" si="118"/>
        <v>2025</v>
      </c>
      <c r="AE766" t="str">
        <f t="shared" si="119"/>
        <v>CLEAN</v>
      </c>
    </row>
    <row r="767" spans="1:31">
      <c r="A767" t="s">
        <v>2410</v>
      </c>
      <c r="B767" s="3">
        <v>45837</v>
      </c>
      <c r="C767" s="3">
        <v>45841</v>
      </c>
      <c r="D767" t="s">
        <v>2411</v>
      </c>
      <c r="E767" t="s">
        <v>81</v>
      </c>
      <c r="F767" t="s">
        <v>100</v>
      </c>
      <c r="G767" t="s">
        <v>48</v>
      </c>
      <c r="H767" t="s">
        <v>240</v>
      </c>
      <c r="I767" t="s">
        <v>241</v>
      </c>
      <c r="J767" t="s">
        <v>38</v>
      </c>
      <c r="K767" t="s">
        <v>101</v>
      </c>
      <c r="L767" t="s">
        <v>2412</v>
      </c>
      <c r="M767" t="s">
        <v>60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42</v>
      </c>
      <c r="U767" t="s">
        <v>43</v>
      </c>
      <c r="V767" t="str">
        <f t="shared" si="110"/>
        <v/>
      </c>
      <c r="W767" t="str">
        <f t="shared" si="111"/>
        <v/>
      </c>
      <c r="X767">
        <f t="shared" si="112"/>
        <v>-1.0661353799231277</v>
      </c>
      <c r="Y767">
        <f t="shared" si="113"/>
        <v>1824.42</v>
      </c>
      <c r="Z767">
        <f t="shared" si="114"/>
        <v>609.55000000000018</v>
      </c>
      <c r="AA767">
        <f t="shared" si="115"/>
        <v>0.33410618169061956</v>
      </c>
      <c r="AB767">
        <f t="shared" si="116"/>
        <v>4</v>
      </c>
      <c r="AC767" t="str">
        <f t="shared" si="117"/>
        <v>June</v>
      </c>
      <c r="AD767">
        <f t="shared" si="118"/>
        <v>2025</v>
      </c>
      <c r="AE767" t="str">
        <f t="shared" si="119"/>
        <v>CLEAN</v>
      </c>
    </row>
    <row r="768" spans="1:31">
      <c r="A768" t="s">
        <v>2413</v>
      </c>
      <c r="B768" s="3">
        <v>45552</v>
      </c>
      <c r="C768" s="3">
        <v>45559</v>
      </c>
      <c r="D768" t="s">
        <v>2414</v>
      </c>
      <c r="E768" t="s">
        <v>46</v>
      </c>
      <c r="F768" t="s">
        <v>100</v>
      </c>
      <c r="G768" t="s">
        <v>73</v>
      </c>
      <c r="H768" t="s">
        <v>190</v>
      </c>
      <c r="I768" t="s">
        <v>191</v>
      </c>
      <c r="J768" t="s">
        <v>38</v>
      </c>
      <c r="K768" t="s">
        <v>58</v>
      </c>
      <c r="L768" t="s">
        <v>2415</v>
      </c>
      <c r="M768" t="s">
        <v>41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42</v>
      </c>
      <c r="U768" t="s">
        <v>78</v>
      </c>
      <c r="V768" t="str">
        <f t="shared" si="110"/>
        <v/>
      </c>
      <c r="W768" t="str">
        <f t="shared" si="111"/>
        <v/>
      </c>
      <c r="X768">
        <f t="shared" si="112"/>
        <v>0.84852144912701888</v>
      </c>
      <c r="Y768">
        <f t="shared" si="113"/>
        <v>16617.312000000002</v>
      </c>
      <c r="Z768">
        <f t="shared" si="114"/>
        <v>7421.5820000000022</v>
      </c>
      <c r="AA768">
        <f t="shared" si="115"/>
        <v>0.44661747940942564</v>
      </c>
      <c r="AB768">
        <f t="shared" si="116"/>
        <v>7</v>
      </c>
      <c r="AC768" t="str">
        <f t="shared" si="117"/>
        <v>September</v>
      </c>
      <c r="AD768">
        <f t="shared" si="118"/>
        <v>2024</v>
      </c>
      <c r="AE768" t="str">
        <f t="shared" si="119"/>
        <v>WARNING</v>
      </c>
    </row>
    <row r="769" spans="1:31">
      <c r="A769" t="s">
        <v>2416</v>
      </c>
      <c r="B769" s="3">
        <v>45415</v>
      </c>
      <c r="C769" s="3">
        <v>45448</v>
      </c>
      <c r="D769" t="s">
        <v>2417</v>
      </c>
      <c r="E769" t="s">
        <v>72</v>
      </c>
      <c r="F769" t="s">
        <v>105</v>
      </c>
      <c r="G769" t="s">
        <v>35</v>
      </c>
      <c r="H769" t="s">
        <v>146</v>
      </c>
      <c r="I769" t="s">
        <v>147</v>
      </c>
      <c r="J769" t="s">
        <v>624</v>
      </c>
      <c r="K769" t="s">
        <v>163</v>
      </c>
      <c r="L769" t="s">
        <v>2418</v>
      </c>
      <c r="M769" t="s">
        <v>69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42</v>
      </c>
      <c r="U769" t="s">
        <v>43</v>
      </c>
      <c r="V769" t="str">
        <f t="shared" si="110"/>
        <v/>
      </c>
      <c r="W769" t="str">
        <f t="shared" si="111"/>
        <v/>
      </c>
      <c r="X769">
        <f t="shared" si="112"/>
        <v>1.3271856563895552</v>
      </c>
      <c r="Y769">
        <f t="shared" si="113"/>
        <v>933.43499999999995</v>
      </c>
      <c r="Z769">
        <f t="shared" si="114"/>
        <v>350.34499999999991</v>
      </c>
      <c r="AA769">
        <f t="shared" si="115"/>
        <v>0.3753287588316272</v>
      </c>
      <c r="AB769">
        <f t="shared" si="116"/>
        <v>33</v>
      </c>
      <c r="AC769" t="str">
        <f t="shared" si="117"/>
        <v>May</v>
      </c>
      <c r="AD769">
        <f t="shared" si="118"/>
        <v>2024</v>
      </c>
      <c r="AE769" t="str">
        <f t="shared" si="119"/>
        <v>CLEAN</v>
      </c>
    </row>
    <row r="770" spans="1:31">
      <c r="A770" t="s">
        <v>2419</v>
      </c>
      <c r="B770" s="3">
        <v>45749</v>
      </c>
      <c r="C770" s="3">
        <v>45751</v>
      </c>
      <c r="D770" t="s">
        <v>2420</v>
      </c>
      <c r="E770" t="s">
        <v>142</v>
      </c>
      <c r="F770" t="s">
        <v>105</v>
      </c>
      <c r="G770" t="s">
        <v>48</v>
      </c>
      <c r="H770" t="s">
        <v>240</v>
      </c>
      <c r="I770" t="s">
        <v>241</v>
      </c>
      <c r="J770" t="s">
        <v>38</v>
      </c>
      <c r="K770" t="s">
        <v>39</v>
      </c>
      <c r="L770" t="s">
        <v>2421</v>
      </c>
      <c r="M770" t="s">
        <v>54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42</v>
      </c>
      <c r="U770" t="s">
        <v>43</v>
      </c>
      <c r="V770" t="str">
        <f t="shared" si="110"/>
        <v/>
      </c>
      <c r="W770" t="str">
        <f t="shared" si="111"/>
        <v/>
      </c>
      <c r="X770">
        <f t="shared" si="112"/>
        <v>-0.10880696539805437</v>
      </c>
      <c r="Y770">
        <f t="shared" si="113"/>
        <v>14554.08</v>
      </c>
      <c r="Z770">
        <f t="shared" si="114"/>
        <v>3387.24</v>
      </c>
      <c r="AA770">
        <f t="shared" si="115"/>
        <v>0.23273473830018798</v>
      </c>
      <c r="AB770">
        <f t="shared" si="116"/>
        <v>2</v>
      </c>
      <c r="AC770" t="str">
        <f t="shared" si="117"/>
        <v>April</v>
      </c>
      <c r="AD770">
        <f t="shared" si="118"/>
        <v>2025</v>
      </c>
      <c r="AE770" t="str">
        <f t="shared" si="119"/>
        <v>CLEAN</v>
      </c>
    </row>
    <row r="771" spans="1:31">
      <c r="A771" t="s">
        <v>2422</v>
      </c>
      <c r="B771" s="3">
        <v>45601</v>
      </c>
      <c r="C771" s="3">
        <v>45425</v>
      </c>
      <c r="D771" t="s">
        <v>2423</v>
      </c>
      <c r="E771" t="s">
        <v>124</v>
      </c>
      <c r="F771" t="s">
        <v>105</v>
      </c>
      <c r="G771" t="s">
        <v>73</v>
      </c>
      <c r="H771" t="s">
        <v>200</v>
      </c>
      <c r="I771" t="s">
        <v>201</v>
      </c>
      <c r="J771" t="s">
        <v>51</v>
      </c>
      <c r="K771" t="s">
        <v>168</v>
      </c>
      <c r="L771" t="s">
        <v>2424</v>
      </c>
      <c r="M771" t="s">
        <v>54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42</v>
      </c>
      <c r="U771" t="s">
        <v>43</v>
      </c>
      <c r="V771" t="str">
        <f t="shared" ref="V771:V834" si="120">IF(AND(N771&gt;0,O771&gt;0,Q771&gt;0,R771&gt;=0,S771&lt;&gt;""),IF(OR(P771&lt;0,ABS(P771-AVERAGE($P:$P))&gt;2*_xlfn.STDEV.P($P:$P)),"Invalid Discount",""),"")</f>
        <v/>
      </c>
      <c r="W771" t="str">
        <f t="shared" ref="W771:W834" si="121">IF(AND(B771&lt;&gt;"",C771&lt;&gt;""),IF(C771&lt;B771,"Invalid Shipping Record",""),"")</f>
        <v>Invalid Shipping Record</v>
      </c>
      <c r="X771">
        <f t="shared" ref="X771:X834" si="122">(P771-AVERAGE($P:$P))/_xlfn.STDEV.P($P:$P)</f>
        <v>1.3271856563895552</v>
      </c>
      <c r="Y771">
        <f t="shared" ref="Y771:Y834" si="123">N771*O771*(1-P771)</f>
        <v>8128.6875</v>
      </c>
      <c r="Z771">
        <f t="shared" ref="Z771:Z834" si="124">Y771-R771</f>
        <v>3057.0275000000001</v>
      </c>
      <c r="AA771">
        <f t="shared" ref="AA771:AA834" si="125">IF(Y771=0,0,Z771/Y771)</f>
        <v>0.3760788565189645</v>
      </c>
      <c r="AB771" t="e">
        <f t="shared" ref="AB771:AB834" si="126">DATEDIF(B771,C771,"d")</f>
        <v>#NUM!</v>
      </c>
      <c r="AC771" t="str">
        <f t="shared" ref="AC771:AC834" si="127">TEXT(B771,"mmmm")</f>
        <v>November</v>
      </c>
      <c r="AD771">
        <f t="shared" ref="AD771:AD834" si="128">YEAR(B771)</f>
        <v>2024</v>
      </c>
      <c r="AE771" t="str">
        <f t="shared" ref="AE771:AE834" si="129">IF(OR(V771="Invalid Discount",W771="Invalid Shipping Record"),"INVALID",IF(U771="Cancelled","WARNING","CLEAN"))</f>
        <v>INVALID</v>
      </c>
    </row>
    <row r="772" spans="1:31">
      <c r="A772" t="s">
        <v>2425</v>
      </c>
      <c r="B772" s="3">
        <v>45337</v>
      </c>
      <c r="C772" s="3">
        <v>45339</v>
      </c>
      <c r="D772" t="s">
        <v>2426</v>
      </c>
      <c r="E772" t="s">
        <v>89</v>
      </c>
      <c r="F772" t="s">
        <v>34</v>
      </c>
      <c r="G772" t="s">
        <v>35</v>
      </c>
      <c r="H772" t="s">
        <v>146</v>
      </c>
      <c r="I772" t="s">
        <v>147</v>
      </c>
      <c r="J772" t="s">
        <v>84</v>
      </c>
      <c r="K772" t="s">
        <v>90</v>
      </c>
      <c r="L772" t="s">
        <v>2427</v>
      </c>
      <c r="M772" t="s">
        <v>60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42</v>
      </c>
      <c r="U772" t="s">
        <v>43</v>
      </c>
      <c r="V772" t="str">
        <f t="shared" si="120"/>
        <v/>
      </c>
      <c r="W772" t="str">
        <f t="shared" si="121"/>
        <v/>
      </c>
      <c r="X772">
        <f t="shared" si="122"/>
        <v>-1.0661353799231277</v>
      </c>
      <c r="Y772">
        <f t="shared" si="123"/>
        <v>3452</v>
      </c>
      <c r="Z772">
        <f t="shared" si="124"/>
        <v>1075.3800000000001</v>
      </c>
      <c r="AA772">
        <f t="shared" si="125"/>
        <v>0.3115237543453071</v>
      </c>
      <c r="AB772">
        <f t="shared" si="126"/>
        <v>2</v>
      </c>
      <c r="AC772" t="str">
        <f t="shared" si="127"/>
        <v>February</v>
      </c>
      <c r="AD772">
        <f t="shared" si="128"/>
        <v>2024</v>
      </c>
      <c r="AE772" t="str">
        <f t="shared" si="129"/>
        <v>CLEAN</v>
      </c>
    </row>
    <row r="773" spans="1:31">
      <c r="A773" t="s">
        <v>2428</v>
      </c>
      <c r="B773" s="3">
        <v>45485</v>
      </c>
      <c r="C773" s="3">
        <v>45487</v>
      </c>
      <c r="D773" t="s">
        <v>480</v>
      </c>
      <c r="E773" t="s">
        <v>72</v>
      </c>
      <c r="F773" t="s">
        <v>34</v>
      </c>
      <c r="G773" t="s">
        <v>35</v>
      </c>
      <c r="H773" t="s">
        <v>248</v>
      </c>
      <c r="I773" t="s">
        <v>249</v>
      </c>
      <c r="J773" t="s">
        <v>84</v>
      </c>
      <c r="K773" t="s">
        <v>286</v>
      </c>
      <c r="L773" t="s">
        <v>2429</v>
      </c>
      <c r="M773" t="s">
        <v>41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42</v>
      </c>
      <c r="U773" t="s">
        <v>43</v>
      </c>
      <c r="V773" t="str">
        <f t="shared" si="120"/>
        <v/>
      </c>
      <c r="W773" t="str">
        <f t="shared" si="121"/>
        <v/>
      </c>
      <c r="X773">
        <f t="shared" si="122"/>
        <v>-1.0661353799231277</v>
      </c>
      <c r="Y773">
        <f t="shared" si="123"/>
        <v>8525.64</v>
      </c>
      <c r="Z773">
        <f t="shared" si="124"/>
        <v>5004.9499999999989</v>
      </c>
      <c r="AA773">
        <f t="shared" si="125"/>
        <v>0.58704683753946907</v>
      </c>
      <c r="AB773">
        <f t="shared" si="126"/>
        <v>2</v>
      </c>
      <c r="AC773" t="str">
        <f t="shared" si="127"/>
        <v>July</v>
      </c>
      <c r="AD773">
        <f t="shared" si="128"/>
        <v>2024</v>
      </c>
      <c r="AE773" t="str">
        <f t="shared" si="129"/>
        <v>CLEAN</v>
      </c>
    </row>
    <row r="774" spans="1:31">
      <c r="A774" t="s">
        <v>2430</v>
      </c>
      <c r="B774" s="3">
        <v>45853</v>
      </c>
      <c r="C774" s="3">
        <v>45857</v>
      </c>
      <c r="D774" t="s">
        <v>2431</v>
      </c>
      <c r="E774" t="s">
        <v>172</v>
      </c>
      <c r="F774" t="s">
        <v>34</v>
      </c>
      <c r="G774" t="s">
        <v>64</v>
      </c>
      <c r="H774" t="s">
        <v>259</v>
      </c>
      <c r="I774" t="s">
        <v>260</v>
      </c>
      <c r="J774" t="s">
        <v>51</v>
      </c>
      <c r="K774" t="s">
        <v>76</v>
      </c>
      <c r="L774" t="s">
        <v>2432</v>
      </c>
      <c r="M774" t="s">
        <v>54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121</v>
      </c>
      <c r="U774" t="s">
        <v>78</v>
      </c>
      <c r="V774" t="str">
        <f t="shared" si="120"/>
        <v/>
      </c>
      <c r="W774" t="str">
        <f t="shared" si="121"/>
        <v/>
      </c>
      <c r="X774">
        <f t="shared" si="122"/>
        <v>-0.58747117266059101</v>
      </c>
      <c r="Y774">
        <f t="shared" si="123"/>
        <v>3708.0589999999997</v>
      </c>
      <c r="Z774">
        <f t="shared" si="124"/>
        <v>947.76899999999978</v>
      </c>
      <c r="AA774">
        <f t="shared" si="125"/>
        <v>0.25559706574248142</v>
      </c>
      <c r="AB774">
        <f t="shared" si="126"/>
        <v>4</v>
      </c>
      <c r="AC774" t="str">
        <f t="shared" si="127"/>
        <v>July</v>
      </c>
      <c r="AD774">
        <f t="shared" si="128"/>
        <v>2025</v>
      </c>
      <c r="AE774" t="str">
        <f t="shared" si="129"/>
        <v>WARNING</v>
      </c>
    </row>
    <row r="775" spans="1:31">
      <c r="A775" t="s">
        <v>2433</v>
      </c>
      <c r="B775" s="3">
        <v>45709</v>
      </c>
      <c r="C775" s="3">
        <v>45709</v>
      </c>
      <c r="D775" t="s">
        <v>2434</v>
      </c>
      <c r="E775" t="s">
        <v>33</v>
      </c>
      <c r="F775" t="s">
        <v>105</v>
      </c>
      <c r="G775" t="s">
        <v>73</v>
      </c>
      <c r="H775" t="s">
        <v>190</v>
      </c>
      <c r="I775" t="s">
        <v>191</v>
      </c>
      <c r="J775" t="s">
        <v>84</v>
      </c>
      <c r="K775" t="s">
        <v>181</v>
      </c>
      <c r="L775" t="s">
        <v>2435</v>
      </c>
      <c r="M775" t="s">
        <v>215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42</v>
      </c>
      <c r="U775" t="s">
        <v>43</v>
      </c>
      <c r="V775" t="str">
        <f t="shared" si="120"/>
        <v/>
      </c>
      <c r="W775" t="str">
        <f t="shared" si="121"/>
        <v/>
      </c>
      <c r="X775">
        <f t="shared" si="122"/>
        <v>0.84852144912701888</v>
      </c>
      <c r="Y775">
        <f t="shared" si="123"/>
        <v>9424.2240000000002</v>
      </c>
      <c r="Z775">
        <f t="shared" si="124"/>
        <v>3245.3040000000001</v>
      </c>
      <c r="AA775">
        <f t="shared" si="125"/>
        <v>0.3443576892909167</v>
      </c>
      <c r="AB775">
        <f t="shared" si="126"/>
        <v>0</v>
      </c>
      <c r="AC775" t="str">
        <f t="shared" si="127"/>
        <v>February</v>
      </c>
      <c r="AD775">
        <f t="shared" si="128"/>
        <v>2025</v>
      </c>
      <c r="AE775" t="str">
        <f t="shared" si="129"/>
        <v>CLEAN</v>
      </c>
    </row>
    <row r="776" spans="1:31">
      <c r="A776" t="s">
        <v>2436</v>
      </c>
      <c r="B776" s="3">
        <v>45876</v>
      </c>
      <c r="C776" s="3">
        <v>45876</v>
      </c>
      <c r="D776" t="s">
        <v>2437</v>
      </c>
      <c r="E776" t="s">
        <v>276</v>
      </c>
      <c r="F776" t="s">
        <v>34</v>
      </c>
      <c r="G776" t="s">
        <v>73</v>
      </c>
      <c r="H776" t="s">
        <v>36</v>
      </c>
      <c r="I776" t="s">
        <v>119</v>
      </c>
      <c r="J776" t="s">
        <v>84</v>
      </c>
      <c r="K776" t="s">
        <v>286</v>
      </c>
      <c r="L776" t="s">
        <v>2438</v>
      </c>
      <c r="M776" t="s">
        <v>215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42</v>
      </c>
      <c r="U776" t="s">
        <v>43</v>
      </c>
      <c r="V776" t="str">
        <f t="shared" si="120"/>
        <v/>
      </c>
      <c r="W776" t="str">
        <f t="shared" si="121"/>
        <v/>
      </c>
      <c r="X776">
        <f t="shared" si="122"/>
        <v>0.84852144912701888</v>
      </c>
      <c r="Y776">
        <f t="shared" si="123"/>
        <v>7752.6</v>
      </c>
      <c r="Z776">
        <f t="shared" si="124"/>
        <v>3063.3</v>
      </c>
      <c r="AA776">
        <f t="shared" si="125"/>
        <v>0.39513195573098059</v>
      </c>
      <c r="AB776">
        <f t="shared" si="126"/>
        <v>0</v>
      </c>
      <c r="AC776" t="str">
        <f t="shared" si="127"/>
        <v>August</v>
      </c>
      <c r="AD776">
        <f t="shared" si="128"/>
        <v>2025</v>
      </c>
      <c r="AE776" t="str">
        <f t="shared" si="129"/>
        <v>CLEAN</v>
      </c>
    </row>
    <row r="777" spans="1:31">
      <c r="A777" t="s">
        <v>2439</v>
      </c>
      <c r="B777" s="3">
        <v>45396</v>
      </c>
      <c r="C777" s="3">
        <v>45404</v>
      </c>
      <c r="D777" t="s">
        <v>2440</v>
      </c>
      <c r="E777" t="s">
        <v>63</v>
      </c>
      <c r="F777" t="s">
        <v>34</v>
      </c>
      <c r="G777" t="s">
        <v>35</v>
      </c>
      <c r="H777" t="s">
        <v>248</v>
      </c>
      <c r="I777" t="s">
        <v>249</v>
      </c>
      <c r="J777" t="s">
        <v>84</v>
      </c>
      <c r="K777" t="s">
        <v>85</v>
      </c>
      <c r="L777" t="s">
        <v>2441</v>
      </c>
      <c r="M777" t="s">
        <v>69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42</v>
      </c>
      <c r="U777" t="s">
        <v>43</v>
      </c>
      <c r="V777" t="str">
        <f t="shared" si="120"/>
        <v/>
      </c>
      <c r="W777" t="str">
        <f t="shared" si="121"/>
        <v/>
      </c>
      <c r="X777">
        <f t="shared" si="122"/>
        <v>1.3271856563895552</v>
      </c>
      <c r="Y777">
        <f t="shared" si="123"/>
        <v>23736.720000000001</v>
      </c>
      <c r="Z777">
        <f t="shared" si="124"/>
        <v>9845.8200000000015</v>
      </c>
      <c r="AA777">
        <f t="shared" si="125"/>
        <v>0.41479277676106896</v>
      </c>
      <c r="AB777">
        <f t="shared" si="126"/>
        <v>8</v>
      </c>
      <c r="AC777" t="str">
        <f t="shared" si="127"/>
        <v>April</v>
      </c>
      <c r="AD777">
        <f t="shared" si="128"/>
        <v>2024</v>
      </c>
      <c r="AE777" t="str">
        <f t="shared" si="129"/>
        <v>CLEAN</v>
      </c>
    </row>
    <row r="778" spans="1:31">
      <c r="A778" t="s">
        <v>2442</v>
      </c>
      <c r="B778" s="3">
        <v>45816</v>
      </c>
      <c r="C778" s="3">
        <v>45821</v>
      </c>
      <c r="D778" t="s">
        <v>2443</v>
      </c>
      <c r="E778" t="s">
        <v>99</v>
      </c>
      <c r="F778" t="s">
        <v>47</v>
      </c>
      <c r="G778" t="s">
        <v>35</v>
      </c>
      <c r="H778" t="s">
        <v>36</v>
      </c>
      <c r="I778" t="s">
        <v>37</v>
      </c>
      <c r="J778" t="s">
        <v>84</v>
      </c>
      <c r="K778" t="s">
        <v>90</v>
      </c>
      <c r="L778" t="s">
        <v>2444</v>
      </c>
      <c r="M778" t="s">
        <v>41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42</v>
      </c>
      <c r="U778" t="s">
        <v>43</v>
      </c>
      <c r="V778" t="str">
        <f t="shared" si="120"/>
        <v/>
      </c>
      <c r="W778" t="str">
        <f t="shared" si="121"/>
        <v/>
      </c>
      <c r="X778">
        <f t="shared" si="122"/>
        <v>-1.0661353799231277</v>
      </c>
      <c r="Y778">
        <f t="shared" si="123"/>
        <v>26999.91</v>
      </c>
      <c r="Z778">
        <f t="shared" si="124"/>
        <v>9183.93</v>
      </c>
      <c r="AA778">
        <f t="shared" si="125"/>
        <v>0.34014668937785347</v>
      </c>
      <c r="AB778">
        <f t="shared" si="126"/>
        <v>5</v>
      </c>
      <c r="AC778" t="str">
        <f t="shared" si="127"/>
        <v>June</v>
      </c>
      <c r="AD778">
        <f t="shared" si="128"/>
        <v>2025</v>
      </c>
      <c r="AE778" t="str">
        <f t="shared" si="129"/>
        <v>CLEAN</v>
      </c>
    </row>
    <row r="779" spans="1:31">
      <c r="A779" t="s">
        <v>2445</v>
      </c>
      <c r="B779" s="3">
        <v>45326</v>
      </c>
      <c r="C779" s="3">
        <v>45328</v>
      </c>
      <c r="D779" t="s">
        <v>2446</v>
      </c>
      <c r="E779" t="s">
        <v>276</v>
      </c>
      <c r="F779" t="s">
        <v>47</v>
      </c>
      <c r="G779" t="s">
        <v>73</v>
      </c>
      <c r="H779" t="s">
        <v>82</v>
      </c>
      <c r="I779" t="s">
        <v>83</v>
      </c>
      <c r="J779" t="s">
        <v>84</v>
      </c>
      <c r="K779" t="s">
        <v>85</v>
      </c>
      <c r="L779" t="s">
        <v>2447</v>
      </c>
      <c r="M779" t="s">
        <v>41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165</v>
      </c>
      <c r="U779" t="s">
        <v>78</v>
      </c>
      <c r="V779" t="str">
        <f t="shared" si="120"/>
        <v/>
      </c>
      <c r="W779" t="str">
        <f t="shared" si="121"/>
        <v/>
      </c>
      <c r="X779">
        <f t="shared" si="122"/>
        <v>0.3698572418644821</v>
      </c>
      <c r="Y779">
        <f t="shared" si="123"/>
        <v>5065.116</v>
      </c>
      <c r="Z779">
        <f t="shared" si="124"/>
        <v>1534.9960000000001</v>
      </c>
      <c r="AA779">
        <f t="shared" si="125"/>
        <v>0.30305248685321323</v>
      </c>
      <c r="AB779">
        <f t="shared" si="126"/>
        <v>2</v>
      </c>
      <c r="AC779" t="str">
        <f t="shared" si="127"/>
        <v>February</v>
      </c>
      <c r="AD779">
        <f t="shared" si="128"/>
        <v>2024</v>
      </c>
      <c r="AE779" t="str">
        <f t="shared" si="129"/>
        <v>WARNING</v>
      </c>
    </row>
    <row r="780" spans="1:31">
      <c r="A780" t="s">
        <v>2448</v>
      </c>
      <c r="B780" s="3">
        <v>45497</v>
      </c>
      <c r="C780" s="3">
        <v>45497</v>
      </c>
      <c r="D780" t="s">
        <v>2449</v>
      </c>
      <c r="E780" t="s">
        <v>33</v>
      </c>
      <c r="F780" t="s">
        <v>47</v>
      </c>
      <c r="G780" t="s">
        <v>35</v>
      </c>
      <c r="H780" t="s">
        <v>248</v>
      </c>
      <c r="I780" t="s">
        <v>249</v>
      </c>
      <c r="J780" t="s">
        <v>84</v>
      </c>
      <c r="K780" t="s">
        <v>90</v>
      </c>
      <c r="L780" t="s">
        <v>2450</v>
      </c>
      <c r="M780" t="s">
        <v>41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42</v>
      </c>
      <c r="U780" t="s">
        <v>43</v>
      </c>
      <c r="V780" t="str">
        <f t="shared" si="120"/>
        <v/>
      </c>
      <c r="W780" t="str">
        <f t="shared" si="121"/>
        <v/>
      </c>
      <c r="X780">
        <f t="shared" si="122"/>
        <v>-1.0661353799231277</v>
      </c>
      <c r="Y780">
        <f t="shared" si="123"/>
        <v>6707.52</v>
      </c>
      <c r="Z780">
        <f t="shared" si="124"/>
        <v>1034.9500000000007</v>
      </c>
      <c r="AA780">
        <f t="shared" si="125"/>
        <v>0.15429696817899918</v>
      </c>
      <c r="AB780">
        <f t="shared" si="126"/>
        <v>0</v>
      </c>
      <c r="AC780" t="str">
        <f t="shared" si="127"/>
        <v>July</v>
      </c>
      <c r="AD780">
        <f t="shared" si="128"/>
        <v>2024</v>
      </c>
      <c r="AE780" t="str">
        <f t="shared" si="129"/>
        <v>CLEAN</v>
      </c>
    </row>
    <row r="781" spans="1:31">
      <c r="A781" t="s">
        <v>2451</v>
      </c>
      <c r="B781" s="3">
        <v>45306</v>
      </c>
      <c r="C781" s="3">
        <v>45311</v>
      </c>
      <c r="D781" t="s">
        <v>2452</v>
      </c>
      <c r="E781" t="s">
        <v>124</v>
      </c>
      <c r="F781" t="s">
        <v>47</v>
      </c>
      <c r="G781" t="s">
        <v>64</v>
      </c>
      <c r="H781" t="s">
        <v>94</v>
      </c>
      <c r="I781" t="s">
        <v>95</v>
      </c>
      <c r="J781" t="s">
        <v>51</v>
      </c>
      <c r="K781" t="s">
        <v>76</v>
      </c>
      <c r="L781" t="s">
        <v>2453</v>
      </c>
      <c r="M781" t="s">
        <v>69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42</v>
      </c>
      <c r="U781" t="s">
        <v>43</v>
      </c>
      <c r="V781" t="str">
        <f t="shared" si="120"/>
        <v/>
      </c>
      <c r="W781" t="str">
        <f t="shared" si="121"/>
        <v/>
      </c>
      <c r="X781">
        <f t="shared" si="122"/>
        <v>-0.58747117266059101</v>
      </c>
      <c r="Y781">
        <f t="shared" si="123"/>
        <v>11983.451999999999</v>
      </c>
      <c r="Z781">
        <f t="shared" si="124"/>
        <v>3410.5519999999997</v>
      </c>
      <c r="AA781">
        <f t="shared" si="125"/>
        <v>0.2846051371507976</v>
      </c>
      <c r="AB781">
        <f t="shared" si="126"/>
        <v>5</v>
      </c>
      <c r="AC781" t="str">
        <f t="shared" si="127"/>
        <v>January</v>
      </c>
      <c r="AD781">
        <f t="shared" si="128"/>
        <v>2024</v>
      </c>
      <c r="AE781" t="str">
        <f t="shared" si="129"/>
        <v>CLEAN</v>
      </c>
    </row>
    <row r="782" spans="1:31">
      <c r="A782" t="s">
        <v>2454</v>
      </c>
      <c r="B782" s="3">
        <v>45508</v>
      </c>
      <c r="C782" s="3">
        <v>45573</v>
      </c>
      <c r="D782" t="s">
        <v>2455</v>
      </c>
      <c r="E782" t="s">
        <v>172</v>
      </c>
      <c r="F782" t="s">
        <v>47</v>
      </c>
      <c r="G782" t="s">
        <v>73</v>
      </c>
      <c r="H782" t="s">
        <v>36</v>
      </c>
      <c r="I782" t="s">
        <v>119</v>
      </c>
      <c r="J782" t="s">
        <v>51</v>
      </c>
      <c r="K782" t="s">
        <v>76</v>
      </c>
      <c r="L782" t="s">
        <v>2456</v>
      </c>
      <c r="M782" t="s">
        <v>54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42</v>
      </c>
      <c r="U782" t="s">
        <v>43</v>
      </c>
      <c r="V782" t="str">
        <f t="shared" si="120"/>
        <v/>
      </c>
      <c r="W782" t="str">
        <f t="shared" si="121"/>
        <v/>
      </c>
      <c r="X782">
        <f t="shared" si="122"/>
        <v>0.84852144912701888</v>
      </c>
      <c r="Y782">
        <f t="shared" si="123"/>
        <v>1364.576</v>
      </c>
      <c r="Z782">
        <f t="shared" si="124"/>
        <v>386.41600000000005</v>
      </c>
      <c r="AA782">
        <f t="shared" si="125"/>
        <v>0.28317660577351506</v>
      </c>
      <c r="AB782">
        <f t="shared" si="126"/>
        <v>65</v>
      </c>
      <c r="AC782" t="str">
        <f t="shared" si="127"/>
        <v>August</v>
      </c>
      <c r="AD782">
        <f t="shared" si="128"/>
        <v>2024</v>
      </c>
      <c r="AE782" t="str">
        <f t="shared" si="129"/>
        <v>CLEAN</v>
      </c>
    </row>
    <row r="783" spans="1:31">
      <c r="A783" t="s">
        <v>2457</v>
      </c>
      <c r="B783" s="3">
        <v>45324</v>
      </c>
      <c r="C783" s="3">
        <v>45332</v>
      </c>
      <c r="D783" t="s">
        <v>2458</v>
      </c>
      <c r="E783" t="s">
        <v>33</v>
      </c>
      <c r="F783" t="s">
        <v>105</v>
      </c>
      <c r="G783" t="s">
        <v>73</v>
      </c>
      <c r="H783" t="s">
        <v>36</v>
      </c>
      <c r="I783" t="s">
        <v>119</v>
      </c>
      <c r="J783" t="s">
        <v>38</v>
      </c>
      <c r="K783" t="s">
        <v>101</v>
      </c>
      <c r="L783" t="s">
        <v>2459</v>
      </c>
      <c r="M783" t="s">
        <v>60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121</v>
      </c>
      <c r="U783" t="s">
        <v>113</v>
      </c>
      <c r="V783" t="str">
        <f t="shared" si="120"/>
        <v/>
      </c>
      <c r="W783" t="str">
        <f t="shared" si="121"/>
        <v/>
      </c>
      <c r="X783">
        <f t="shared" si="122"/>
        <v>1.3271856563895552</v>
      </c>
      <c r="Y783">
        <f t="shared" si="123"/>
        <v>862.64999999999986</v>
      </c>
      <c r="Z783">
        <f t="shared" si="124"/>
        <v>258.91999999999985</v>
      </c>
      <c r="AA783">
        <f t="shared" si="125"/>
        <v>0.30014490233582553</v>
      </c>
      <c r="AB783">
        <f t="shared" si="126"/>
        <v>8</v>
      </c>
      <c r="AC783" t="str">
        <f t="shared" si="127"/>
        <v>February</v>
      </c>
      <c r="AD783">
        <f t="shared" si="128"/>
        <v>2024</v>
      </c>
      <c r="AE783" t="str">
        <f t="shared" si="129"/>
        <v>CLEAN</v>
      </c>
    </row>
    <row r="784" spans="1:31">
      <c r="A784" t="s">
        <v>2460</v>
      </c>
      <c r="B784" s="3">
        <v>45730</v>
      </c>
      <c r="C784" s="3">
        <v>45738</v>
      </c>
      <c r="D784" t="s">
        <v>2461</v>
      </c>
      <c r="E784" t="s">
        <v>46</v>
      </c>
      <c r="F784" t="s">
        <v>100</v>
      </c>
      <c r="G784" t="s">
        <v>48</v>
      </c>
      <c r="H784" t="s">
        <v>109</v>
      </c>
      <c r="I784" t="s">
        <v>110</v>
      </c>
      <c r="J784" t="s">
        <v>84</v>
      </c>
      <c r="K784" t="s">
        <v>90</v>
      </c>
      <c r="L784" t="s">
        <v>2462</v>
      </c>
      <c r="M784" t="s">
        <v>69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42</v>
      </c>
      <c r="U784" t="s">
        <v>43</v>
      </c>
      <c r="V784" t="str">
        <f t="shared" si="120"/>
        <v/>
      </c>
      <c r="W784" t="str">
        <f t="shared" si="121"/>
        <v/>
      </c>
      <c r="X784">
        <f t="shared" si="122"/>
        <v>0.3698572418644821</v>
      </c>
      <c r="Y784">
        <f t="shared" si="123"/>
        <v>1138.3709999999999</v>
      </c>
      <c r="Z784">
        <f t="shared" si="124"/>
        <v>341.03099999999984</v>
      </c>
      <c r="AA784">
        <f t="shared" si="125"/>
        <v>0.29957808131092578</v>
      </c>
      <c r="AB784">
        <f t="shared" si="126"/>
        <v>8</v>
      </c>
      <c r="AC784" t="str">
        <f t="shared" si="127"/>
        <v>March</v>
      </c>
      <c r="AD784">
        <f t="shared" si="128"/>
        <v>2025</v>
      </c>
      <c r="AE784" t="str">
        <f t="shared" si="129"/>
        <v>CLEAN</v>
      </c>
    </row>
    <row r="785" spans="1:31">
      <c r="A785" t="s">
        <v>2463</v>
      </c>
      <c r="B785" s="3">
        <v>45450</v>
      </c>
      <c r="C785" s="3">
        <v>45450</v>
      </c>
      <c r="D785" t="s">
        <v>2464</v>
      </c>
      <c r="E785" t="s">
        <v>138</v>
      </c>
      <c r="F785" t="s">
        <v>47</v>
      </c>
      <c r="G785" t="s">
        <v>48</v>
      </c>
      <c r="H785" t="s">
        <v>155</v>
      </c>
      <c r="I785" t="s">
        <v>156</v>
      </c>
      <c r="J785" t="s">
        <v>38</v>
      </c>
      <c r="K785" t="s">
        <v>58</v>
      </c>
      <c r="L785" t="s">
        <v>2465</v>
      </c>
      <c r="M785" t="s">
        <v>41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42</v>
      </c>
      <c r="U785" t="s">
        <v>43</v>
      </c>
      <c r="V785" t="str">
        <f t="shared" si="120"/>
        <v/>
      </c>
      <c r="W785" t="str">
        <f t="shared" si="121"/>
        <v/>
      </c>
      <c r="X785">
        <f t="shared" si="122"/>
        <v>-0.58747117266059101</v>
      </c>
      <c r="Y785">
        <f t="shared" si="123"/>
        <v>2452.8334999999997</v>
      </c>
      <c r="Z785">
        <f t="shared" si="124"/>
        <v>546.13349999999969</v>
      </c>
      <c r="AA785">
        <f t="shared" si="125"/>
        <v>0.22265412634000625</v>
      </c>
      <c r="AB785">
        <f t="shared" si="126"/>
        <v>0</v>
      </c>
      <c r="AC785" t="str">
        <f t="shared" si="127"/>
        <v>June</v>
      </c>
      <c r="AD785">
        <f t="shared" si="128"/>
        <v>2024</v>
      </c>
      <c r="AE785" t="str">
        <f t="shared" si="129"/>
        <v>CLEAN</v>
      </c>
    </row>
    <row r="786" spans="1:31">
      <c r="A786" t="s">
        <v>2466</v>
      </c>
      <c r="B786" s="3">
        <v>45757</v>
      </c>
      <c r="C786" s="3">
        <v>45935</v>
      </c>
      <c r="D786" t="s">
        <v>2467</v>
      </c>
      <c r="E786" t="s">
        <v>124</v>
      </c>
      <c r="F786" t="s">
        <v>100</v>
      </c>
      <c r="G786" t="s">
        <v>2468</v>
      </c>
      <c r="H786" t="s">
        <v>132</v>
      </c>
      <c r="I786" t="s">
        <v>133</v>
      </c>
      <c r="J786" t="s">
        <v>84</v>
      </c>
      <c r="K786" t="s">
        <v>90</v>
      </c>
      <c r="L786" t="s">
        <v>2469</v>
      </c>
      <c r="M786" t="s">
        <v>60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42</v>
      </c>
      <c r="U786" t="s">
        <v>43</v>
      </c>
      <c r="V786" t="str">
        <f t="shared" si="120"/>
        <v/>
      </c>
      <c r="W786" t="str">
        <f t="shared" si="121"/>
        <v/>
      </c>
      <c r="X786">
        <f t="shared" si="122"/>
        <v>-0.58747117266059101</v>
      </c>
      <c r="Y786">
        <f t="shared" si="123"/>
        <v>1589.0840000000001</v>
      </c>
      <c r="Z786">
        <f t="shared" si="124"/>
        <v>504.42399999999998</v>
      </c>
      <c r="AA786">
        <f t="shared" si="125"/>
        <v>0.31743067075120002</v>
      </c>
      <c r="AB786">
        <f t="shared" si="126"/>
        <v>178</v>
      </c>
      <c r="AC786" t="str">
        <f t="shared" si="127"/>
        <v>April</v>
      </c>
      <c r="AD786">
        <f t="shared" si="128"/>
        <v>2025</v>
      </c>
      <c r="AE786" t="str">
        <f t="shared" si="129"/>
        <v>CLEAN</v>
      </c>
    </row>
    <row r="787" spans="1:31">
      <c r="A787" t="s">
        <v>2470</v>
      </c>
      <c r="B787" s="3">
        <v>45435</v>
      </c>
      <c r="C787" s="3">
        <v>45441</v>
      </c>
      <c r="D787" t="s">
        <v>2471</v>
      </c>
      <c r="E787" t="s">
        <v>172</v>
      </c>
      <c r="F787" t="s">
        <v>47</v>
      </c>
      <c r="G787" t="s">
        <v>35</v>
      </c>
      <c r="H787" t="s">
        <v>248</v>
      </c>
      <c r="I787" t="s">
        <v>249</v>
      </c>
      <c r="J787" t="s">
        <v>38</v>
      </c>
      <c r="K787" t="s">
        <v>134</v>
      </c>
      <c r="L787" t="s">
        <v>2472</v>
      </c>
      <c r="M787" t="s">
        <v>54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165</v>
      </c>
      <c r="U787" t="s">
        <v>78</v>
      </c>
      <c r="V787" t="str">
        <f t="shared" si="120"/>
        <v/>
      </c>
      <c r="W787" t="str">
        <f t="shared" si="121"/>
        <v/>
      </c>
      <c r="X787">
        <f t="shared" si="122"/>
        <v>1.3271856563895552</v>
      </c>
      <c r="Y787">
        <f t="shared" si="123"/>
        <v>4519.41</v>
      </c>
      <c r="Z787">
        <f t="shared" si="124"/>
        <v>1015.25</v>
      </c>
      <c r="AA787">
        <f t="shared" si="125"/>
        <v>0.22464215461752751</v>
      </c>
      <c r="AB787">
        <f t="shared" si="126"/>
        <v>6</v>
      </c>
      <c r="AC787" t="str">
        <f t="shared" si="127"/>
        <v>May</v>
      </c>
      <c r="AD787">
        <f t="shared" si="128"/>
        <v>2024</v>
      </c>
      <c r="AE787" t="str">
        <f t="shared" si="129"/>
        <v>WARNING</v>
      </c>
    </row>
    <row r="788" spans="1:31">
      <c r="A788" t="s">
        <v>2473</v>
      </c>
      <c r="B788" s="3">
        <v>45815</v>
      </c>
      <c r="C788" s="3">
        <v>45846</v>
      </c>
      <c r="D788" t="s">
        <v>2474</v>
      </c>
      <c r="E788" t="s">
        <v>72</v>
      </c>
      <c r="F788" t="s">
        <v>100</v>
      </c>
      <c r="G788" t="s">
        <v>35</v>
      </c>
      <c r="H788" t="s">
        <v>36</v>
      </c>
      <c r="I788" t="s">
        <v>37</v>
      </c>
      <c r="J788" t="s">
        <v>51</v>
      </c>
      <c r="K788" t="s">
        <v>67</v>
      </c>
      <c r="L788" t="s">
        <v>2475</v>
      </c>
      <c r="M788" t="s">
        <v>215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112</v>
      </c>
      <c r="U788" t="s">
        <v>113</v>
      </c>
      <c r="V788" t="str">
        <f t="shared" si="120"/>
        <v/>
      </c>
      <c r="W788" t="str">
        <f t="shared" si="121"/>
        <v/>
      </c>
      <c r="X788">
        <f t="shared" si="122"/>
        <v>-0.58747117266059101</v>
      </c>
      <c r="Y788">
        <f t="shared" si="123"/>
        <v>2718.71</v>
      </c>
      <c r="Z788">
        <f t="shared" si="124"/>
        <v>653.65999999999985</v>
      </c>
      <c r="AA788">
        <f t="shared" si="125"/>
        <v>0.24043020403058799</v>
      </c>
      <c r="AB788">
        <f t="shared" si="126"/>
        <v>31</v>
      </c>
      <c r="AC788" t="str">
        <f t="shared" si="127"/>
        <v>June</v>
      </c>
      <c r="AD788">
        <f t="shared" si="128"/>
        <v>2025</v>
      </c>
      <c r="AE788" t="str">
        <f t="shared" si="129"/>
        <v>CLEAN</v>
      </c>
    </row>
    <row r="789" spans="1:31">
      <c r="A789" t="s">
        <v>2476</v>
      </c>
      <c r="B789" s="3">
        <v>45547</v>
      </c>
      <c r="C789" s="3">
        <v>45553</v>
      </c>
      <c r="D789" t="s">
        <v>2477</v>
      </c>
      <c r="E789" t="s">
        <v>72</v>
      </c>
      <c r="F789" t="s">
        <v>105</v>
      </c>
      <c r="G789" t="s">
        <v>48</v>
      </c>
      <c r="H789" t="s">
        <v>155</v>
      </c>
      <c r="I789" t="s">
        <v>156</v>
      </c>
      <c r="J789" t="s">
        <v>38</v>
      </c>
      <c r="K789" t="s">
        <v>39</v>
      </c>
      <c r="L789" t="s">
        <v>2478</v>
      </c>
      <c r="M789" t="s">
        <v>41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42</v>
      </c>
      <c r="U789" t="s">
        <v>43</v>
      </c>
      <c r="V789" t="str">
        <f t="shared" si="120"/>
        <v/>
      </c>
      <c r="W789" t="str">
        <f t="shared" si="121"/>
        <v/>
      </c>
      <c r="X789">
        <f t="shared" si="122"/>
        <v>-0.58747117266059101</v>
      </c>
      <c r="Y789">
        <f t="shared" si="123"/>
        <v>7065.6629999999996</v>
      </c>
      <c r="Z789">
        <f t="shared" si="124"/>
        <v>2150.3929999999991</v>
      </c>
      <c r="AA789">
        <f t="shared" si="125"/>
        <v>0.30434412170521002</v>
      </c>
      <c r="AB789">
        <f t="shared" si="126"/>
        <v>6</v>
      </c>
      <c r="AC789" t="str">
        <f t="shared" si="127"/>
        <v>September</v>
      </c>
      <c r="AD789">
        <f t="shared" si="128"/>
        <v>2024</v>
      </c>
      <c r="AE789" t="str">
        <f t="shared" si="129"/>
        <v>CLEAN</v>
      </c>
    </row>
    <row r="790" spans="1:31">
      <c r="A790" t="s">
        <v>2479</v>
      </c>
      <c r="B790" s="3">
        <v>45505</v>
      </c>
      <c r="C790" s="3">
        <v>45506</v>
      </c>
      <c r="D790" t="s">
        <v>2480</v>
      </c>
      <c r="E790" t="s">
        <v>57</v>
      </c>
      <c r="F790" t="s">
        <v>100</v>
      </c>
      <c r="G790" t="s">
        <v>35</v>
      </c>
      <c r="H790" t="s">
        <v>146</v>
      </c>
      <c r="I790" t="s">
        <v>147</v>
      </c>
      <c r="J790" t="s">
        <v>51</v>
      </c>
      <c r="K790" t="s">
        <v>76</v>
      </c>
      <c r="L790" t="s">
        <v>2481</v>
      </c>
      <c r="M790" t="s">
        <v>69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165</v>
      </c>
      <c r="U790" t="s">
        <v>113</v>
      </c>
      <c r="V790" t="str">
        <f t="shared" si="120"/>
        <v/>
      </c>
      <c r="W790" t="str">
        <f t="shared" si="121"/>
        <v/>
      </c>
      <c r="X790">
        <f t="shared" si="122"/>
        <v>-0.10880696539805437</v>
      </c>
      <c r="Y790">
        <f t="shared" si="123"/>
        <v>17911.007999999998</v>
      </c>
      <c r="Z790">
        <f t="shared" si="124"/>
        <v>6364.9579999999987</v>
      </c>
      <c r="AA790">
        <f t="shared" si="125"/>
        <v>0.35536570582738836</v>
      </c>
      <c r="AB790">
        <f t="shared" si="126"/>
        <v>1</v>
      </c>
      <c r="AC790" t="str">
        <f t="shared" si="127"/>
        <v>August</v>
      </c>
      <c r="AD790">
        <f t="shared" si="128"/>
        <v>2024</v>
      </c>
      <c r="AE790" t="str">
        <f t="shared" si="129"/>
        <v>CLEAN</v>
      </c>
    </row>
    <row r="791" spans="1:31">
      <c r="A791" t="s">
        <v>2482</v>
      </c>
      <c r="B791" s="3">
        <v>45723</v>
      </c>
      <c r="C791" s="3">
        <v>45724</v>
      </c>
      <c r="D791" t="s">
        <v>2483</v>
      </c>
      <c r="E791" t="s">
        <v>124</v>
      </c>
      <c r="F791" t="s">
        <v>105</v>
      </c>
      <c r="G791" t="s">
        <v>215</v>
      </c>
      <c r="H791" t="s">
        <v>36</v>
      </c>
      <c r="I791" t="s">
        <v>119</v>
      </c>
      <c r="J791" t="s">
        <v>84</v>
      </c>
      <c r="K791" t="s">
        <v>90</v>
      </c>
      <c r="L791" t="s">
        <v>2484</v>
      </c>
      <c r="M791" t="s">
        <v>54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42</v>
      </c>
      <c r="U791" t="s">
        <v>43</v>
      </c>
      <c r="V791" t="str">
        <f t="shared" si="120"/>
        <v/>
      </c>
      <c r="W791" t="str">
        <f t="shared" si="121"/>
        <v/>
      </c>
      <c r="X791">
        <f t="shared" si="122"/>
        <v>-1.0661353799231277</v>
      </c>
      <c r="Y791">
        <f t="shared" si="123"/>
        <v>14149.92</v>
      </c>
      <c r="Z791">
        <f t="shared" si="124"/>
        <v>4683.41</v>
      </c>
      <c r="AA791">
        <f t="shared" si="125"/>
        <v>0.33098491016203624</v>
      </c>
      <c r="AB791">
        <f t="shared" si="126"/>
        <v>1</v>
      </c>
      <c r="AC791" t="str">
        <f t="shared" si="127"/>
        <v>March</v>
      </c>
      <c r="AD791">
        <f t="shared" si="128"/>
        <v>2025</v>
      </c>
      <c r="AE791" t="str">
        <f t="shared" si="129"/>
        <v>CLEAN</v>
      </c>
    </row>
    <row r="792" spans="1:31">
      <c r="A792" t="s">
        <v>2485</v>
      </c>
      <c r="B792" s="3">
        <v>45443</v>
      </c>
      <c r="C792" s="3">
        <v>45445</v>
      </c>
      <c r="D792" t="s">
        <v>2486</v>
      </c>
      <c r="E792" t="s">
        <v>128</v>
      </c>
      <c r="F792" t="s">
        <v>100</v>
      </c>
      <c r="G792" t="s">
        <v>64</v>
      </c>
      <c r="H792" t="s">
        <v>94</v>
      </c>
      <c r="I792" t="s">
        <v>95</v>
      </c>
      <c r="J792" t="s">
        <v>38</v>
      </c>
      <c r="K792" t="s">
        <v>58</v>
      </c>
      <c r="L792" t="s">
        <v>2487</v>
      </c>
      <c r="M792" t="s">
        <v>69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42</v>
      </c>
      <c r="U792" t="s">
        <v>43</v>
      </c>
      <c r="V792" t="str">
        <f t="shared" si="120"/>
        <v/>
      </c>
      <c r="W792" t="str">
        <f t="shared" si="121"/>
        <v/>
      </c>
      <c r="X792">
        <f t="shared" si="122"/>
        <v>0.84852144912701888</v>
      </c>
      <c r="Y792">
        <f t="shared" si="123"/>
        <v>4272.576</v>
      </c>
      <c r="Z792">
        <f t="shared" si="124"/>
        <v>943.65599999999995</v>
      </c>
      <c r="AA792">
        <f t="shared" si="125"/>
        <v>0.22086347908147214</v>
      </c>
      <c r="AB792">
        <f t="shared" si="126"/>
        <v>2</v>
      </c>
      <c r="AC792" t="str">
        <f t="shared" si="127"/>
        <v>May</v>
      </c>
      <c r="AD792">
        <f t="shared" si="128"/>
        <v>2024</v>
      </c>
      <c r="AE792" t="str">
        <f t="shared" si="129"/>
        <v>CLEAN</v>
      </c>
    </row>
    <row r="793" spans="1:31">
      <c r="A793" t="s">
        <v>2488</v>
      </c>
      <c r="B793" s="3">
        <v>45567</v>
      </c>
      <c r="C793" s="3">
        <v>45571</v>
      </c>
      <c r="D793" t="s">
        <v>2489</v>
      </c>
      <c r="E793" t="s">
        <v>128</v>
      </c>
      <c r="F793" t="s">
        <v>105</v>
      </c>
      <c r="G793" t="s">
        <v>64</v>
      </c>
      <c r="H793" t="s">
        <v>185</v>
      </c>
      <c r="I793" t="s">
        <v>186</v>
      </c>
      <c r="J793" t="s">
        <v>51</v>
      </c>
      <c r="K793" t="s">
        <v>168</v>
      </c>
      <c r="L793" t="s">
        <v>2490</v>
      </c>
      <c r="M793" t="s">
        <v>54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42</v>
      </c>
      <c r="U793" t="s">
        <v>43</v>
      </c>
      <c r="V793" t="str">
        <f t="shared" si="120"/>
        <v/>
      </c>
      <c r="W793" t="str">
        <f t="shared" si="121"/>
        <v/>
      </c>
      <c r="X793">
        <f t="shared" si="122"/>
        <v>1.3271856563895552</v>
      </c>
      <c r="Y793">
        <f t="shared" si="123"/>
        <v>9352.619999999999</v>
      </c>
      <c r="Z793">
        <f t="shared" si="124"/>
        <v>4083.2099999999991</v>
      </c>
      <c r="AA793">
        <f t="shared" si="125"/>
        <v>0.43658461479243243</v>
      </c>
      <c r="AB793">
        <f t="shared" si="126"/>
        <v>4</v>
      </c>
      <c r="AC793" t="str">
        <f t="shared" si="127"/>
        <v>October</v>
      </c>
      <c r="AD793">
        <f t="shared" si="128"/>
        <v>2024</v>
      </c>
      <c r="AE793" t="str">
        <f t="shared" si="129"/>
        <v>CLEAN</v>
      </c>
    </row>
    <row r="794" spans="1:31">
      <c r="A794" t="s">
        <v>2491</v>
      </c>
      <c r="B794" s="3">
        <v>45812</v>
      </c>
      <c r="C794" s="3">
        <v>45816</v>
      </c>
      <c r="D794" t="s">
        <v>2492</v>
      </c>
      <c r="E794" t="s">
        <v>63</v>
      </c>
      <c r="F794" t="s">
        <v>47</v>
      </c>
      <c r="G794" t="s">
        <v>48</v>
      </c>
      <c r="H794" t="s">
        <v>176</v>
      </c>
      <c r="I794" t="s">
        <v>177</v>
      </c>
      <c r="J794" t="s">
        <v>51</v>
      </c>
      <c r="K794" t="s">
        <v>67</v>
      </c>
      <c r="L794" t="s">
        <v>2493</v>
      </c>
      <c r="M794" t="s">
        <v>41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42</v>
      </c>
      <c r="U794" t="s">
        <v>113</v>
      </c>
      <c r="V794" t="str">
        <f t="shared" si="120"/>
        <v/>
      </c>
      <c r="W794" t="str">
        <f t="shared" si="121"/>
        <v/>
      </c>
      <c r="X794">
        <f t="shared" si="122"/>
        <v>0.84852144912701888</v>
      </c>
      <c r="Y794">
        <f t="shared" si="123"/>
        <v>2800.8960000000002</v>
      </c>
      <c r="Z794">
        <f t="shared" si="124"/>
        <v>1064.9160000000002</v>
      </c>
      <c r="AA794">
        <f t="shared" si="125"/>
        <v>0.38020547710446945</v>
      </c>
      <c r="AB794">
        <f t="shared" si="126"/>
        <v>4</v>
      </c>
      <c r="AC794" t="str">
        <f t="shared" si="127"/>
        <v>June</v>
      </c>
      <c r="AD794">
        <f t="shared" si="128"/>
        <v>2025</v>
      </c>
      <c r="AE794" t="str">
        <f t="shared" si="129"/>
        <v>CLEAN</v>
      </c>
    </row>
    <row r="795" spans="1:31">
      <c r="A795" t="s">
        <v>2494</v>
      </c>
      <c r="B795" s="3">
        <v>45440</v>
      </c>
      <c r="C795" s="3">
        <v>45446</v>
      </c>
      <c r="D795" t="s">
        <v>2495</v>
      </c>
      <c r="E795" t="s">
        <v>81</v>
      </c>
      <c r="F795" t="s">
        <v>100</v>
      </c>
      <c r="G795" t="s">
        <v>35</v>
      </c>
      <c r="H795" t="s">
        <v>36</v>
      </c>
      <c r="I795" t="s">
        <v>37</v>
      </c>
      <c r="J795" t="s">
        <v>84</v>
      </c>
      <c r="K795" t="s">
        <v>90</v>
      </c>
      <c r="L795" t="s">
        <v>2496</v>
      </c>
      <c r="M795" t="s">
        <v>41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42</v>
      </c>
      <c r="U795" t="s">
        <v>43</v>
      </c>
      <c r="V795" t="str">
        <f t="shared" si="120"/>
        <v/>
      </c>
      <c r="W795" t="str">
        <f t="shared" si="121"/>
        <v/>
      </c>
      <c r="X795">
        <f t="shared" si="122"/>
        <v>-1.0661353799231277</v>
      </c>
      <c r="Y795">
        <f t="shared" si="123"/>
        <v>21511.599999999999</v>
      </c>
      <c r="Z795">
        <f t="shared" si="124"/>
        <v>6103.1299999999992</v>
      </c>
      <c r="AA795">
        <f t="shared" si="125"/>
        <v>0.28371343833094703</v>
      </c>
      <c r="AB795">
        <f t="shared" si="126"/>
        <v>6</v>
      </c>
      <c r="AC795" t="str">
        <f t="shared" si="127"/>
        <v>May</v>
      </c>
      <c r="AD795">
        <f t="shared" si="128"/>
        <v>2024</v>
      </c>
      <c r="AE795" t="str">
        <f t="shared" si="129"/>
        <v>CLEAN</v>
      </c>
    </row>
    <row r="796" spans="1:31">
      <c r="A796" t="s">
        <v>2497</v>
      </c>
      <c r="B796" s="3">
        <v>45830</v>
      </c>
      <c r="C796" s="3">
        <v>45832</v>
      </c>
      <c r="D796" t="s">
        <v>2498</v>
      </c>
      <c r="E796" t="s">
        <v>142</v>
      </c>
      <c r="F796" t="s">
        <v>100</v>
      </c>
      <c r="G796" t="s">
        <v>48</v>
      </c>
      <c r="H796" t="s">
        <v>176</v>
      </c>
      <c r="I796" t="s">
        <v>177</v>
      </c>
      <c r="J796" t="s">
        <v>38</v>
      </c>
      <c r="K796" t="s">
        <v>39</v>
      </c>
      <c r="L796" t="s">
        <v>2499</v>
      </c>
      <c r="M796" t="s">
        <v>69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42</v>
      </c>
      <c r="U796" t="s">
        <v>43</v>
      </c>
      <c r="V796" t="str">
        <f t="shared" si="120"/>
        <v/>
      </c>
      <c r="W796" t="str">
        <f t="shared" si="121"/>
        <v/>
      </c>
      <c r="X796">
        <f t="shared" si="122"/>
        <v>0.3698572418644821</v>
      </c>
      <c r="Y796">
        <f t="shared" si="123"/>
        <v>7279.3574999999992</v>
      </c>
      <c r="Z796">
        <f t="shared" si="124"/>
        <v>2408.9674999999988</v>
      </c>
      <c r="AA796">
        <f t="shared" si="125"/>
        <v>0.33093133562955235</v>
      </c>
      <c r="AB796">
        <f t="shared" si="126"/>
        <v>2</v>
      </c>
      <c r="AC796" t="str">
        <f t="shared" si="127"/>
        <v>June</v>
      </c>
      <c r="AD796">
        <f t="shared" si="128"/>
        <v>2025</v>
      </c>
      <c r="AE796" t="str">
        <f t="shared" si="129"/>
        <v>CLEAN</v>
      </c>
    </row>
    <row r="797" spans="1:31">
      <c r="A797" t="s">
        <v>2500</v>
      </c>
      <c r="B797" s="3">
        <v>45503</v>
      </c>
      <c r="C797" s="3">
        <v>45503</v>
      </c>
      <c r="D797" t="s">
        <v>2501</v>
      </c>
      <c r="E797" t="s">
        <v>172</v>
      </c>
      <c r="F797" t="s">
        <v>105</v>
      </c>
      <c r="G797" t="s">
        <v>48</v>
      </c>
      <c r="H797" t="s">
        <v>49</v>
      </c>
      <c r="I797" t="s">
        <v>50</v>
      </c>
      <c r="J797" t="s">
        <v>84</v>
      </c>
      <c r="K797" t="s">
        <v>90</v>
      </c>
      <c r="L797" t="s">
        <v>2502</v>
      </c>
      <c r="M797" t="s">
        <v>54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112</v>
      </c>
      <c r="U797" t="s">
        <v>78</v>
      </c>
      <c r="V797" t="str">
        <f t="shared" si="120"/>
        <v/>
      </c>
      <c r="W797" t="str">
        <f t="shared" si="121"/>
        <v/>
      </c>
      <c r="X797">
        <f t="shared" si="122"/>
        <v>-1.0661353799231277</v>
      </c>
      <c r="Y797">
        <f t="shared" si="123"/>
        <v>26051.94</v>
      </c>
      <c r="Z797">
        <f t="shared" si="124"/>
        <v>9168.3499999999985</v>
      </c>
      <c r="AA797">
        <f t="shared" si="125"/>
        <v>0.3519258066769691</v>
      </c>
      <c r="AB797">
        <f t="shared" si="126"/>
        <v>0</v>
      </c>
      <c r="AC797" t="str">
        <f t="shared" si="127"/>
        <v>July</v>
      </c>
      <c r="AD797">
        <f t="shared" si="128"/>
        <v>2024</v>
      </c>
      <c r="AE797" t="str">
        <f t="shared" si="129"/>
        <v>WARNING</v>
      </c>
    </row>
    <row r="798" spans="1:31">
      <c r="A798" t="s">
        <v>2503</v>
      </c>
      <c r="B798" s="3">
        <v>45374</v>
      </c>
      <c r="C798" s="3">
        <v>45381</v>
      </c>
      <c r="D798" t="s">
        <v>2504</v>
      </c>
      <c r="E798" t="s">
        <v>151</v>
      </c>
      <c r="F798" t="s">
        <v>47</v>
      </c>
      <c r="G798" t="s">
        <v>64</v>
      </c>
      <c r="H798" t="s">
        <v>94</v>
      </c>
      <c r="I798" t="s">
        <v>95</v>
      </c>
      <c r="J798" t="s">
        <v>84</v>
      </c>
      <c r="K798" t="s">
        <v>286</v>
      </c>
      <c r="L798" t="s">
        <v>2505</v>
      </c>
      <c r="M798" t="s">
        <v>60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42</v>
      </c>
      <c r="U798" t="s">
        <v>43</v>
      </c>
      <c r="V798" t="str">
        <f t="shared" si="120"/>
        <v/>
      </c>
      <c r="W798" t="str">
        <f t="shared" si="121"/>
        <v/>
      </c>
      <c r="X798">
        <f t="shared" si="122"/>
        <v>0.3698572418644821</v>
      </c>
      <c r="Y798">
        <f t="shared" si="123"/>
        <v>9661.6439999999984</v>
      </c>
      <c r="Z798">
        <f t="shared" si="124"/>
        <v>3357.873999999998</v>
      </c>
      <c r="AA798">
        <f t="shared" si="125"/>
        <v>0.34754685641491223</v>
      </c>
      <c r="AB798">
        <f t="shared" si="126"/>
        <v>7</v>
      </c>
      <c r="AC798" t="str">
        <f t="shared" si="127"/>
        <v>March</v>
      </c>
      <c r="AD798">
        <f t="shared" si="128"/>
        <v>2024</v>
      </c>
      <c r="AE798" t="str">
        <f t="shared" si="129"/>
        <v>CLEAN</v>
      </c>
    </row>
    <row r="799" spans="1:31">
      <c r="A799" t="s">
        <v>2506</v>
      </c>
      <c r="B799" s="3">
        <v>45400</v>
      </c>
      <c r="C799" s="3">
        <v>45404</v>
      </c>
      <c r="D799" t="s">
        <v>2507</v>
      </c>
      <c r="E799" t="s">
        <v>138</v>
      </c>
      <c r="F799" t="s">
        <v>34</v>
      </c>
      <c r="G799" t="s">
        <v>48</v>
      </c>
      <c r="H799" t="s">
        <v>49</v>
      </c>
      <c r="I799" t="s">
        <v>50</v>
      </c>
      <c r="J799" t="s">
        <v>38</v>
      </c>
      <c r="K799" t="s">
        <v>163</v>
      </c>
      <c r="L799" t="s">
        <v>2508</v>
      </c>
      <c r="M799" t="s">
        <v>60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165</v>
      </c>
      <c r="U799" t="s">
        <v>78</v>
      </c>
      <c r="V799" t="str">
        <f t="shared" si="120"/>
        <v/>
      </c>
      <c r="W799" t="str">
        <f t="shared" si="121"/>
        <v/>
      </c>
      <c r="X799">
        <f t="shared" si="122"/>
        <v>-1.0661353799231277</v>
      </c>
      <c r="Y799">
        <f t="shared" si="123"/>
        <v>13714.96</v>
      </c>
      <c r="Z799">
        <f t="shared" si="124"/>
        <v>3164.49</v>
      </c>
      <c r="AA799">
        <f t="shared" si="125"/>
        <v>0.23073271814135804</v>
      </c>
      <c r="AB799">
        <f t="shared" si="126"/>
        <v>4</v>
      </c>
      <c r="AC799" t="str">
        <f t="shared" si="127"/>
        <v>April</v>
      </c>
      <c r="AD799">
        <f t="shared" si="128"/>
        <v>2024</v>
      </c>
      <c r="AE799" t="str">
        <f t="shared" si="129"/>
        <v>WARNING</v>
      </c>
    </row>
    <row r="800" spans="1:31">
      <c r="A800" t="s">
        <v>2509</v>
      </c>
      <c r="B800" s="3">
        <v>45849</v>
      </c>
      <c r="C800" s="3">
        <v>45847</v>
      </c>
      <c r="D800" t="s">
        <v>2510</v>
      </c>
      <c r="E800" t="s">
        <v>99</v>
      </c>
      <c r="F800" t="s">
        <v>100</v>
      </c>
      <c r="G800" t="s">
        <v>35</v>
      </c>
      <c r="H800" t="s">
        <v>362</v>
      </c>
      <c r="I800" t="s">
        <v>363</v>
      </c>
      <c r="J800" t="s">
        <v>51</v>
      </c>
      <c r="K800" t="s">
        <v>67</v>
      </c>
      <c r="L800" t="s">
        <v>2511</v>
      </c>
      <c r="M800" t="s">
        <v>69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42</v>
      </c>
      <c r="U800" t="s">
        <v>43</v>
      </c>
      <c r="V800" t="str">
        <f t="shared" si="120"/>
        <v/>
      </c>
      <c r="W800" t="str">
        <f t="shared" si="121"/>
        <v>Invalid Shipping Record</v>
      </c>
      <c r="X800">
        <f t="shared" si="122"/>
        <v>-1.0661353799231277</v>
      </c>
      <c r="Y800">
        <f t="shared" si="123"/>
        <v>15354.449999999999</v>
      </c>
      <c r="Z800">
        <f t="shared" si="124"/>
        <v>5697.9499999999989</v>
      </c>
      <c r="AA800">
        <f t="shared" si="125"/>
        <v>0.37109437329243311</v>
      </c>
      <c r="AB800" t="e">
        <f t="shared" si="126"/>
        <v>#NUM!</v>
      </c>
      <c r="AC800" t="str">
        <f t="shared" si="127"/>
        <v>July</v>
      </c>
      <c r="AD800">
        <f t="shared" si="128"/>
        <v>2025</v>
      </c>
      <c r="AE800" t="str">
        <f t="shared" si="129"/>
        <v>INVALID</v>
      </c>
    </row>
    <row r="801" spans="1:31">
      <c r="A801" t="s">
        <v>2512</v>
      </c>
      <c r="B801" s="3">
        <v>45575</v>
      </c>
      <c r="C801" s="3">
        <v>45582</v>
      </c>
      <c r="D801" t="s">
        <v>2513</v>
      </c>
      <c r="E801" t="s">
        <v>57</v>
      </c>
      <c r="F801" t="s">
        <v>105</v>
      </c>
      <c r="G801" t="s">
        <v>35</v>
      </c>
      <c r="H801" t="s">
        <v>248</v>
      </c>
      <c r="I801" t="s">
        <v>249</v>
      </c>
      <c r="J801" t="s">
        <v>84</v>
      </c>
      <c r="K801" t="s">
        <v>85</v>
      </c>
      <c r="L801" t="s">
        <v>2514</v>
      </c>
      <c r="M801" t="s">
        <v>215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42</v>
      </c>
      <c r="U801" t="s">
        <v>113</v>
      </c>
      <c r="V801" t="str">
        <f t="shared" si="120"/>
        <v/>
      </c>
      <c r="W801" t="str">
        <f t="shared" si="121"/>
        <v/>
      </c>
      <c r="X801">
        <f t="shared" si="122"/>
        <v>-0.58747117266059101</v>
      </c>
      <c r="Y801">
        <f t="shared" si="123"/>
        <v>4595.1975000000002</v>
      </c>
      <c r="Z801">
        <f t="shared" si="124"/>
        <v>707.78750000000036</v>
      </c>
      <c r="AA801">
        <f t="shared" si="125"/>
        <v>0.15402765604742785</v>
      </c>
      <c r="AB801">
        <f t="shared" si="126"/>
        <v>7</v>
      </c>
      <c r="AC801" t="str">
        <f t="shared" si="127"/>
        <v>October</v>
      </c>
      <c r="AD801">
        <f t="shared" si="128"/>
        <v>2024</v>
      </c>
      <c r="AE801" t="str">
        <f t="shared" si="129"/>
        <v>CLEAN</v>
      </c>
    </row>
    <row r="802" spans="1:31">
      <c r="A802" t="s">
        <v>2515</v>
      </c>
      <c r="B802" s="3">
        <v>45352</v>
      </c>
      <c r="C802" s="3">
        <v>45358</v>
      </c>
      <c r="D802" t="s">
        <v>2516</v>
      </c>
      <c r="E802" t="s">
        <v>81</v>
      </c>
      <c r="F802" t="s">
        <v>47</v>
      </c>
      <c r="G802" t="s">
        <v>73</v>
      </c>
      <c r="H802" t="s">
        <v>74</v>
      </c>
      <c r="I802" t="s">
        <v>75</v>
      </c>
      <c r="J802" t="s">
        <v>38</v>
      </c>
      <c r="K802" t="s">
        <v>134</v>
      </c>
      <c r="L802" t="s">
        <v>2517</v>
      </c>
      <c r="M802" t="s">
        <v>41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42</v>
      </c>
      <c r="U802" t="s">
        <v>43</v>
      </c>
      <c r="V802" t="str">
        <f t="shared" si="120"/>
        <v/>
      </c>
      <c r="W802" t="str">
        <f t="shared" si="121"/>
        <v/>
      </c>
      <c r="X802">
        <f t="shared" si="122"/>
        <v>0.3698572418644821</v>
      </c>
      <c r="Y802">
        <f t="shared" si="123"/>
        <v>21234.971999999998</v>
      </c>
      <c r="Z802">
        <f t="shared" si="124"/>
        <v>4498.8819999999978</v>
      </c>
      <c r="AA802">
        <f t="shared" si="125"/>
        <v>0.21186192286950029</v>
      </c>
      <c r="AB802">
        <f t="shared" si="126"/>
        <v>6</v>
      </c>
      <c r="AC802" t="str">
        <f t="shared" si="127"/>
        <v>March</v>
      </c>
      <c r="AD802">
        <f t="shared" si="128"/>
        <v>2024</v>
      </c>
      <c r="AE802" t="str">
        <f t="shared" si="129"/>
        <v>CLEAN</v>
      </c>
    </row>
    <row r="803" spans="1:31">
      <c r="A803" t="s">
        <v>2518</v>
      </c>
      <c r="B803" s="3">
        <v>45938</v>
      </c>
      <c r="C803" s="3">
        <v>45945</v>
      </c>
      <c r="D803" t="s">
        <v>2519</v>
      </c>
      <c r="E803" t="s">
        <v>138</v>
      </c>
      <c r="F803" t="s">
        <v>105</v>
      </c>
      <c r="G803" t="s">
        <v>48</v>
      </c>
      <c r="H803" t="s">
        <v>49</v>
      </c>
      <c r="I803" t="s">
        <v>50</v>
      </c>
      <c r="J803" t="s">
        <v>84</v>
      </c>
      <c r="K803" t="s">
        <v>85</v>
      </c>
      <c r="L803" t="s">
        <v>2520</v>
      </c>
      <c r="M803" t="s">
        <v>41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121</v>
      </c>
      <c r="U803" t="s">
        <v>78</v>
      </c>
      <c r="V803" t="str">
        <f t="shared" si="120"/>
        <v/>
      </c>
      <c r="W803" t="str">
        <f t="shared" si="121"/>
        <v/>
      </c>
      <c r="X803">
        <f t="shared" si="122"/>
        <v>0.84852144912701888</v>
      </c>
      <c r="Y803">
        <f t="shared" si="123"/>
        <v>8093.304000000001</v>
      </c>
      <c r="Z803">
        <f t="shared" si="124"/>
        <v>2040.8740000000007</v>
      </c>
      <c r="AA803">
        <f t="shared" si="125"/>
        <v>0.25216821214179036</v>
      </c>
      <c r="AB803">
        <f t="shared" si="126"/>
        <v>7</v>
      </c>
      <c r="AC803" t="str">
        <f t="shared" si="127"/>
        <v>October</v>
      </c>
      <c r="AD803">
        <f t="shared" si="128"/>
        <v>2025</v>
      </c>
      <c r="AE803" t="str">
        <f t="shared" si="129"/>
        <v>WARNING</v>
      </c>
    </row>
    <row r="804" spans="1:31">
      <c r="A804" t="s">
        <v>2521</v>
      </c>
      <c r="B804" s="3">
        <v>45704</v>
      </c>
      <c r="C804" s="3">
        <v>45704</v>
      </c>
      <c r="D804" t="s">
        <v>2522</v>
      </c>
      <c r="E804" t="s">
        <v>151</v>
      </c>
      <c r="F804" t="s">
        <v>47</v>
      </c>
      <c r="G804" t="s">
        <v>48</v>
      </c>
      <c r="H804" t="s">
        <v>176</v>
      </c>
      <c r="I804" t="s">
        <v>177</v>
      </c>
      <c r="J804" t="s">
        <v>51</v>
      </c>
      <c r="K804" t="s">
        <v>67</v>
      </c>
      <c r="L804" t="s">
        <v>2523</v>
      </c>
      <c r="M804" t="s">
        <v>41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2524</v>
      </c>
      <c r="U804" t="s">
        <v>113</v>
      </c>
      <c r="V804" t="str">
        <f t="shared" si="120"/>
        <v/>
      </c>
      <c r="W804" t="str">
        <f t="shared" si="121"/>
        <v/>
      </c>
      <c r="X804">
        <f t="shared" si="122"/>
        <v>-1.0661353799231277</v>
      </c>
      <c r="Y804">
        <f t="shared" si="123"/>
        <v>8651.4600000000009</v>
      </c>
      <c r="Z804">
        <f t="shared" si="124"/>
        <v>3396.8400000000011</v>
      </c>
      <c r="AA804">
        <f t="shared" si="125"/>
        <v>0.39263199506210522</v>
      </c>
      <c r="AB804">
        <f t="shared" si="126"/>
        <v>0</v>
      </c>
      <c r="AC804" t="str">
        <f t="shared" si="127"/>
        <v>February</v>
      </c>
      <c r="AD804">
        <f t="shared" si="128"/>
        <v>2025</v>
      </c>
      <c r="AE804" t="str">
        <f t="shared" si="129"/>
        <v>CLEAN</v>
      </c>
    </row>
    <row r="805" spans="1:31">
      <c r="A805" t="s">
        <v>2525</v>
      </c>
      <c r="B805" s="3">
        <v>45635</v>
      </c>
      <c r="C805" s="3">
        <v>45639</v>
      </c>
      <c r="D805" t="s">
        <v>2526</v>
      </c>
      <c r="E805" t="s">
        <v>151</v>
      </c>
      <c r="F805" t="s">
        <v>34</v>
      </c>
      <c r="G805" t="s">
        <v>215</v>
      </c>
      <c r="H805" t="s">
        <v>240</v>
      </c>
      <c r="I805" t="s">
        <v>241</v>
      </c>
      <c r="J805" t="s">
        <v>38</v>
      </c>
      <c r="K805" t="s">
        <v>101</v>
      </c>
      <c r="L805" t="s">
        <v>2527</v>
      </c>
      <c r="M805" t="s">
        <v>60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42</v>
      </c>
      <c r="U805" t="s">
        <v>43</v>
      </c>
      <c r="V805" t="str">
        <f t="shared" si="120"/>
        <v/>
      </c>
      <c r="W805" t="str">
        <f t="shared" si="121"/>
        <v/>
      </c>
      <c r="X805">
        <f t="shared" si="122"/>
        <v>-1.0661353799231277</v>
      </c>
      <c r="Y805">
        <f t="shared" si="123"/>
        <v>4306.6499999999996</v>
      </c>
      <c r="Z805">
        <f t="shared" si="124"/>
        <v>1737.8299999999995</v>
      </c>
      <c r="AA805">
        <f t="shared" si="125"/>
        <v>0.40352245945224235</v>
      </c>
      <c r="AB805">
        <f t="shared" si="126"/>
        <v>4</v>
      </c>
      <c r="AC805" t="str">
        <f t="shared" si="127"/>
        <v>December</v>
      </c>
      <c r="AD805">
        <f t="shared" si="128"/>
        <v>2024</v>
      </c>
      <c r="AE805" t="str">
        <f t="shared" si="129"/>
        <v>CLEAN</v>
      </c>
    </row>
    <row r="806" spans="1:31">
      <c r="A806" t="s">
        <v>2528</v>
      </c>
      <c r="B806" s="3">
        <v>45910</v>
      </c>
      <c r="C806" s="3">
        <v>45918</v>
      </c>
      <c r="D806" t="s">
        <v>2529</v>
      </c>
      <c r="E806" t="s">
        <v>128</v>
      </c>
      <c r="F806" t="s">
        <v>105</v>
      </c>
      <c r="G806" t="s">
        <v>64</v>
      </c>
      <c r="H806" t="s">
        <v>65</v>
      </c>
      <c r="I806" t="s">
        <v>66</v>
      </c>
      <c r="J806" t="s">
        <v>51</v>
      </c>
      <c r="K806" t="s">
        <v>67</v>
      </c>
      <c r="L806" t="s">
        <v>2530</v>
      </c>
      <c r="M806" t="s">
        <v>69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42</v>
      </c>
      <c r="U806" t="s">
        <v>43</v>
      </c>
      <c r="V806" t="str">
        <f t="shared" si="120"/>
        <v/>
      </c>
      <c r="W806" t="str">
        <f t="shared" si="121"/>
        <v/>
      </c>
      <c r="X806">
        <f t="shared" si="122"/>
        <v>-0.58747117266059101</v>
      </c>
      <c r="Y806">
        <f t="shared" si="123"/>
        <v>1948.0889999999997</v>
      </c>
      <c r="Z806">
        <f t="shared" si="124"/>
        <v>441.00899999999979</v>
      </c>
      <c r="AA806">
        <f t="shared" si="125"/>
        <v>0.22638031424642296</v>
      </c>
      <c r="AB806">
        <f t="shared" si="126"/>
        <v>8</v>
      </c>
      <c r="AC806" t="str">
        <f t="shared" si="127"/>
        <v>September</v>
      </c>
      <c r="AD806">
        <f t="shared" si="128"/>
        <v>2025</v>
      </c>
      <c r="AE806" t="str">
        <f t="shared" si="129"/>
        <v>CLEAN</v>
      </c>
    </row>
    <row r="807" spans="1:31">
      <c r="A807" t="s">
        <v>2531</v>
      </c>
      <c r="B807" s="3">
        <v>45753</v>
      </c>
      <c r="C807" s="3">
        <v>45754</v>
      </c>
      <c r="D807" t="s">
        <v>2394</v>
      </c>
      <c r="E807" t="s">
        <v>124</v>
      </c>
      <c r="F807" t="s">
        <v>105</v>
      </c>
      <c r="G807" t="s">
        <v>48</v>
      </c>
      <c r="H807" t="s">
        <v>176</v>
      </c>
      <c r="I807" t="s">
        <v>177</v>
      </c>
      <c r="J807" t="s">
        <v>38</v>
      </c>
      <c r="K807" t="s">
        <v>163</v>
      </c>
      <c r="L807" t="s">
        <v>2532</v>
      </c>
      <c r="M807" t="s">
        <v>41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42</v>
      </c>
      <c r="U807" t="s">
        <v>43</v>
      </c>
      <c r="V807" t="str">
        <f t="shared" si="120"/>
        <v/>
      </c>
      <c r="W807" t="str">
        <f t="shared" si="121"/>
        <v/>
      </c>
      <c r="X807">
        <f t="shared" si="122"/>
        <v>1.3271856563895552</v>
      </c>
      <c r="Y807">
        <f t="shared" si="123"/>
        <v>3045.09</v>
      </c>
      <c r="Z807">
        <f t="shared" si="124"/>
        <v>444</v>
      </c>
      <c r="AA807">
        <f t="shared" si="125"/>
        <v>0.14580849827098705</v>
      </c>
      <c r="AB807">
        <f t="shared" si="126"/>
        <v>1</v>
      </c>
      <c r="AC807" t="str">
        <f t="shared" si="127"/>
        <v>April</v>
      </c>
      <c r="AD807">
        <f t="shared" si="128"/>
        <v>2025</v>
      </c>
      <c r="AE807" t="str">
        <f t="shared" si="129"/>
        <v>CLEAN</v>
      </c>
    </row>
    <row r="808" spans="1:31">
      <c r="A808" t="s">
        <v>2533</v>
      </c>
      <c r="B808" s="3">
        <v>45605</v>
      </c>
      <c r="C808" s="3">
        <v>45611</v>
      </c>
      <c r="D808" t="s">
        <v>2534</v>
      </c>
      <c r="E808" t="s">
        <v>57</v>
      </c>
      <c r="F808" t="s">
        <v>105</v>
      </c>
      <c r="G808" t="s">
        <v>35</v>
      </c>
      <c r="H808" t="s">
        <v>36</v>
      </c>
      <c r="I808" t="s">
        <v>37</v>
      </c>
      <c r="J808" t="s">
        <v>84</v>
      </c>
      <c r="K808" t="s">
        <v>90</v>
      </c>
      <c r="L808" t="s">
        <v>2535</v>
      </c>
      <c r="M808" t="s">
        <v>69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165</v>
      </c>
      <c r="U808" t="s">
        <v>78</v>
      </c>
      <c r="V808" t="str">
        <f t="shared" si="120"/>
        <v/>
      </c>
      <c r="W808" t="str">
        <f t="shared" si="121"/>
        <v/>
      </c>
      <c r="X808">
        <f t="shared" si="122"/>
        <v>0.84852144912701888</v>
      </c>
      <c r="Y808">
        <f t="shared" si="123"/>
        <v>2932.7759999999998</v>
      </c>
      <c r="Z808">
        <f t="shared" si="124"/>
        <v>1032.4259999999999</v>
      </c>
      <c r="AA808">
        <f t="shared" si="125"/>
        <v>0.35203029484692999</v>
      </c>
      <c r="AB808">
        <f t="shared" si="126"/>
        <v>6</v>
      </c>
      <c r="AC808" t="str">
        <f t="shared" si="127"/>
        <v>November</v>
      </c>
      <c r="AD808">
        <f t="shared" si="128"/>
        <v>2024</v>
      </c>
      <c r="AE808" t="str">
        <f t="shared" si="129"/>
        <v>WARNING</v>
      </c>
    </row>
    <row r="809" spans="1:31">
      <c r="A809" t="s">
        <v>2536</v>
      </c>
      <c r="B809" s="3">
        <v>45695</v>
      </c>
      <c r="C809" s="3">
        <v>45696</v>
      </c>
      <c r="D809" t="s">
        <v>2537</v>
      </c>
      <c r="E809" t="s">
        <v>33</v>
      </c>
      <c r="F809" t="s">
        <v>47</v>
      </c>
      <c r="G809" t="s">
        <v>64</v>
      </c>
      <c r="H809" t="s">
        <v>65</v>
      </c>
      <c r="I809" t="s">
        <v>66</v>
      </c>
      <c r="J809" t="s">
        <v>38</v>
      </c>
      <c r="K809" t="s">
        <v>101</v>
      </c>
      <c r="L809" t="s">
        <v>2538</v>
      </c>
      <c r="M809" t="s">
        <v>2539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42</v>
      </c>
      <c r="U809" t="s">
        <v>43</v>
      </c>
      <c r="V809" t="str">
        <f t="shared" si="120"/>
        <v/>
      </c>
      <c r="W809" t="str">
        <f t="shared" si="121"/>
        <v/>
      </c>
      <c r="X809">
        <f t="shared" si="122"/>
        <v>-0.10880696539805437</v>
      </c>
      <c r="Y809">
        <f t="shared" si="123"/>
        <v>4379.3640000000005</v>
      </c>
      <c r="Z809">
        <f t="shared" si="124"/>
        <v>655.43400000000065</v>
      </c>
      <c r="AA809">
        <f t="shared" si="125"/>
        <v>0.14966419781502532</v>
      </c>
      <c r="AB809">
        <f t="shared" si="126"/>
        <v>1</v>
      </c>
      <c r="AC809" t="str">
        <f t="shared" si="127"/>
        <v>February</v>
      </c>
      <c r="AD809">
        <f t="shared" si="128"/>
        <v>2025</v>
      </c>
      <c r="AE809" t="str">
        <f t="shared" si="129"/>
        <v>CLEAN</v>
      </c>
    </row>
    <row r="810" spans="1:31">
      <c r="A810" t="s">
        <v>2540</v>
      </c>
      <c r="B810" s="3">
        <v>45900</v>
      </c>
      <c r="C810" s="3">
        <v>45897</v>
      </c>
      <c r="D810" t="s">
        <v>2541</v>
      </c>
      <c r="E810" t="s">
        <v>138</v>
      </c>
      <c r="F810" t="s">
        <v>47</v>
      </c>
      <c r="G810" t="s">
        <v>64</v>
      </c>
      <c r="H810" t="s">
        <v>259</v>
      </c>
      <c r="I810" t="s">
        <v>260</v>
      </c>
      <c r="J810" t="s">
        <v>51</v>
      </c>
      <c r="K810" t="s">
        <v>67</v>
      </c>
      <c r="L810" t="s">
        <v>2542</v>
      </c>
      <c r="M810" t="s">
        <v>60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42</v>
      </c>
      <c r="U810" t="s">
        <v>43</v>
      </c>
      <c r="V810" t="str">
        <f t="shared" si="120"/>
        <v/>
      </c>
      <c r="W810" t="str">
        <f t="shared" si="121"/>
        <v>Invalid Shipping Record</v>
      </c>
      <c r="X810">
        <f t="shared" si="122"/>
        <v>0.84852144912701888</v>
      </c>
      <c r="Y810">
        <f t="shared" si="123"/>
        <v>5472.768</v>
      </c>
      <c r="Z810">
        <f t="shared" si="124"/>
        <v>995.4380000000001</v>
      </c>
      <c r="AA810">
        <f t="shared" si="125"/>
        <v>0.18188931085695575</v>
      </c>
      <c r="AB810" t="e">
        <f t="shared" si="126"/>
        <v>#NUM!</v>
      </c>
      <c r="AC810" t="str">
        <f t="shared" si="127"/>
        <v>August</v>
      </c>
      <c r="AD810">
        <f t="shared" si="128"/>
        <v>2025</v>
      </c>
      <c r="AE810" t="str">
        <f t="shared" si="129"/>
        <v>INVALID</v>
      </c>
    </row>
    <row r="811" spans="1:31">
      <c r="A811" t="s">
        <v>2543</v>
      </c>
      <c r="B811" s="3">
        <v>45833</v>
      </c>
      <c r="C811" s="3">
        <v>45833</v>
      </c>
      <c r="D811" t="s">
        <v>2544</v>
      </c>
      <c r="E811" t="s">
        <v>63</v>
      </c>
      <c r="F811" t="s">
        <v>47</v>
      </c>
      <c r="G811" t="s">
        <v>215</v>
      </c>
      <c r="H811" t="s">
        <v>132</v>
      </c>
      <c r="I811" t="s">
        <v>133</v>
      </c>
      <c r="J811" t="s">
        <v>38</v>
      </c>
      <c r="K811" t="s">
        <v>163</v>
      </c>
      <c r="L811" t="s">
        <v>2545</v>
      </c>
      <c r="M811" t="s">
        <v>41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42</v>
      </c>
      <c r="U811" t="s">
        <v>43</v>
      </c>
      <c r="V811" t="str">
        <f t="shared" si="120"/>
        <v/>
      </c>
      <c r="W811" t="str">
        <f t="shared" si="121"/>
        <v/>
      </c>
      <c r="X811">
        <f t="shared" si="122"/>
        <v>-0.10880696539805437</v>
      </c>
      <c r="Y811">
        <f t="shared" si="123"/>
        <v>7377.1020000000008</v>
      </c>
      <c r="Z811">
        <f t="shared" si="124"/>
        <v>2291.8920000000007</v>
      </c>
      <c r="AA811">
        <f t="shared" si="125"/>
        <v>0.31067646888981615</v>
      </c>
      <c r="AB811">
        <f t="shared" si="126"/>
        <v>0</v>
      </c>
      <c r="AC811" t="str">
        <f t="shared" si="127"/>
        <v>June</v>
      </c>
      <c r="AD811">
        <f t="shared" si="128"/>
        <v>2025</v>
      </c>
      <c r="AE811" t="str">
        <f t="shared" si="129"/>
        <v>CLEAN</v>
      </c>
    </row>
    <row r="812" spans="1:31">
      <c r="A812" t="s">
        <v>2546</v>
      </c>
      <c r="B812" s="3">
        <v>45355</v>
      </c>
      <c r="C812" s="3">
        <v>45390</v>
      </c>
      <c r="D812" t="s">
        <v>1700</v>
      </c>
      <c r="E812" t="s">
        <v>276</v>
      </c>
      <c r="F812" t="s">
        <v>105</v>
      </c>
      <c r="G812" t="s">
        <v>73</v>
      </c>
      <c r="H812" t="s">
        <v>190</v>
      </c>
      <c r="I812" t="s">
        <v>191</v>
      </c>
      <c r="J812" t="s">
        <v>84</v>
      </c>
      <c r="K812" t="s">
        <v>90</v>
      </c>
      <c r="L812" t="s">
        <v>2547</v>
      </c>
      <c r="M812" t="s">
        <v>60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42</v>
      </c>
      <c r="U812" t="s">
        <v>43</v>
      </c>
      <c r="V812" t="str">
        <f t="shared" si="120"/>
        <v/>
      </c>
      <c r="W812" t="str">
        <f t="shared" si="121"/>
        <v/>
      </c>
      <c r="X812">
        <f t="shared" si="122"/>
        <v>1.3271856563895552</v>
      </c>
      <c r="Y812">
        <f t="shared" si="123"/>
        <v>2363.8874999999998</v>
      </c>
      <c r="Z812">
        <f t="shared" si="124"/>
        <v>892.37749999999983</v>
      </c>
      <c r="AA812">
        <f t="shared" si="125"/>
        <v>0.37750421710000998</v>
      </c>
      <c r="AB812">
        <f t="shared" si="126"/>
        <v>35</v>
      </c>
      <c r="AC812" t="str">
        <f t="shared" si="127"/>
        <v>March</v>
      </c>
      <c r="AD812">
        <f t="shared" si="128"/>
        <v>2024</v>
      </c>
      <c r="AE812" t="str">
        <f t="shared" si="129"/>
        <v>CLEAN</v>
      </c>
    </row>
    <row r="813" spans="1:31">
      <c r="A813" t="s">
        <v>2548</v>
      </c>
      <c r="B813" s="3">
        <v>45638</v>
      </c>
      <c r="C813" s="3">
        <v>45645</v>
      </c>
      <c r="D813" t="s">
        <v>2549</v>
      </c>
      <c r="E813" t="s">
        <v>151</v>
      </c>
      <c r="F813" t="s">
        <v>105</v>
      </c>
      <c r="G813" t="s">
        <v>35</v>
      </c>
      <c r="H813" t="s">
        <v>248</v>
      </c>
      <c r="I813" t="s">
        <v>249</v>
      </c>
      <c r="J813" t="s">
        <v>84</v>
      </c>
      <c r="K813" t="s">
        <v>85</v>
      </c>
      <c r="L813" t="s">
        <v>2550</v>
      </c>
      <c r="M813" t="s">
        <v>60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42</v>
      </c>
      <c r="U813" t="s">
        <v>43</v>
      </c>
      <c r="V813" t="str">
        <f t="shared" si="120"/>
        <v/>
      </c>
      <c r="W813" t="str">
        <f t="shared" si="121"/>
        <v/>
      </c>
      <c r="X813">
        <f t="shared" si="122"/>
        <v>0.84852144912701888</v>
      </c>
      <c r="Y813">
        <f t="shared" si="123"/>
        <v>2577.2000000000003</v>
      </c>
      <c r="Z813">
        <f t="shared" si="124"/>
        <v>1101.3300000000004</v>
      </c>
      <c r="AA813">
        <f t="shared" si="125"/>
        <v>0.42733586838429316</v>
      </c>
      <c r="AB813">
        <f t="shared" si="126"/>
        <v>7</v>
      </c>
      <c r="AC813" t="str">
        <f t="shared" si="127"/>
        <v>December</v>
      </c>
      <c r="AD813">
        <f t="shared" si="128"/>
        <v>2024</v>
      </c>
      <c r="AE813" t="str">
        <f t="shared" si="129"/>
        <v>CLEAN</v>
      </c>
    </row>
    <row r="814" spans="1:31">
      <c r="A814" t="s">
        <v>2551</v>
      </c>
      <c r="B814" s="3">
        <v>45458</v>
      </c>
      <c r="C814" s="3">
        <v>45463</v>
      </c>
      <c r="D814" t="s">
        <v>2552</v>
      </c>
      <c r="E814" t="s">
        <v>142</v>
      </c>
      <c r="F814" t="s">
        <v>47</v>
      </c>
      <c r="G814" t="s">
        <v>48</v>
      </c>
      <c r="H814" t="s">
        <v>240</v>
      </c>
      <c r="I814" t="s">
        <v>241</v>
      </c>
      <c r="J814" t="s">
        <v>51</v>
      </c>
      <c r="K814" t="s">
        <v>52</v>
      </c>
      <c r="L814" t="s">
        <v>2553</v>
      </c>
      <c r="M814" t="s">
        <v>60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42</v>
      </c>
      <c r="U814" t="s">
        <v>43</v>
      </c>
      <c r="V814" t="str">
        <f t="shared" si="120"/>
        <v/>
      </c>
      <c r="W814" t="str">
        <f t="shared" si="121"/>
        <v/>
      </c>
      <c r="X814">
        <f t="shared" si="122"/>
        <v>-1.0661353799231277</v>
      </c>
      <c r="Y814">
        <f t="shared" si="123"/>
        <v>17827.759999999998</v>
      </c>
      <c r="Z814">
        <f t="shared" si="124"/>
        <v>3705.6299999999992</v>
      </c>
      <c r="AA814">
        <f t="shared" si="125"/>
        <v>0.20785729671029896</v>
      </c>
      <c r="AB814">
        <f t="shared" si="126"/>
        <v>5</v>
      </c>
      <c r="AC814" t="str">
        <f t="shared" si="127"/>
        <v>June</v>
      </c>
      <c r="AD814">
        <f t="shared" si="128"/>
        <v>2024</v>
      </c>
      <c r="AE814" t="str">
        <f t="shared" si="129"/>
        <v>CLEAN</v>
      </c>
    </row>
    <row r="815" spans="1:31">
      <c r="A815" t="s">
        <v>2554</v>
      </c>
      <c r="B815" s="3">
        <v>45812</v>
      </c>
      <c r="C815" s="3">
        <v>45757</v>
      </c>
      <c r="D815" t="s">
        <v>2555</v>
      </c>
      <c r="E815" t="s">
        <v>151</v>
      </c>
      <c r="F815" t="s">
        <v>34</v>
      </c>
      <c r="G815" t="s">
        <v>48</v>
      </c>
      <c r="H815" t="s">
        <v>49</v>
      </c>
      <c r="I815" t="s">
        <v>50</v>
      </c>
      <c r="J815" t="s">
        <v>51</v>
      </c>
      <c r="K815" t="s">
        <v>168</v>
      </c>
      <c r="L815" t="s">
        <v>1147</v>
      </c>
      <c r="M815" t="s">
        <v>69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42</v>
      </c>
      <c r="U815" t="s">
        <v>43</v>
      </c>
      <c r="V815" t="str">
        <f t="shared" si="120"/>
        <v/>
      </c>
      <c r="W815" t="str">
        <f t="shared" si="121"/>
        <v>Invalid Shipping Record</v>
      </c>
      <c r="X815">
        <f t="shared" si="122"/>
        <v>-1.0661353799231277</v>
      </c>
      <c r="Y815">
        <f t="shared" si="123"/>
        <v>2675.34</v>
      </c>
      <c r="Z815">
        <f t="shared" si="124"/>
        <v>1079.4700000000003</v>
      </c>
      <c r="AA815">
        <f t="shared" si="125"/>
        <v>0.40348890234512258</v>
      </c>
      <c r="AB815" t="e">
        <f t="shared" si="126"/>
        <v>#NUM!</v>
      </c>
      <c r="AC815" t="str">
        <f t="shared" si="127"/>
        <v>June</v>
      </c>
      <c r="AD815">
        <f t="shared" si="128"/>
        <v>2025</v>
      </c>
      <c r="AE815" t="str">
        <f t="shared" si="129"/>
        <v>INVALID</v>
      </c>
    </row>
    <row r="816" spans="1:31">
      <c r="A816" t="s">
        <v>2556</v>
      </c>
      <c r="B816" s="3">
        <v>45875</v>
      </c>
      <c r="C816" s="3">
        <v>45880</v>
      </c>
      <c r="D816" t="s">
        <v>2557</v>
      </c>
      <c r="E816" t="s">
        <v>63</v>
      </c>
      <c r="F816" t="s">
        <v>34</v>
      </c>
      <c r="G816" t="s">
        <v>73</v>
      </c>
      <c r="H816" t="s">
        <v>82</v>
      </c>
      <c r="I816" t="s">
        <v>83</v>
      </c>
      <c r="J816" t="s">
        <v>38</v>
      </c>
      <c r="K816" t="s">
        <v>101</v>
      </c>
      <c r="L816" t="s">
        <v>2558</v>
      </c>
      <c r="M816" t="s">
        <v>60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42</v>
      </c>
      <c r="U816" t="s">
        <v>43</v>
      </c>
      <c r="V816" t="str">
        <f t="shared" si="120"/>
        <v/>
      </c>
      <c r="W816" t="str">
        <f t="shared" si="121"/>
        <v/>
      </c>
      <c r="X816">
        <f t="shared" si="122"/>
        <v>1.3271856563895552</v>
      </c>
      <c r="Y816">
        <f t="shared" si="123"/>
        <v>3563.91</v>
      </c>
      <c r="Z816">
        <f t="shared" si="124"/>
        <v>924.21</v>
      </c>
      <c r="AA816">
        <f t="shared" si="125"/>
        <v>0.25932473042248544</v>
      </c>
      <c r="AB816">
        <f t="shared" si="126"/>
        <v>5</v>
      </c>
      <c r="AC816" t="str">
        <f t="shared" si="127"/>
        <v>August</v>
      </c>
      <c r="AD816">
        <f t="shared" si="128"/>
        <v>2025</v>
      </c>
      <c r="AE816" t="str">
        <f t="shared" si="129"/>
        <v>CLEAN</v>
      </c>
    </row>
    <row r="817" spans="1:31">
      <c r="A817" t="s">
        <v>2559</v>
      </c>
      <c r="B817" s="3">
        <v>45295</v>
      </c>
      <c r="C817" s="3">
        <v>45390</v>
      </c>
      <c r="D817" t="s">
        <v>2560</v>
      </c>
      <c r="E817" t="s">
        <v>172</v>
      </c>
      <c r="F817" t="s">
        <v>34</v>
      </c>
      <c r="G817" t="s">
        <v>48</v>
      </c>
      <c r="H817" t="s">
        <v>49</v>
      </c>
      <c r="I817" t="s">
        <v>50</v>
      </c>
      <c r="J817" t="s">
        <v>84</v>
      </c>
      <c r="K817" t="s">
        <v>286</v>
      </c>
      <c r="L817" t="s">
        <v>2561</v>
      </c>
      <c r="M817" t="s">
        <v>69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121</v>
      </c>
      <c r="U817" t="s">
        <v>78</v>
      </c>
      <c r="V817" t="str">
        <f t="shared" si="120"/>
        <v/>
      </c>
      <c r="W817" t="str">
        <f t="shared" si="121"/>
        <v/>
      </c>
      <c r="X817">
        <f t="shared" si="122"/>
        <v>0.3698572418644821</v>
      </c>
      <c r="Y817">
        <f t="shared" si="123"/>
        <v>4259.0694999999996</v>
      </c>
      <c r="Z817">
        <f t="shared" si="124"/>
        <v>1128.7494999999994</v>
      </c>
      <c r="AA817">
        <f t="shared" si="125"/>
        <v>0.26502255950507486</v>
      </c>
      <c r="AB817">
        <f t="shared" si="126"/>
        <v>95</v>
      </c>
      <c r="AC817" t="str">
        <f t="shared" si="127"/>
        <v>January</v>
      </c>
      <c r="AD817">
        <f t="shared" si="128"/>
        <v>2024</v>
      </c>
      <c r="AE817" t="str">
        <f t="shared" si="129"/>
        <v>WARNING</v>
      </c>
    </row>
    <row r="818" spans="1:31">
      <c r="A818" t="s">
        <v>2562</v>
      </c>
      <c r="B818" s="3">
        <v>45623</v>
      </c>
      <c r="C818" s="3">
        <v>45626</v>
      </c>
      <c r="D818" t="s">
        <v>2563</v>
      </c>
      <c r="E818" t="s">
        <v>128</v>
      </c>
      <c r="F818" t="s">
        <v>47</v>
      </c>
      <c r="G818" t="s">
        <v>48</v>
      </c>
      <c r="H818" t="s">
        <v>240</v>
      </c>
      <c r="I818" t="s">
        <v>241</v>
      </c>
      <c r="J818" t="s">
        <v>51</v>
      </c>
      <c r="K818" t="s">
        <v>67</v>
      </c>
      <c r="L818" t="s">
        <v>2564</v>
      </c>
      <c r="M818" t="s">
        <v>60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42</v>
      </c>
      <c r="U818" t="s">
        <v>43</v>
      </c>
      <c r="V818" t="str">
        <f t="shared" si="120"/>
        <v/>
      </c>
      <c r="W818" t="str">
        <f t="shared" si="121"/>
        <v/>
      </c>
      <c r="X818">
        <f t="shared" si="122"/>
        <v>-0.10880696539805437</v>
      </c>
      <c r="Y818">
        <f t="shared" si="123"/>
        <v>786.87</v>
      </c>
      <c r="Z818">
        <f t="shared" si="124"/>
        <v>288.37</v>
      </c>
      <c r="AA818">
        <f t="shared" si="125"/>
        <v>0.36647730883119195</v>
      </c>
      <c r="AB818">
        <f t="shared" si="126"/>
        <v>3</v>
      </c>
      <c r="AC818" t="str">
        <f t="shared" si="127"/>
        <v>November</v>
      </c>
      <c r="AD818">
        <f t="shared" si="128"/>
        <v>2024</v>
      </c>
      <c r="AE818" t="str">
        <f t="shared" si="129"/>
        <v>CLEAN</v>
      </c>
    </row>
    <row r="819" spans="1:31">
      <c r="A819" t="s">
        <v>2565</v>
      </c>
      <c r="B819" s="3">
        <v>45752</v>
      </c>
      <c r="C819" s="3">
        <v>45781</v>
      </c>
      <c r="D819" t="s">
        <v>2566</v>
      </c>
      <c r="E819" t="s">
        <v>142</v>
      </c>
      <c r="F819" t="s">
        <v>34</v>
      </c>
      <c r="G819" t="s">
        <v>48</v>
      </c>
      <c r="H819" t="s">
        <v>155</v>
      </c>
      <c r="I819" t="s">
        <v>156</v>
      </c>
      <c r="J819" t="s">
        <v>38</v>
      </c>
      <c r="K819" t="s">
        <v>163</v>
      </c>
      <c r="L819" t="s">
        <v>2567</v>
      </c>
      <c r="M819" t="s">
        <v>69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42</v>
      </c>
      <c r="U819" t="s">
        <v>43</v>
      </c>
      <c r="V819" t="str">
        <f t="shared" si="120"/>
        <v/>
      </c>
      <c r="W819" t="str">
        <f t="shared" si="121"/>
        <v/>
      </c>
      <c r="X819">
        <f t="shared" si="122"/>
        <v>1.3271856563895552</v>
      </c>
      <c r="Y819">
        <f t="shared" si="123"/>
        <v>8233.6049999999996</v>
      </c>
      <c r="Z819">
        <f t="shared" si="124"/>
        <v>3519.8149999999996</v>
      </c>
      <c r="AA819">
        <f t="shared" si="125"/>
        <v>0.42749378917254349</v>
      </c>
      <c r="AB819">
        <f t="shared" si="126"/>
        <v>29</v>
      </c>
      <c r="AC819" t="str">
        <f t="shared" si="127"/>
        <v>April</v>
      </c>
      <c r="AD819">
        <f t="shared" si="128"/>
        <v>2025</v>
      </c>
      <c r="AE819" t="str">
        <f t="shared" si="129"/>
        <v>CLEAN</v>
      </c>
    </row>
    <row r="820" spans="1:31">
      <c r="A820" t="s">
        <v>2568</v>
      </c>
      <c r="B820" s="3">
        <v>45564</v>
      </c>
      <c r="C820" s="3">
        <v>45570</v>
      </c>
      <c r="D820" t="s">
        <v>2569</v>
      </c>
      <c r="E820" t="s">
        <v>124</v>
      </c>
      <c r="F820" t="s">
        <v>47</v>
      </c>
      <c r="G820" t="s">
        <v>73</v>
      </c>
      <c r="H820" t="s">
        <v>74</v>
      </c>
      <c r="I820" t="s">
        <v>75</v>
      </c>
      <c r="J820" t="s">
        <v>38</v>
      </c>
      <c r="K820" t="s">
        <v>101</v>
      </c>
      <c r="L820" t="s">
        <v>2570</v>
      </c>
      <c r="M820" t="s">
        <v>60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42</v>
      </c>
      <c r="U820" t="s">
        <v>43</v>
      </c>
      <c r="V820" t="str">
        <f t="shared" si="120"/>
        <v>Invalid Discount</v>
      </c>
      <c r="W820" t="str">
        <f t="shared" si="121"/>
        <v/>
      </c>
      <c r="X820">
        <f t="shared" si="122"/>
        <v>-2.4063951602582305</v>
      </c>
      <c r="Y820">
        <f t="shared" si="123"/>
        <v>18067.084800000001</v>
      </c>
      <c r="Z820">
        <f t="shared" si="124"/>
        <v>7978.4348000000009</v>
      </c>
      <c r="AA820">
        <f t="shared" si="125"/>
        <v>0.44160056192352631</v>
      </c>
      <c r="AB820">
        <f t="shared" si="126"/>
        <v>6</v>
      </c>
      <c r="AC820" t="str">
        <f t="shared" si="127"/>
        <v>September</v>
      </c>
      <c r="AD820">
        <f t="shared" si="128"/>
        <v>2024</v>
      </c>
      <c r="AE820" t="str">
        <f t="shared" si="129"/>
        <v>INVALID</v>
      </c>
    </row>
    <row r="821" spans="1:31">
      <c r="A821" t="s">
        <v>2571</v>
      </c>
      <c r="B821" s="3">
        <v>45504</v>
      </c>
      <c r="C821" s="3">
        <v>45504</v>
      </c>
      <c r="D821" t="s">
        <v>2572</v>
      </c>
      <c r="E821" t="s">
        <v>33</v>
      </c>
      <c r="F821" t="s">
        <v>105</v>
      </c>
      <c r="G821" t="s">
        <v>64</v>
      </c>
      <c r="H821" t="s">
        <v>195</v>
      </c>
      <c r="I821" t="s">
        <v>196</v>
      </c>
      <c r="J821" t="s">
        <v>84</v>
      </c>
      <c r="K821" t="s">
        <v>2573</v>
      </c>
      <c r="L821" t="s">
        <v>2574</v>
      </c>
      <c r="M821" t="s">
        <v>69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165</v>
      </c>
      <c r="U821" t="s">
        <v>78</v>
      </c>
      <c r="V821" t="str">
        <f t="shared" si="120"/>
        <v/>
      </c>
      <c r="W821" t="str">
        <f t="shared" si="121"/>
        <v/>
      </c>
      <c r="X821">
        <f t="shared" si="122"/>
        <v>-1.0661353799231277</v>
      </c>
      <c r="Y821">
        <f t="shared" si="123"/>
        <v>33968.080000000002</v>
      </c>
      <c r="Z821">
        <f t="shared" si="124"/>
        <v>7065.6400000000031</v>
      </c>
      <c r="AA821">
        <f t="shared" si="125"/>
        <v>0.20800822419165294</v>
      </c>
      <c r="AB821">
        <f t="shared" si="126"/>
        <v>0</v>
      </c>
      <c r="AC821" t="str">
        <f t="shared" si="127"/>
        <v>July</v>
      </c>
      <c r="AD821">
        <f t="shared" si="128"/>
        <v>2024</v>
      </c>
      <c r="AE821" t="str">
        <f t="shared" si="129"/>
        <v>WARNING</v>
      </c>
    </row>
    <row r="822" spans="1:31">
      <c r="A822" t="s">
        <v>2575</v>
      </c>
      <c r="B822" s="3">
        <v>45694</v>
      </c>
      <c r="C822" s="3">
        <v>45698</v>
      </c>
      <c r="D822" t="s">
        <v>2576</v>
      </c>
      <c r="E822" t="s">
        <v>72</v>
      </c>
      <c r="F822" t="s">
        <v>105</v>
      </c>
      <c r="G822" t="s">
        <v>35</v>
      </c>
      <c r="H822" t="s">
        <v>146</v>
      </c>
      <c r="I822" t="s">
        <v>147</v>
      </c>
      <c r="J822" t="s">
        <v>51</v>
      </c>
      <c r="K822" t="s">
        <v>168</v>
      </c>
      <c r="L822" t="s">
        <v>2577</v>
      </c>
      <c r="M822" t="s">
        <v>69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42</v>
      </c>
      <c r="U822" t="s">
        <v>43</v>
      </c>
      <c r="V822" t="str">
        <f t="shared" si="120"/>
        <v/>
      </c>
      <c r="W822" t="str">
        <f t="shared" si="121"/>
        <v/>
      </c>
      <c r="X822">
        <f t="shared" si="122"/>
        <v>0.84852144912701888</v>
      </c>
      <c r="Y822">
        <f t="shared" si="123"/>
        <v>511.31200000000001</v>
      </c>
      <c r="Z822">
        <f t="shared" si="124"/>
        <v>74.882000000000005</v>
      </c>
      <c r="AA822">
        <f t="shared" si="125"/>
        <v>0.14645069937728825</v>
      </c>
      <c r="AB822">
        <f t="shared" si="126"/>
        <v>4</v>
      </c>
      <c r="AC822" t="str">
        <f t="shared" si="127"/>
        <v>February</v>
      </c>
      <c r="AD822">
        <f t="shared" si="128"/>
        <v>2025</v>
      </c>
      <c r="AE822" t="str">
        <f t="shared" si="129"/>
        <v>CLEAN</v>
      </c>
    </row>
    <row r="823" spans="1:31">
      <c r="A823" t="s">
        <v>2578</v>
      </c>
      <c r="B823" s="3">
        <v>45476</v>
      </c>
      <c r="C823" s="3">
        <v>45479</v>
      </c>
      <c r="D823" t="s">
        <v>2579</v>
      </c>
      <c r="E823" t="s">
        <v>138</v>
      </c>
      <c r="F823" t="s">
        <v>100</v>
      </c>
      <c r="G823" t="s">
        <v>64</v>
      </c>
      <c r="H823" t="s">
        <v>185</v>
      </c>
      <c r="I823" t="s">
        <v>186</v>
      </c>
      <c r="J823" t="s">
        <v>84</v>
      </c>
      <c r="K823" t="s">
        <v>85</v>
      </c>
      <c r="L823" t="s">
        <v>2580</v>
      </c>
      <c r="M823" t="s">
        <v>60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42</v>
      </c>
      <c r="U823" t="s">
        <v>43</v>
      </c>
      <c r="V823" t="str">
        <f t="shared" si="120"/>
        <v/>
      </c>
      <c r="W823" t="str">
        <f t="shared" si="121"/>
        <v/>
      </c>
      <c r="X823">
        <f t="shared" si="122"/>
        <v>0.84852144912701888</v>
      </c>
      <c r="Y823">
        <f t="shared" si="123"/>
        <v>10877.944000000001</v>
      </c>
      <c r="Z823">
        <f t="shared" si="124"/>
        <v>1767.8040000000019</v>
      </c>
      <c r="AA823">
        <f t="shared" si="125"/>
        <v>0.16251269541376584</v>
      </c>
      <c r="AB823">
        <f t="shared" si="126"/>
        <v>3</v>
      </c>
      <c r="AC823" t="str">
        <f t="shared" si="127"/>
        <v>July</v>
      </c>
      <c r="AD823">
        <f t="shared" si="128"/>
        <v>2024</v>
      </c>
      <c r="AE823" t="str">
        <f t="shared" si="129"/>
        <v>CLEAN</v>
      </c>
    </row>
    <row r="824" spans="1:31">
      <c r="A824" t="s">
        <v>2581</v>
      </c>
      <c r="B824" s="3">
        <v>45636</v>
      </c>
      <c r="C824" s="3">
        <v>45573</v>
      </c>
      <c r="D824" t="s">
        <v>2582</v>
      </c>
      <c r="E824" t="s">
        <v>46</v>
      </c>
      <c r="F824" t="s">
        <v>100</v>
      </c>
      <c r="G824" t="s">
        <v>48</v>
      </c>
      <c r="H824" t="s">
        <v>176</v>
      </c>
      <c r="I824" t="s">
        <v>177</v>
      </c>
      <c r="J824" t="s">
        <v>51</v>
      </c>
      <c r="K824" t="s">
        <v>67</v>
      </c>
      <c r="L824" t="s">
        <v>2583</v>
      </c>
      <c r="M824" t="s">
        <v>41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121</v>
      </c>
      <c r="U824" t="s">
        <v>113</v>
      </c>
      <c r="V824" t="str">
        <f t="shared" si="120"/>
        <v/>
      </c>
      <c r="W824" t="str">
        <f t="shared" si="121"/>
        <v>Invalid Shipping Record</v>
      </c>
      <c r="X824">
        <f t="shared" si="122"/>
        <v>0.84852144912701888</v>
      </c>
      <c r="Y824">
        <f t="shared" si="123"/>
        <v>10246.528</v>
      </c>
      <c r="Z824">
        <f t="shared" si="124"/>
        <v>1612.1080000000002</v>
      </c>
      <c r="AA824">
        <f t="shared" si="125"/>
        <v>0.15733212264681268</v>
      </c>
      <c r="AB824" t="e">
        <f t="shared" si="126"/>
        <v>#NUM!</v>
      </c>
      <c r="AC824" t="str">
        <f t="shared" si="127"/>
        <v>December</v>
      </c>
      <c r="AD824">
        <f t="shared" si="128"/>
        <v>2024</v>
      </c>
      <c r="AE824" t="str">
        <f t="shared" si="129"/>
        <v>INVALID</v>
      </c>
    </row>
    <row r="825" spans="1:31">
      <c r="A825" t="s">
        <v>2584</v>
      </c>
      <c r="B825" s="3">
        <v>45663</v>
      </c>
      <c r="C825" s="3">
        <v>45669</v>
      </c>
      <c r="D825" t="s">
        <v>2585</v>
      </c>
      <c r="E825" t="s">
        <v>46</v>
      </c>
      <c r="F825" t="s">
        <v>105</v>
      </c>
      <c r="G825" t="s">
        <v>73</v>
      </c>
      <c r="H825" t="s">
        <v>200</v>
      </c>
      <c r="I825" t="s">
        <v>201</v>
      </c>
      <c r="J825" t="s">
        <v>38</v>
      </c>
      <c r="K825" t="s">
        <v>39</v>
      </c>
      <c r="L825" t="s">
        <v>2586</v>
      </c>
      <c r="M825" t="s">
        <v>54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42</v>
      </c>
      <c r="U825" t="s">
        <v>43</v>
      </c>
      <c r="V825" t="str">
        <f t="shared" si="120"/>
        <v/>
      </c>
      <c r="W825" t="str">
        <f t="shared" si="121"/>
        <v/>
      </c>
      <c r="X825">
        <f t="shared" si="122"/>
        <v>0.3698572418644821</v>
      </c>
      <c r="Y825">
        <f t="shared" si="123"/>
        <v>1704.2415000000001</v>
      </c>
      <c r="Z825">
        <f t="shared" si="124"/>
        <v>746.69150000000013</v>
      </c>
      <c r="AA825">
        <f t="shared" si="125"/>
        <v>0.43813714194848563</v>
      </c>
      <c r="AB825">
        <f t="shared" si="126"/>
        <v>6</v>
      </c>
      <c r="AC825" t="str">
        <f t="shared" si="127"/>
        <v>January</v>
      </c>
      <c r="AD825">
        <f t="shared" si="128"/>
        <v>2025</v>
      </c>
      <c r="AE825" t="str">
        <f t="shared" si="129"/>
        <v>CLEAN</v>
      </c>
    </row>
    <row r="826" spans="1:31">
      <c r="A826" t="s">
        <v>2587</v>
      </c>
      <c r="B826" s="3">
        <v>45737</v>
      </c>
      <c r="C826" s="3">
        <v>45738</v>
      </c>
      <c r="D826" t="s">
        <v>2588</v>
      </c>
      <c r="E826" t="s">
        <v>124</v>
      </c>
      <c r="F826" t="s">
        <v>34</v>
      </c>
      <c r="G826" t="s">
        <v>73</v>
      </c>
      <c r="H826" t="s">
        <v>200</v>
      </c>
      <c r="I826" t="s">
        <v>201</v>
      </c>
      <c r="J826" t="s">
        <v>38</v>
      </c>
      <c r="K826" t="s">
        <v>39</v>
      </c>
      <c r="L826" t="s">
        <v>2589</v>
      </c>
      <c r="M826" t="s">
        <v>60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42</v>
      </c>
      <c r="U826" t="s">
        <v>43</v>
      </c>
      <c r="V826" t="str">
        <f t="shared" si="120"/>
        <v/>
      </c>
      <c r="W826" t="str">
        <f t="shared" si="121"/>
        <v/>
      </c>
      <c r="X826">
        <f t="shared" si="122"/>
        <v>-0.58747117266059101</v>
      </c>
      <c r="Y826">
        <f t="shared" si="123"/>
        <v>33719.223999999995</v>
      </c>
      <c r="Z826">
        <f t="shared" si="124"/>
        <v>4794.7939999999944</v>
      </c>
      <c r="AA826">
        <f t="shared" si="125"/>
        <v>0.14219763776295669</v>
      </c>
      <c r="AB826">
        <f t="shared" si="126"/>
        <v>1</v>
      </c>
      <c r="AC826" t="str">
        <f t="shared" si="127"/>
        <v>March</v>
      </c>
      <c r="AD826">
        <f t="shared" si="128"/>
        <v>2025</v>
      </c>
      <c r="AE826" t="str">
        <f t="shared" si="129"/>
        <v>CLEAN</v>
      </c>
    </row>
    <row r="827" spans="1:31">
      <c r="A827" t="s">
        <v>2590</v>
      </c>
      <c r="B827" s="3">
        <v>45763</v>
      </c>
      <c r="C827" s="3">
        <v>45764</v>
      </c>
      <c r="D827" t="s">
        <v>2591</v>
      </c>
      <c r="E827" t="s">
        <v>81</v>
      </c>
      <c r="F827" t="s">
        <v>47</v>
      </c>
      <c r="G827" t="s">
        <v>35</v>
      </c>
      <c r="H827" t="s">
        <v>146</v>
      </c>
      <c r="I827" t="s">
        <v>147</v>
      </c>
      <c r="J827" t="s">
        <v>84</v>
      </c>
      <c r="K827" t="s">
        <v>286</v>
      </c>
      <c r="L827" t="s">
        <v>2592</v>
      </c>
      <c r="M827" t="s">
        <v>60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42</v>
      </c>
      <c r="U827" t="s">
        <v>43</v>
      </c>
      <c r="V827" t="str">
        <f t="shared" si="120"/>
        <v/>
      </c>
      <c r="W827" t="str">
        <f t="shared" si="121"/>
        <v/>
      </c>
      <c r="X827">
        <f t="shared" si="122"/>
        <v>-1.0661353799231277</v>
      </c>
      <c r="Y827">
        <f t="shared" si="123"/>
        <v>2720.17</v>
      </c>
      <c r="Z827">
        <f t="shared" si="124"/>
        <v>885.94</v>
      </c>
      <c r="AA827">
        <f t="shared" si="125"/>
        <v>0.3256928794891496</v>
      </c>
      <c r="AB827">
        <f t="shared" si="126"/>
        <v>1</v>
      </c>
      <c r="AC827" t="str">
        <f t="shared" si="127"/>
        <v>April</v>
      </c>
      <c r="AD827">
        <f t="shared" si="128"/>
        <v>2025</v>
      </c>
      <c r="AE827" t="str">
        <f t="shared" si="129"/>
        <v>CLEAN</v>
      </c>
    </row>
    <row r="828" spans="1:31">
      <c r="A828" t="s">
        <v>2593</v>
      </c>
      <c r="B828" s="3">
        <v>45879</v>
      </c>
      <c r="C828" s="3">
        <v>45883</v>
      </c>
      <c r="D828" t="s">
        <v>2594</v>
      </c>
      <c r="E828" t="s">
        <v>99</v>
      </c>
      <c r="F828" t="s">
        <v>34</v>
      </c>
      <c r="G828" t="s">
        <v>73</v>
      </c>
      <c r="H828" t="s">
        <v>36</v>
      </c>
      <c r="I828" t="s">
        <v>119</v>
      </c>
      <c r="J828" t="s">
        <v>84</v>
      </c>
      <c r="K828" t="s">
        <v>85</v>
      </c>
      <c r="L828" t="s">
        <v>2595</v>
      </c>
      <c r="M828" t="s">
        <v>69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42</v>
      </c>
      <c r="U828" t="s">
        <v>43</v>
      </c>
      <c r="V828" t="str">
        <f t="shared" si="120"/>
        <v/>
      </c>
      <c r="W828" t="str">
        <f t="shared" si="121"/>
        <v/>
      </c>
      <c r="X828">
        <f t="shared" si="122"/>
        <v>1.3271856563895552</v>
      </c>
      <c r="Y828">
        <f t="shared" si="123"/>
        <v>8213.0249999999996</v>
      </c>
      <c r="Z828">
        <f t="shared" si="124"/>
        <v>2643.7249999999995</v>
      </c>
      <c r="AA828">
        <f t="shared" si="125"/>
        <v>0.32189418636860345</v>
      </c>
      <c r="AB828">
        <f t="shared" si="126"/>
        <v>4</v>
      </c>
      <c r="AC828" t="str">
        <f t="shared" si="127"/>
        <v>August</v>
      </c>
      <c r="AD828">
        <f t="shared" si="128"/>
        <v>2025</v>
      </c>
      <c r="AE828" t="str">
        <f t="shared" si="129"/>
        <v>CLEAN</v>
      </c>
    </row>
    <row r="829" spans="1:31">
      <c r="A829" t="s">
        <v>2596</v>
      </c>
      <c r="B829" s="3">
        <v>45620</v>
      </c>
      <c r="C829" s="3">
        <v>45627</v>
      </c>
      <c r="D829" t="s">
        <v>2597</v>
      </c>
      <c r="E829" t="s">
        <v>124</v>
      </c>
      <c r="F829" t="s">
        <v>105</v>
      </c>
      <c r="G829" t="s">
        <v>64</v>
      </c>
      <c r="H829" t="s">
        <v>259</v>
      </c>
      <c r="I829" t="s">
        <v>260</v>
      </c>
      <c r="J829" t="s">
        <v>38</v>
      </c>
      <c r="K829" t="s">
        <v>39</v>
      </c>
      <c r="L829" t="s">
        <v>2598</v>
      </c>
      <c r="M829" t="s">
        <v>54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42</v>
      </c>
      <c r="U829" t="s">
        <v>78</v>
      </c>
      <c r="V829" t="str">
        <f t="shared" si="120"/>
        <v/>
      </c>
      <c r="W829" t="str">
        <f t="shared" si="121"/>
        <v/>
      </c>
      <c r="X829">
        <f t="shared" si="122"/>
        <v>1.3271856563895552</v>
      </c>
      <c r="Y829">
        <f t="shared" si="123"/>
        <v>633.66750000000002</v>
      </c>
      <c r="Z829">
        <f t="shared" si="124"/>
        <v>113.19749999999999</v>
      </c>
      <c r="AA829">
        <f t="shared" si="125"/>
        <v>0.17863863934950111</v>
      </c>
      <c r="AB829">
        <f t="shared" si="126"/>
        <v>7</v>
      </c>
      <c r="AC829" t="str">
        <f t="shared" si="127"/>
        <v>November</v>
      </c>
      <c r="AD829">
        <f t="shared" si="128"/>
        <v>2024</v>
      </c>
      <c r="AE829" t="str">
        <f t="shared" si="129"/>
        <v>WARNING</v>
      </c>
    </row>
    <row r="830" spans="1:31">
      <c r="A830" t="s">
        <v>2599</v>
      </c>
      <c r="B830" s="3">
        <v>45940</v>
      </c>
      <c r="C830" s="3">
        <v>45941</v>
      </c>
      <c r="D830" t="s">
        <v>2600</v>
      </c>
      <c r="E830" t="s">
        <v>33</v>
      </c>
      <c r="F830" t="s">
        <v>100</v>
      </c>
      <c r="G830" t="s">
        <v>48</v>
      </c>
      <c r="H830" t="s">
        <v>49</v>
      </c>
      <c r="I830" t="s">
        <v>50</v>
      </c>
      <c r="J830" t="s">
        <v>51</v>
      </c>
      <c r="K830" t="s">
        <v>76</v>
      </c>
      <c r="L830" t="s">
        <v>2601</v>
      </c>
      <c r="M830" t="s">
        <v>41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165</v>
      </c>
      <c r="U830" t="s">
        <v>78</v>
      </c>
      <c r="V830" t="str">
        <f t="shared" si="120"/>
        <v/>
      </c>
      <c r="W830" t="str">
        <f t="shared" si="121"/>
        <v/>
      </c>
      <c r="X830">
        <f t="shared" si="122"/>
        <v>-0.58747117266059101</v>
      </c>
      <c r="Y830">
        <f t="shared" si="123"/>
        <v>25216.534</v>
      </c>
      <c r="Z830">
        <f t="shared" si="124"/>
        <v>10999.593999999999</v>
      </c>
      <c r="AA830">
        <f t="shared" si="125"/>
        <v>0.4362056260388521</v>
      </c>
      <c r="AB830">
        <f t="shared" si="126"/>
        <v>1</v>
      </c>
      <c r="AC830" t="str">
        <f t="shared" si="127"/>
        <v>October</v>
      </c>
      <c r="AD830">
        <f t="shared" si="128"/>
        <v>2025</v>
      </c>
      <c r="AE830" t="str">
        <f t="shared" si="129"/>
        <v>WARNING</v>
      </c>
    </row>
    <row r="831" spans="1:31">
      <c r="A831" t="s">
        <v>2602</v>
      </c>
      <c r="B831" s="3">
        <v>45348</v>
      </c>
      <c r="C831" s="3">
        <v>45350</v>
      </c>
      <c r="D831" t="s">
        <v>2603</v>
      </c>
      <c r="E831" t="s">
        <v>99</v>
      </c>
      <c r="F831" t="s">
        <v>47</v>
      </c>
      <c r="G831" t="s">
        <v>73</v>
      </c>
      <c r="H831" t="s">
        <v>200</v>
      </c>
      <c r="I831" t="s">
        <v>201</v>
      </c>
      <c r="J831" t="s">
        <v>51</v>
      </c>
      <c r="K831" t="s">
        <v>67</v>
      </c>
      <c r="L831" t="s">
        <v>2604</v>
      </c>
      <c r="M831" t="s">
        <v>41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42</v>
      </c>
      <c r="U831" t="s">
        <v>43</v>
      </c>
      <c r="V831" t="str">
        <f t="shared" si="120"/>
        <v/>
      </c>
      <c r="W831" t="str">
        <f t="shared" si="121"/>
        <v/>
      </c>
      <c r="X831">
        <f t="shared" si="122"/>
        <v>-0.10880696539805437</v>
      </c>
      <c r="Y831">
        <f t="shared" si="123"/>
        <v>6521.3820000000005</v>
      </c>
      <c r="Z831">
        <f t="shared" si="124"/>
        <v>2010.2820000000002</v>
      </c>
      <c r="AA831">
        <f t="shared" si="125"/>
        <v>0.30826012032418892</v>
      </c>
      <c r="AB831">
        <f t="shared" si="126"/>
        <v>2</v>
      </c>
      <c r="AC831" t="str">
        <f t="shared" si="127"/>
        <v>February</v>
      </c>
      <c r="AD831">
        <f t="shared" si="128"/>
        <v>2024</v>
      </c>
      <c r="AE831" t="str">
        <f t="shared" si="129"/>
        <v>CLEAN</v>
      </c>
    </row>
    <row r="832" spans="1:31">
      <c r="A832" t="s">
        <v>2605</v>
      </c>
      <c r="B832" s="3">
        <v>45853</v>
      </c>
      <c r="C832" s="3">
        <v>45856</v>
      </c>
      <c r="D832" t="s">
        <v>2606</v>
      </c>
      <c r="E832" t="s">
        <v>99</v>
      </c>
      <c r="F832" t="s">
        <v>47</v>
      </c>
      <c r="G832" t="s">
        <v>215</v>
      </c>
      <c r="H832" t="s">
        <v>259</v>
      </c>
      <c r="I832" t="s">
        <v>260</v>
      </c>
      <c r="J832" t="s">
        <v>84</v>
      </c>
      <c r="K832" t="s">
        <v>286</v>
      </c>
      <c r="L832" t="s">
        <v>2607</v>
      </c>
      <c r="M832" t="s">
        <v>60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42</v>
      </c>
      <c r="U832" t="s">
        <v>43</v>
      </c>
      <c r="V832" t="str">
        <f t="shared" si="120"/>
        <v/>
      </c>
      <c r="W832" t="str">
        <f t="shared" si="121"/>
        <v/>
      </c>
      <c r="X832">
        <f t="shared" si="122"/>
        <v>-0.10880696539805437</v>
      </c>
      <c r="Y832">
        <f t="shared" si="123"/>
        <v>12867.552000000001</v>
      </c>
      <c r="Z832">
        <f t="shared" si="124"/>
        <v>2798.612000000001</v>
      </c>
      <c r="AA832">
        <f t="shared" si="125"/>
        <v>0.21749373929089236</v>
      </c>
      <c r="AB832">
        <f t="shared" si="126"/>
        <v>3</v>
      </c>
      <c r="AC832" t="str">
        <f t="shared" si="127"/>
        <v>July</v>
      </c>
      <c r="AD832">
        <f t="shared" si="128"/>
        <v>2025</v>
      </c>
      <c r="AE832" t="str">
        <f t="shared" si="129"/>
        <v>CLEAN</v>
      </c>
    </row>
    <row r="833" spans="1:31">
      <c r="A833" t="s">
        <v>2608</v>
      </c>
      <c r="B833" s="3">
        <v>45720</v>
      </c>
      <c r="C833" s="3">
        <v>45750</v>
      </c>
      <c r="D833" t="s">
        <v>2609</v>
      </c>
      <c r="E833" t="s">
        <v>172</v>
      </c>
      <c r="F833" t="s">
        <v>105</v>
      </c>
      <c r="G833" t="s">
        <v>215</v>
      </c>
      <c r="H833" t="s">
        <v>248</v>
      </c>
      <c r="I833" t="s">
        <v>249</v>
      </c>
      <c r="J833" t="s">
        <v>51</v>
      </c>
      <c r="K833" t="s">
        <v>76</v>
      </c>
      <c r="L833" t="s">
        <v>2610</v>
      </c>
      <c r="M833" t="s">
        <v>60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165</v>
      </c>
      <c r="U833" t="s">
        <v>113</v>
      </c>
      <c r="V833" t="str">
        <f t="shared" si="120"/>
        <v/>
      </c>
      <c r="W833" t="str">
        <f t="shared" si="121"/>
        <v/>
      </c>
      <c r="X833">
        <f t="shared" si="122"/>
        <v>0.3698572418644821</v>
      </c>
      <c r="Y833">
        <f t="shared" si="123"/>
        <v>26489.654999999999</v>
      </c>
      <c r="Z833">
        <f t="shared" si="124"/>
        <v>10671.195</v>
      </c>
      <c r="AA833">
        <f t="shared" si="125"/>
        <v>0.40284386489744772</v>
      </c>
      <c r="AB833">
        <f t="shared" si="126"/>
        <v>30</v>
      </c>
      <c r="AC833" t="str">
        <f t="shared" si="127"/>
        <v>March</v>
      </c>
      <c r="AD833">
        <f t="shared" si="128"/>
        <v>2025</v>
      </c>
      <c r="AE833" t="str">
        <f t="shared" si="129"/>
        <v>CLEAN</v>
      </c>
    </row>
    <row r="834" spans="1:31">
      <c r="A834" t="s">
        <v>2611</v>
      </c>
      <c r="B834" s="3">
        <v>45803</v>
      </c>
      <c r="C834" s="3">
        <v>45805</v>
      </c>
      <c r="D834" t="s">
        <v>2612</v>
      </c>
      <c r="E834" t="s">
        <v>276</v>
      </c>
      <c r="F834" t="s">
        <v>47</v>
      </c>
      <c r="G834" t="s">
        <v>64</v>
      </c>
      <c r="H834" t="s">
        <v>94</v>
      </c>
      <c r="I834" t="s">
        <v>95</v>
      </c>
      <c r="J834" t="s">
        <v>84</v>
      </c>
      <c r="K834" t="s">
        <v>181</v>
      </c>
      <c r="L834" t="s">
        <v>2613</v>
      </c>
      <c r="M834" t="s">
        <v>41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42</v>
      </c>
      <c r="U834" t="s">
        <v>43</v>
      </c>
      <c r="V834" t="str">
        <f t="shared" si="120"/>
        <v/>
      </c>
      <c r="W834" t="str">
        <f t="shared" si="121"/>
        <v/>
      </c>
      <c r="X834">
        <f t="shared" si="122"/>
        <v>-0.58747117266059101</v>
      </c>
      <c r="Y834">
        <f t="shared" si="123"/>
        <v>36782.271000000008</v>
      </c>
      <c r="Z834">
        <f t="shared" si="124"/>
        <v>10879.461000000007</v>
      </c>
      <c r="AA834">
        <f t="shared" si="125"/>
        <v>0.29578002402298664</v>
      </c>
      <c r="AB834">
        <f t="shared" si="126"/>
        <v>2</v>
      </c>
      <c r="AC834" t="str">
        <f t="shared" si="127"/>
        <v>May</v>
      </c>
      <c r="AD834">
        <f t="shared" si="128"/>
        <v>2025</v>
      </c>
      <c r="AE834" t="str">
        <f t="shared" si="129"/>
        <v>CLEAN</v>
      </c>
    </row>
    <row r="835" spans="1:31">
      <c r="A835" t="s">
        <v>2614</v>
      </c>
      <c r="B835" s="3">
        <v>45447</v>
      </c>
      <c r="C835" s="3">
        <v>45388</v>
      </c>
      <c r="D835" t="s">
        <v>2615</v>
      </c>
      <c r="E835" t="s">
        <v>128</v>
      </c>
      <c r="F835" t="s">
        <v>105</v>
      </c>
      <c r="G835" t="s">
        <v>48</v>
      </c>
      <c r="H835" t="s">
        <v>109</v>
      </c>
      <c r="I835" t="s">
        <v>110</v>
      </c>
      <c r="J835" t="s">
        <v>51</v>
      </c>
      <c r="K835" t="s">
        <v>168</v>
      </c>
      <c r="L835" t="s">
        <v>2616</v>
      </c>
      <c r="M835" t="s">
        <v>60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42</v>
      </c>
      <c r="U835" t="s">
        <v>43</v>
      </c>
      <c r="V835" t="str">
        <f t="shared" ref="V835:V898" si="130">IF(AND(N835&gt;0,O835&gt;0,Q835&gt;0,R835&gt;=0,S835&lt;&gt;""),IF(OR(P835&lt;0,ABS(P835-AVERAGE($P:$P))&gt;2*_xlfn.STDEV.P($P:$P)),"Invalid Discount",""),"")</f>
        <v/>
      </c>
      <c r="W835" t="str">
        <f t="shared" ref="W835:W898" si="131">IF(AND(B835&lt;&gt;"",C835&lt;&gt;""),IF(C835&lt;B835,"Invalid Shipping Record",""),"")</f>
        <v>Invalid Shipping Record</v>
      </c>
      <c r="X835">
        <f t="shared" ref="X835:X898" si="132">(P835-AVERAGE($P:$P))/_xlfn.STDEV.P($P:$P)</f>
        <v>-1.0661353799231277</v>
      </c>
      <c r="Y835">
        <f t="shared" ref="Y835:Y898" si="133">N835*O835*(1-P835)</f>
        <v>23696.400000000001</v>
      </c>
      <c r="Z835">
        <f t="shared" ref="Z835:Z898" si="134">Y835-R835</f>
        <v>5586.630000000001</v>
      </c>
      <c r="AA835">
        <f t="shared" ref="AA835:AA898" si="135">IF(Y835=0,0,Z835/Y835)</f>
        <v>0.23575859624246723</v>
      </c>
      <c r="AB835" t="e">
        <f t="shared" ref="AB835:AB898" si="136">DATEDIF(B835,C835,"d")</f>
        <v>#NUM!</v>
      </c>
      <c r="AC835" t="str">
        <f t="shared" ref="AC835:AC898" si="137">TEXT(B835,"mmmm")</f>
        <v>June</v>
      </c>
      <c r="AD835">
        <f t="shared" ref="AD835:AD898" si="138">YEAR(B835)</f>
        <v>2024</v>
      </c>
      <c r="AE835" t="str">
        <f t="shared" ref="AE835:AE898" si="139">IF(OR(V835="Invalid Discount",W835="Invalid Shipping Record"),"INVALID",IF(U835="Cancelled","WARNING","CLEAN"))</f>
        <v>INVALID</v>
      </c>
    </row>
    <row r="836" spans="1:31">
      <c r="A836" t="s">
        <v>2617</v>
      </c>
      <c r="B836" s="3">
        <v>45583</v>
      </c>
      <c r="C836" s="3">
        <v>45587</v>
      </c>
      <c r="D836" t="s">
        <v>2618</v>
      </c>
      <c r="E836" t="s">
        <v>138</v>
      </c>
      <c r="F836" t="s">
        <v>105</v>
      </c>
      <c r="G836" t="s">
        <v>64</v>
      </c>
      <c r="H836" t="s">
        <v>65</v>
      </c>
      <c r="I836" t="s">
        <v>66</v>
      </c>
      <c r="J836" t="s">
        <v>38</v>
      </c>
      <c r="K836" t="s">
        <v>58</v>
      </c>
      <c r="L836" t="s">
        <v>2619</v>
      </c>
      <c r="M836" t="s">
        <v>60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42</v>
      </c>
      <c r="U836" t="s">
        <v>43</v>
      </c>
      <c r="V836" t="str">
        <f t="shared" si="130"/>
        <v/>
      </c>
      <c r="W836" t="str">
        <f t="shared" si="131"/>
        <v/>
      </c>
      <c r="X836">
        <f t="shared" si="132"/>
        <v>-1.0661353799231277</v>
      </c>
      <c r="Y836">
        <f t="shared" si="133"/>
        <v>4047.66</v>
      </c>
      <c r="Z836">
        <f t="shared" si="134"/>
        <v>968.73</v>
      </c>
      <c r="AA836">
        <f t="shared" si="135"/>
        <v>0.23933087265234729</v>
      </c>
      <c r="AB836">
        <f t="shared" si="136"/>
        <v>4</v>
      </c>
      <c r="AC836" t="str">
        <f t="shared" si="137"/>
        <v>October</v>
      </c>
      <c r="AD836">
        <f t="shared" si="138"/>
        <v>2024</v>
      </c>
      <c r="AE836" t="str">
        <f t="shared" si="139"/>
        <v>CLEAN</v>
      </c>
    </row>
    <row r="837" spans="1:31">
      <c r="A837" t="s">
        <v>2620</v>
      </c>
      <c r="B837" s="3">
        <v>45926</v>
      </c>
      <c r="C837" s="3">
        <v>45934</v>
      </c>
      <c r="D837" t="s">
        <v>2621</v>
      </c>
      <c r="E837" t="s">
        <v>124</v>
      </c>
      <c r="F837" t="s">
        <v>47</v>
      </c>
      <c r="G837" t="s">
        <v>48</v>
      </c>
      <c r="H837" t="s">
        <v>176</v>
      </c>
      <c r="I837" t="s">
        <v>177</v>
      </c>
      <c r="J837" t="s">
        <v>84</v>
      </c>
      <c r="K837" t="s">
        <v>181</v>
      </c>
      <c r="L837" t="s">
        <v>2622</v>
      </c>
      <c r="M837" t="s">
        <v>41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42</v>
      </c>
      <c r="U837" t="s">
        <v>43</v>
      </c>
      <c r="V837" t="str">
        <f t="shared" si="130"/>
        <v/>
      </c>
      <c r="W837" t="str">
        <f t="shared" si="131"/>
        <v/>
      </c>
      <c r="X837">
        <f t="shared" si="132"/>
        <v>-0.58747117266059101</v>
      </c>
      <c r="Y837">
        <f t="shared" si="133"/>
        <v>10038.773499999999</v>
      </c>
      <c r="Z837">
        <f t="shared" si="134"/>
        <v>4365.673499999999</v>
      </c>
      <c r="AA837">
        <f t="shared" si="135"/>
        <v>0.43488116352062323</v>
      </c>
      <c r="AB837">
        <f t="shared" si="136"/>
        <v>8</v>
      </c>
      <c r="AC837" t="str">
        <f t="shared" si="137"/>
        <v>September</v>
      </c>
      <c r="AD837">
        <f t="shared" si="138"/>
        <v>2025</v>
      </c>
      <c r="AE837" t="str">
        <f t="shared" si="139"/>
        <v>CLEAN</v>
      </c>
    </row>
    <row r="838" spans="1:31">
      <c r="A838" t="s">
        <v>2623</v>
      </c>
      <c r="B838" s="3">
        <v>45641</v>
      </c>
      <c r="C838" s="3">
        <v>45644</v>
      </c>
      <c r="D838" t="s">
        <v>2624</v>
      </c>
      <c r="E838" t="s">
        <v>57</v>
      </c>
      <c r="F838" t="s">
        <v>47</v>
      </c>
      <c r="G838" t="s">
        <v>35</v>
      </c>
      <c r="H838" t="s">
        <v>36</v>
      </c>
      <c r="I838" t="s">
        <v>37</v>
      </c>
      <c r="J838" t="s">
        <v>38</v>
      </c>
      <c r="K838" t="s">
        <v>101</v>
      </c>
      <c r="L838" t="s">
        <v>2625</v>
      </c>
      <c r="M838" t="s">
        <v>41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42</v>
      </c>
      <c r="U838" t="s">
        <v>43</v>
      </c>
      <c r="V838" t="str">
        <f t="shared" si="130"/>
        <v/>
      </c>
      <c r="W838" t="str">
        <f t="shared" si="131"/>
        <v/>
      </c>
      <c r="X838">
        <f t="shared" si="132"/>
        <v>-1.0661353799231277</v>
      </c>
      <c r="Y838">
        <f t="shared" si="133"/>
        <v>1074.22</v>
      </c>
      <c r="Z838">
        <f t="shared" si="134"/>
        <v>223.36</v>
      </c>
      <c r="AA838">
        <f t="shared" si="135"/>
        <v>0.20792761259332354</v>
      </c>
      <c r="AB838">
        <f t="shared" si="136"/>
        <v>3</v>
      </c>
      <c r="AC838" t="str">
        <f t="shared" si="137"/>
        <v>December</v>
      </c>
      <c r="AD838">
        <f t="shared" si="138"/>
        <v>2024</v>
      </c>
      <c r="AE838" t="str">
        <f t="shared" si="139"/>
        <v>CLEAN</v>
      </c>
    </row>
    <row r="839" spans="1:31">
      <c r="A839" t="s">
        <v>2626</v>
      </c>
      <c r="B839" s="3">
        <v>45927</v>
      </c>
      <c r="C839" s="3">
        <v>45928</v>
      </c>
      <c r="D839" t="s">
        <v>2627</v>
      </c>
      <c r="E839" t="s">
        <v>33</v>
      </c>
      <c r="F839" t="s">
        <v>105</v>
      </c>
      <c r="G839" t="s">
        <v>73</v>
      </c>
      <c r="H839" t="s">
        <v>74</v>
      </c>
      <c r="I839" t="s">
        <v>75</v>
      </c>
      <c r="J839" t="s">
        <v>38</v>
      </c>
      <c r="K839" t="s">
        <v>39</v>
      </c>
      <c r="L839" t="s">
        <v>2628</v>
      </c>
      <c r="M839" t="s">
        <v>60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42</v>
      </c>
      <c r="U839" t="s">
        <v>43</v>
      </c>
      <c r="V839" t="str">
        <f t="shared" si="130"/>
        <v/>
      </c>
      <c r="W839" t="str">
        <f t="shared" si="131"/>
        <v/>
      </c>
      <c r="X839">
        <f t="shared" si="132"/>
        <v>1.3271856563895552</v>
      </c>
      <c r="Y839">
        <f t="shared" si="133"/>
        <v>9399.6674999999996</v>
      </c>
      <c r="Z839">
        <f t="shared" si="134"/>
        <v>2859.2974999999997</v>
      </c>
      <c r="AA839">
        <f t="shared" si="135"/>
        <v>0.30419134506619516</v>
      </c>
      <c r="AB839">
        <f t="shared" si="136"/>
        <v>1</v>
      </c>
      <c r="AC839" t="str">
        <f t="shared" si="137"/>
        <v>September</v>
      </c>
      <c r="AD839">
        <f t="shared" si="138"/>
        <v>2025</v>
      </c>
      <c r="AE839" t="str">
        <f t="shared" si="139"/>
        <v>CLEAN</v>
      </c>
    </row>
    <row r="840" spans="1:31">
      <c r="A840" t="s">
        <v>2629</v>
      </c>
      <c r="B840" s="3">
        <v>45720</v>
      </c>
      <c r="C840" s="3">
        <v>45754</v>
      </c>
      <c r="D840" t="s">
        <v>2630</v>
      </c>
      <c r="E840" t="s">
        <v>72</v>
      </c>
      <c r="F840" t="s">
        <v>47</v>
      </c>
      <c r="G840" t="s">
        <v>73</v>
      </c>
      <c r="H840" t="s">
        <v>200</v>
      </c>
      <c r="I840" t="s">
        <v>201</v>
      </c>
      <c r="J840" t="s">
        <v>38</v>
      </c>
      <c r="K840" t="s">
        <v>39</v>
      </c>
      <c r="L840" t="s">
        <v>2631</v>
      </c>
      <c r="M840" t="s">
        <v>54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42</v>
      </c>
      <c r="U840" t="s">
        <v>113</v>
      </c>
      <c r="V840" t="str">
        <f t="shared" si="130"/>
        <v/>
      </c>
      <c r="W840" t="str">
        <f t="shared" si="131"/>
        <v/>
      </c>
      <c r="X840">
        <f t="shared" si="132"/>
        <v>-1.0661353799231277</v>
      </c>
      <c r="Y840">
        <f t="shared" si="133"/>
        <v>1470.57</v>
      </c>
      <c r="Z840">
        <f t="shared" si="134"/>
        <v>636.54999999999995</v>
      </c>
      <c r="AA840">
        <f t="shared" si="135"/>
        <v>0.43285936745615644</v>
      </c>
      <c r="AB840">
        <f t="shared" si="136"/>
        <v>34</v>
      </c>
      <c r="AC840" t="str">
        <f t="shared" si="137"/>
        <v>March</v>
      </c>
      <c r="AD840">
        <f t="shared" si="138"/>
        <v>2025</v>
      </c>
      <c r="AE840" t="str">
        <f t="shared" si="139"/>
        <v>CLEAN</v>
      </c>
    </row>
    <row r="841" spans="1:31">
      <c r="A841" t="s">
        <v>2632</v>
      </c>
      <c r="B841" s="3">
        <v>45555</v>
      </c>
      <c r="C841" s="3">
        <v>45557</v>
      </c>
      <c r="D841" t="s">
        <v>2633</v>
      </c>
      <c r="E841" t="s">
        <v>151</v>
      </c>
      <c r="F841" t="s">
        <v>105</v>
      </c>
      <c r="G841" t="s">
        <v>48</v>
      </c>
      <c r="H841" t="s">
        <v>49</v>
      </c>
      <c r="I841" t="s">
        <v>50</v>
      </c>
      <c r="J841" t="s">
        <v>84</v>
      </c>
      <c r="K841" t="s">
        <v>181</v>
      </c>
      <c r="L841" t="s">
        <v>2634</v>
      </c>
      <c r="M841" t="s">
        <v>69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42</v>
      </c>
      <c r="U841" t="s">
        <v>43</v>
      </c>
      <c r="V841" t="str">
        <f t="shared" si="130"/>
        <v/>
      </c>
      <c r="W841" t="str">
        <f t="shared" si="131"/>
        <v/>
      </c>
      <c r="X841">
        <f t="shared" si="132"/>
        <v>-0.10880696539805437</v>
      </c>
      <c r="Y841">
        <f t="shared" si="133"/>
        <v>3826.2959999999998</v>
      </c>
      <c r="Z841">
        <f t="shared" si="134"/>
        <v>1632.1759999999999</v>
      </c>
      <c r="AA841">
        <f t="shared" si="135"/>
        <v>0.42656814841298218</v>
      </c>
      <c r="AB841">
        <f t="shared" si="136"/>
        <v>2</v>
      </c>
      <c r="AC841" t="str">
        <f t="shared" si="137"/>
        <v>September</v>
      </c>
      <c r="AD841">
        <f t="shared" si="138"/>
        <v>2024</v>
      </c>
      <c r="AE841" t="str">
        <f t="shared" si="139"/>
        <v>CLEAN</v>
      </c>
    </row>
    <row r="842" spans="1:31">
      <c r="A842" t="s">
        <v>2635</v>
      </c>
      <c r="B842" s="3">
        <v>45919</v>
      </c>
      <c r="C842" s="3">
        <v>45919</v>
      </c>
      <c r="D842" t="s">
        <v>2636</v>
      </c>
      <c r="E842" t="s">
        <v>89</v>
      </c>
      <c r="F842" t="s">
        <v>105</v>
      </c>
      <c r="G842" t="s">
        <v>35</v>
      </c>
      <c r="H842" t="s">
        <v>362</v>
      </c>
      <c r="I842" t="s">
        <v>363</v>
      </c>
      <c r="J842" t="s">
        <v>51</v>
      </c>
      <c r="K842" t="s">
        <v>76</v>
      </c>
      <c r="L842" t="s">
        <v>2637</v>
      </c>
      <c r="M842" t="s">
        <v>54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42</v>
      </c>
      <c r="U842" t="s">
        <v>43</v>
      </c>
      <c r="V842" t="str">
        <f t="shared" si="130"/>
        <v/>
      </c>
      <c r="W842" t="str">
        <f t="shared" si="131"/>
        <v/>
      </c>
      <c r="X842">
        <f t="shared" si="132"/>
        <v>-1.0661353799231277</v>
      </c>
      <c r="Y842">
        <f t="shared" si="133"/>
        <v>6336.44</v>
      </c>
      <c r="Z842">
        <f t="shared" si="134"/>
        <v>1655.7599999999993</v>
      </c>
      <c r="AA842">
        <f t="shared" si="135"/>
        <v>0.26130761121386764</v>
      </c>
      <c r="AB842">
        <f t="shared" si="136"/>
        <v>0</v>
      </c>
      <c r="AC842" t="str">
        <f t="shared" si="137"/>
        <v>September</v>
      </c>
      <c r="AD842">
        <f t="shared" si="138"/>
        <v>2025</v>
      </c>
      <c r="AE842" t="str">
        <f t="shared" si="139"/>
        <v>CLEAN</v>
      </c>
    </row>
    <row r="843" spans="1:31">
      <c r="A843" t="s">
        <v>2638</v>
      </c>
      <c r="B843" s="3">
        <v>45694</v>
      </c>
      <c r="C843" s="3">
        <v>45700</v>
      </c>
      <c r="D843" t="s">
        <v>2639</v>
      </c>
      <c r="E843" t="s">
        <v>72</v>
      </c>
      <c r="F843" t="s">
        <v>47</v>
      </c>
      <c r="G843" t="s">
        <v>48</v>
      </c>
      <c r="H843" t="s">
        <v>155</v>
      </c>
      <c r="I843" t="s">
        <v>156</v>
      </c>
      <c r="J843" t="s">
        <v>38</v>
      </c>
      <c r="K843" t="s">
        <v>58</v>
      </c>
      <c r="L843" t="s">
        <v>2640</v>
      </c>
      <c r="M843" t="s">
        <v>69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42</v>
      </c>
      <c r="U843" t="s">
        <v>43</v>
      </c>
      <c r="V843" t="str">
        <f t="shared" si="130"/>
        <v/>
      </c>
      <c r="W843" t="str">
        <f t="shared" si="131"/>
        <v/>
      </c>
      <c r="X843">
        <f t="shared" si="132"/>
        <v>1.3271856563895552</v>
      </c>
      <c r="Y843">
        <f t="shared" si="133"/>
        <v>21850.829999999998</v>
      </c>
      <c r="Z843">
        <f t="shared" si="134"/>
        <v>5250.6999999999971</v>
      </c>
      <c r="AA843">
        <f t="shared" si="135"/>
        <v>0.2402975081495759</v>
      </c>
      <c r="AB843">
        <f t="shared" si="136"/>
        <v>6</v>
      </c>
      <c r="AC843" t="str">
        <f t="shared" si="137"/>
        <v>February</v>
      </c>
      <c r="AD843">
        <f t="shared" si="138"/>
        <v>2025</v>
      </c>
      <c r="AE843" t="str">
        <f t="shared" si="139"/>
        <v>CLEAN</v>
      </c>
    </row>
    <row r="844" spans="1:31">
      <c r="A844" t="s">
        <v>2641</v>
      </c>
      <c r="B844" s="3">
        <v>45382</v>
      </c>
      <c r="C844" s="3">
        <v>45381</v>
      </c>
      <c r="D844" t="s">
        <v>2642</v>
      </c>
      <c r="E844" t="s">
        <v>2643</v>
      </c>
      <c r="F844" t="s">
        <v>34</v>
      </c>
      <c r="G844" t="s">
        <v>35</v>
      </c>
      <c r="H844" t="s">
        <v>248</v>
      </c>
      <c r="I844" t="s">
        <v>249</v>
      </c>
      <c r="J844" t="s">
        <v>84</v>
      </c>
      <c r="K844" t="s">
        <v>286</v>
      </c>
      <c r="L844" t="s">
        <v>2644</v>
      </c>
      <c r="M844" t="s">
        <v>60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42</v>
      </c>
      <c r="U844" t="s">
        <v>113</v>
      </c>
      <c r="V844" t="str">
        <f t="shared" si="130"/>
        <v/>
      </c>
      <c r="W844" t="str">
        <f t="shared" si="131"/>
        <v>Invalid Shipping Record</v>
      </c>
      <c r="X844">
        <f t="shared" si="132"/>
        <v>0.3698572418644821</v>
      </c>
      <c r="Y844">
        <f t="shared" si="133"/>
        <v>7453.0719999999992</v>
      </c>
      <c r="Z844">
        <f t="shared" si="134"/>
        <v>2319.2919999999995</v>
      </c>
      <c r="AA844">
        <f t="shared" si="135"/>
        <v>0.31118604516365866</v>
      </c>
      <c r="AB844" t="e">
        <f t="shared" si="136"/>
        <v>#NUM!</v>
      </c>
      <c r="AC844" t="str">
        <f t="shared" si="137"/>
        <v>March</v>
      </c>
      <c r="AD844">
        <f t="shared" si="138"/>
        <v>2024</v>
      </c>
      <c r="AE844" t="str">
        <f t="shared" si="139"/>
        <v>INVALID</v>
      </c>
    </row>
    <row r="845" spans="1:31">
      <c r="A845" t="s">
        <v>2645</v>
      </c>
      <c r="B845" s="3">
        <v>45856</v>
      </c>
      <c r="C845" s="3">
        <v>45863</v>
      </c>
      <c r="D845" t="s">
        <v>2646</v>
      </c>
      <c r="E845" t="s">
        <v>124</v>
      </c>
      <c r="F845" t="s">
        <v>47</v>
      </c>
      <c r="G845" t="s">
        <v>35</v>
      </c>
      <c r="H845" t="s">
        <v>146</v>
      </c>
      <c r="I845" t="s">
        <v>147</v>
      </c>
      <c r="J845" t="s">
        <v>84</v>
      </c>
      <c r="K845" t="s">
        <v>181</v>
      </c>
      <c r="L845" t="s">
        <v>2647</v>
      </c>
      <c r="M845" t="s">
        <v>60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42</v>
      </c>
      <c r="U845" t="s">
        <v>43</v>
      </c>
      <c r="V845" t="str">
        <f t="shared" si="130"/>
        <v>Invalid Discount</v>
      </c>
      <c r="W845" t="str">
        <f t="shared" si="131"/>
        <v/>
      </c>
      <c r="X845">
        <f t="shared" si="132"/>
        <v>-1.2576010628281422</v>
      </c>
      <c r="Y845">
        <f t="shared" si="133"/>
        <v>36623.793600000005</v>
      </c>
      <c r="Z845">
        <f t="shared" si="134"/>
        <v>12707.693600000006</v>
      </c>
      <c r="AA845">
        <f t="shared" si="135"/>
        <v>0.34697917257812433</v>
      </c>
      <c r="AB845">
        <f t="shared" si="136"/>
        <v>7</v>
      </c>
      <c r="AC845" t="str">
        <f t="shared" si="137"/>
        <v>July</v>
      </c>
      <c r="AD845">
        <f t="shared" si="138"/>
        <v>2025</v>
      </c>
      <c r="AE845" t="str">
        <f t="shared" si="139"/>
        <v>INVALID</v>
      </c>
    </row>
    <row r="846" spans="1:31">
      <c r="A846" t="s">
        <v>2648</v>
      </c>
      <c r="B846" s="3">
        <v>45677</v>
      </c>
      <c r="C846" s="3">
        <v>45682</v>
      </c>
      <c r="D846" t="s">
        <v>2649</v>
      </c>
      <c r="E846" t="s">
        <v>99</v>
      </c>
      <c r="F846" t="s">
        <v>105</v>
      </c>
      <c r="G846" t="s">
        <v>73</v>
      </c>
      <c r="H846" t="s">
        <v>200</v>
      </c>
      <c r="I846" t="s">
        <v>201</v>
      </c>
      <c r="J846" t="s">
        <v>38</v>
      </c>
      <c r="K846" t="s">
        <v>58</v>
      </c>
      <c r="L846" t="s">
        <v>2650</v>
      </c>
      <c r="M846" t="s">
        <v>60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42</v>
      </c>
      <c r="U846" t="s">
        <v>43</v>
      </c>
      <c r="V846" t="str">
        <f t="shared" si="130"/>
        <v/>
      </c>
      <c r="W846" t="str">
        <f t="shared" si="131"/>
        <v/>
      </c>
      <c r="X846">
        <f t="shared" si="132"/>
        <v>-1.0661353799231277</v>
      </c>
      <c r="Y846">
        <f t="shared" si="133"/>
        <v>3515.15</v>
      </c>
      <c r="Z846">
        <f t="shared" si="134"/>
        <v>1298.81</v>
      </c>
      <c r="AA846">
        <f t="shared" si="135"/>
        <v>0.36948921098672882</v>
      </c>
      <c r="AB846">
        <f t="shared" si="136"/>
        <v>5</v>
      </c>
      <c r="AC846" t="str">
        <f t="shared" si="137"/>
        <v>January</v>
      </c>
      <c r="AD846">
        <f t="shared" si="138"/>
        <v>2025</v>
      </c>
      <c r="AE846" t="str">
        <f t="shared" si="139"/>
        <v>CLEAN</v>
      </c>
    </row>
    <row r="847" spans="1:31">
      <c r="A847" t="s">
        <v>2651</v>
      </c>
      <c r="B847" s="3">
        <v>45345</v>
      </c>
      <c r="C847" s="3">
        <v>45349</v>
      </c>
      <c r="D847" t="s">
        <v>607</v>
      </c>
      <c r="E847" t="s">
        <v>33</v>
      </c>
      <c r="F847" t="s">
        <v>34</v>
      </c>
      <c r="G847" t="s">
        <v>48</v>
      </c>
      <c r="H847" t="s">
        <v>49</v>
      </c>
      <c r="I847" t="s">
        <v>50</v>
      </c>
      <c r="J847" t="s">
        <v>51</v>
      </c>
      <c r="K847" t="s">
        <v>52</v>
      </c>
      <c r="L847" t="s">
        <v>2652</v>
      </c>
      <c r="M847" t="s">
        <v>60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121</v>
      </c>
      <c r="U847" t="s">
        <v>113</v>
      </c>
      <c r="V847" t="str">
        <f t="shared" si="130"/>
        <v/>
      </c>
      <c r="W847" t="str">
        <f t="shared" si="131"/>
        <v/>
      </c>
      <c r="X847">
        <f t="shared" si="132"/>
        <v>1.3271856563895552</v>
      </c>
      <c r="Y847">
        <f t="shared" si="133"/>
        <v>24409.552499999998</v>
      </c>
      <c r="Z847">
        <f t="shared" si="134"/>
        <v>7251.9724999999962</v>
      </c>
      <c r="AA847">
        <f t="shared" si="135"/>
        <v>0.29709567596538267</v>
      </c>
      <c r="AB847">
        <f t="shared" si="136"/>
        <v>4</v>
      </c>
      <c r="AC847" t="str">
        <f t="shared" si="137"/>
        <v>February</v>
      </c>
      <c r="AD847">
        <f t="shared" si="138"/>
        <v>2024</v>
      </c>
      <c r="AE847" t="str">
        <f t="shared" si="139"/>
        <v>CLEAN</v>
      </c>
    </row>
    <row r="848" spans="1:31">
      <c r="A848" t="s">
        <v>2653</v>
      </c>
      <c r="B848" s="3">
        <v>45396</v>
      </c>
      <c r="C848" s="3">
        <v>45404</v>
      </c>
      <c r="D848" t="s">
        <v>2654</v>
      </c>
      <c r="E848" t="s">
        <v>124</v>
      </c>
      <c r="F848" t="s">
        <v>47</v>
      </c>
      <c r="G848" t="s">
        <v>73</v>
      </c>
      <c r="H848" t="s">
        <v>190</v>
      </c>
      <c r="I848" t="s">
        <v>191</v>
      </c>
      <c r="J848" t="s">
        <v>51</v>
      </c>
      <c r="K848" t="s">
        <v>168</v>
      </c>
      <c r="L848" t="s">
        <v>2655</v>
      </c>
      <c r="M848" t="s">
        <v>69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121</v>
      </c>
      <c r="U848" t="s">
        <v>113</v>
      </c>
      <c r="V848" t="str">
        <f t="shared" si="130"/>
        <v/>
      </c>
      <c r="W848" t="str">
        <f t="shared" si="131"/>
        <v/>
      </c>
      <c r="X848">
        <f t="shared" si="132"/>
        <v>-1.0661353799231277</v>
      </c>
      <c r="Y848">
        <f t="shared" si="133"/>
        <v>7955.04</v>
      </c>
      <c r="Z848">
        <f t="shared" si="134"/>
        <v>2374.3599999999997</v>
      </c>
      <c r="AA848">
        <f t="shared" si="135"/>
        <v>0.29847241497214339</v>
      </c>
      <c r="AB848">
        <f t="shared" si="136"/>
        <v>8</v>
      </c>
      <c r="AC848" t="str">
        <f t="shared" si="137"/>
        <v>April</v>
      </c>
      <c r="AD848">
        <f t="shared" si="138"/>
        <v>2024</v>
      </c>
      <c r="AE848" t="str">
        <f t="shared" si="139"/>
        <v>CLEAN</v>
      </c>
    </row>
    <row r="849" spans="1:31">
      <c r="A849" t="s">
        <v>2656</v>
      </c>
      <c r="B849" s="3">
        <v>45797</v>
      </c>
      <c r="C849" s="3">
        <v>45799</v>
      </c>
      <c r="D849" t="s">
        <v>2657</v>
      </c>
      <c r="E849" t="s">
        <v>172</v>
      </c>
      <c r="F849" t="s">
        <v>105</v>
      </c>
      <c r="G849" t="s">
        <v>48</v>
      </c>
      <c r="H849" t="s">
        <v>49</v>
      </c>
      <c r="I849" t="s">
        <v>50</v>
      </c>
      <c r="J849" t="s">
        <v>51</v>
      </c>
      <c r="K849" t="s">
        <v>52</v>
      </c>
      <c r="L849" t="s">
        <v>2658</v>
      </c>
      <c r="M849" t="s">
        <v>41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42</v>
      </c>
      <c r="U849" t="s">
        <v>43</v>
      </c>
      <c r="V849" t="str">
        <f t="shared" si="130"/>
        <v/>
      </c>
      <c r="W849" t="str">
        <f t="shared" si="131"/>
        <v/>
      </c>
      <c r="X849">
        <f t="shared" si="132"/>
        <v>0.84852144912701888</v>
      </c>
      <c r="Y849">
        <f t="shared" si="133"/>
        <v>336.12800000000004</v>
      </c>
      <c r="Z849">
        <f t="shared" si="134"/>
        <v>93.938000000000045</v>
      </c>
      <c r="AA849">
        <f t="shared" si="135"/>
        <v>0.27947091584158423</v>
      </c>
      <c r="AB849">
        <f t="shared" si="136"/>
        <v>2</v>
      </c>
      <c r="AC849" t="str">
        <f t="shared" si="137"/>
        <v>May</v>
      </c>
      <c r="AD849">
        <f t="shared" si="138"/>
        <v>2025</v>
      </c>
      <c r="AE849" t="str">
        <f t="shared" si="139"/>
        <v>CLEAN</v>
      </c>
    </row>
    <row r="850" spans="1:31">
      <c r="A850" t="s">
        <v>2659</v>
      </c>
      <c r="B850" s="3">
        <v>45804</v>
      </c>
      <c r="C850" s="3">
        <v>45806</v>
      </c>
      <c r="D850" t="s">
        <v>2660</v>
      </c>
      <c r="E850" t="s">
        <v>128</v>
      </c>
      <c r="F850" t="s">
        <v>105</v>
      </c>
      <c r="G850" t="s">
        <v>64</v>
      </c>
      <c r="H850" t="s">
        <v>259</v>
      </c>
      <c r="I850" t="s">
        <v>260</v>
      </c>
      <c r="J850" t="s">
        <v>51</v>
      </c>
      <c r="K850" t="s">
        <v>67</v>
      </c>
      <c r="L850" t="s">
        <v>2661</v>
      </c>
      <c r="M850" t="s">
        <v>41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42</v>
      </c>
      <c r="U850" t="s">
        <v>43</v>
      </c>
      <c r="V850" t="str">
        <f t="shared" si="130"/>
        <v/>
      </c>
      <c r="W850" t="str">
        <f t="shared" si="131"/>
        <v/>
      </c>
      <c r="X850">
        <f t="shared" si="132"/>
        <v>1.3271856563895552</v>
      </c>
      <c r="Y850">
        <f t="shared" si="133"/>
        <v>1308.2624999999998</v>
      </c>
      <c r="Z850">
        <f t="shared" si="134"/>
        <v>224.70249999999987</v>
      </c>
      <c r="AA850">
        <f t="shared" si="135"/>
        <v>0.17175643267310645</v>
      </c>
      <c r="AB850">
        <f t="shared" si="136"/>
        <v>2</v>
      </c>
      <c r="AC850" t="str">
        <f t="shared" si="137"/>
        <v>May</v>
      </c>
      <c r="AD850">
        <f t="shared" si="138"/>
        <v>2025</v>
      </c>
      <c r="AE850" t="str">
        <f t="shared" si="139"/>
        <v>CLEAN</v>
      </c>
    </row>
    <row r="851" spans="1:31">
      <c r="A851" t="s">
        <v>2662</v>
      </c>
      <c r="B851" s="3">
        <v>45357</v>
      </c>
      <c r="C851" s="3">
        <v>45363</v>
      </c>
      <c r="D851" t="s">
        <v>2663</v>
      </c>
      <c r="E851" t="s">
        <v>57</v>
      </c>
      <c r="F851" t="s">
        <v>105</v>
      </c>
      <c r="G851" t="s">
        <v>73</v>
      </c>
      <c r="H851" t="s">
        <v>190</v>
      </c>
      <c r="I851" t="s">
        <v>191</v>
      </c>
      <c r="J851" t="s">
        <v>51</v>
      </c>
      <c r="K851" t="s">
        <v>168</v>
      </c>
      <c r="L851" t="s">
        <v>2664</v>
      </c>
      <c r="M851" t="s">
        <v>69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42</v>
      </c>
      <c r="U851" t="s">
        <v>43</v>
      </c>
      <c r="V851" t="str">
        <f t="shared" si="130"/>
        <v/>
      </c>
      <c r="W851" t="str">
        <f t="shared" si="131"/>
        <v/>
      </c>
      <c r="X851">
        <f t="shared" si="132"/>
        <v>0.84852144912701888</v>
      </c>
      <c r="Y851">
        <f t="shared" si="133"/>
        <v>1631.1120000000001</v>
      </c>
      <c r="Z851">
        <f t="shared" si="134"/>
        <v>732.38200000000006</v>
      </c>
      <c r="AA851">
        <f t="shared" si="135"/>
        <v>0.44900779345624336</v>
      </c>
      <c r="AB851">
        <f t="shared" si="136"/>
        <v>6</v>
      </c>
      <c r="AC851" t="str">
        <f t="shared" si="137"/>
        <v>March</v>
      </c>
      <c r="AD851">
        <f t="shared" si="138"/>
        <v>2024</v>
      </c>
      <c r="AE851" t="str">
        <f t="shared" si="139"/>
        <v>CLEAN</v>
      </c>
    </row>
    <row r="852" spans="1:31">
      <c r="A852" t="s">
        <v>2665</v>
      </c>
      <c r="B852" s="3">
        <v>45473</v>
      </c>
      <c r="C852" s="3">
        <v>45476</v>
      </c>
      <c r="D852" t="s">
        <v>2666</v>
      </c>
      <c r="E852" t="s">
        <v>124</v>
      </c>
      <c r="F852" t="s">
        <v>105</v>
      </c>
      <c r="G852" t="s">
        <v>48</v>
      </c>
      <c r="H852" t="s">
        <v>109</v>
      </c>
      <c r="I852" t="s">
        <v>110</v>
      </c>
      <c r="J852" t="s">
        <v>38</v>
      </c>
      <c r="K852" t="s">
        <v>39</v>
      </c>
      <c r="L852" t="s">
        <v>2667</v>
      </c>
      <c r="M852" t="s">
        <v>60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42</v>
      </c>
      <c r="U852" t="s">
        <v>43</v>
      </c>
      <c r="V852" t="str">
        <f t="shared" si="130"/>
        <v/>
      </c>
      <c r="W852" t="str">
        <f t="shared" si="131"/>
        <v/>
      </c>
      <c r="X852">
        <f t="shared" si="132"/>
        <v>-1.0661353799231277</v>
      </c>
      <c r="Y852">
        <f t="shared" si="133"/>
        <v>7266.0599999999995</v>
      </c>
      <c r="Z852">
        <f t="shared" si="134"/>
        <v>1049.1699999999992</v>
      </c>
      <c r="AA852">
        <f t="shared" si="135"/>
        <v>0.14439324750965438</v>
      </c>
      <c r="AB852">
        <f t="shared" si="136"/>
        <v>3</v>
      </c>
      <c r="AC852" t="str">
        <f t="shared" si="137"/>
        <v>June</v>
      </c>
      <c r="AD852">
        <f t="shared" si="138"/>
        <v>2024</v>
      </c>
      <c r="AE852" t="str">
        <f t="shared" si="139"/>
        <v>CLEAN</v>
      </c>
    </row>
    <row r="853" spans="1:31">
      <c r="A853" t="s">
        <v>2668</v>
      </c>
      <c r="B853" s="3">
        <v>45377</v>
      </c>
      <c r="C853" s="3">
        <v>45383</v>
      </c>
      <c r="D853" t="s">
        <v>2669</v>
      </c>
      <c r="E853" t="s">
        <v>33</v>
      </c>
      <c r="F853" t="s">
        <v>47</v>
      </c>
      <c r="G853" t="s">
        <v>73</v>
      </c>
      <c r="H853" t="s">
        <v>190</v>
      </c>
      <c r="I853" t="s">
        <v>191</v>
      </c>
      <c r="J853" t="s">
        <v>84</v>
      </c>
      <c r="K853" t="s">
        <v>85</v>
      </c>
      <c r="L853" t="s">
        <v>2670</v>
      </c>
      <c r="M853" t="s">
        <v>60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42</v>
      </c>
      <c r="U853" t="s">
        <v>43</v>
      </c>
      <c r="V853" t="str">
        <f t="shared" si="130"/>
        <v/>
      </c>
      <c r="W853" t="str">
        <f t="shared" si="131"/>
        <v/>
      </c>
      <c r="X853">
        <f t="shared" si="132"/>
        <v>0.84852144912701888</v>
      </c>
      <c r="Y853">
        <f t="shared" si="133"/>
        <v>1858.08</v>
      </c>
      <c r="Z853">
        <f t="shared" si="134"/>
        <v>267.32999999999993</v>
      </c>
      <c r="AA853">
        <f t="shared" si="135"/>
        <v>0.14387432188065097</v>
      </c>
      <c r="AB853">
        <f t="shared" si="136"/>
        <v>6</v>
      </c>
      <c r="AC853" t="str">
        <f t="shared" si="137"/>
        <v>March</v>
      </c>
      <c r="AD853">
        <f t="shared" si="138"/>
        <v>2024</v>
      </c>
      <c r="AE853" t="str">
        <f t="shared" si="139"/>
        <v>CLEAN</v>
      </c>
    </row>
    <row r="854" spans="1:31">
      <c r="A854" t="s">
        <v>2671</v>
      </c>
      <c r="B854" s="3">
        <v>45383</v>
      </c>
      <c r="C854" s="3">
        <v>45390</v>
      </c>
      <c r="D854" t="s">
        <v>2672</v>
      </c>
      <c r="E854" t="s">
        <v>72</v>
      </c>
      <c r="F854" t="s">
        <v>34</v>
      </c>
      <c r="G854" t="s">
        <v>48</v>
      </c>
      <c r="H854" t="s">
        <v>176</v>
      </c>
      <c r="I854" t="s">
        <v>177</v>
      </c>
      <c r="J854" t="s">
        <v>51</v>
      </c>
      <c r="K854" t="s">
        <v>52</v>
      </c>
      <c r="L854" t="s">
        <v>2673</v>
      </c>
      <c r="M854" t="s">
        <v>41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121</v>
      </c>
      <c r="U854" t="s">
        <v>78</v>
      </c>
      <c r="V854" t="str">
        <f t="shared" si="130"/>
        <v/>
      </c>
      <c r="W854" t="str">
        <f t="shared" si="131"/>
        <v/>
      </c>
      <c r="X854">
        <f t="shared" si="132"/>
        <v>0.3698572418644821</v>
      </c>
      <c r="Y854">
        <f t="shared" si="133"/>
        <v>25021.832500000004</v>
      </c>
      <c r="Z854">
        <f t="shared" si="134"/>
        <v>9477.3925000000036</v>
      </c>
      <c r="AA854">
        <f t="shared" si="135"/>
        <v>0.37876492459135447</v>
      </c>
      <c r="AB854">
        <f t="shared" si="136"/>
        <v>7</v>
      </c>
      <c r="AC854" t="str">
        <f t="shared" si="137"/>
        <v>April</v>
      </c>
      <c r="AD854">
        <f t="shared" si="138"/>
        <v>2024</v>
      </c>
      <c r="AE854" t="str">
        <f t="shared" si="139"/>
        <v>WARNING</v>
      </c>
    </row>
    <row r="855" spans="1:31">
      <c r="A855" t="s">
        <v>2674</v>
      </c>
      <c r="B855" s="3">
        <v>45793</v>
      </c>
      <c r="C855" s="3">
        <v>45799</v>
      </c>
      <c r="D855" t="s">
        <v>2675</v>
      </c>
      <c r="E855" t="s">
        <v>63</v>
      </c>
      <c r="F855" t="s">
        <v>100</v>
      </c>
      <c r="G855" t="s">
        <v>64</v>
      </c>
      <c r="H855" t="s">
        <v>259</v>
      </c>
      <c r="I855" t="s">
        <v>260</v>
      </c>
      <c r="J855" t="s">
        <v>84</v>
      </c>
      <c r="K855" t="s">
        <v>85</v>
      </c>
      <c r="L855" t="s">
        <v>2676</v>
      </c>
      <c r="M855" t="s">
        <v>54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42</v>
      </c>
      <c r="U855" t="s">
        <v>43</v>
      </c>
      <c r="V855" t="str">
        <f t="shared" si="130"/>
        <v/>
      </c>
      <c r="W855" t="str">
        <f t="shared" si="131"/>
        <v/>
      </c>
      <c r="X855">
        <f t="shared" si="132"/>
        <v>0.84852144912701888</v>
      </c>
      <c r="Y855">
        <f t="shared" si="133"/>
        <v>3710.72</v>
      </c>
      <c r="Z855">
        <f t="shared" si="134"/>
        <v>595.42999999999984</v>
      </c>
      <c r="AA855">
        <f t="shared" si="135"/>
        <v>0.16046212055881334</v>
      </c>
      <c r="AB855">
        <f t="shared" si="136"/>
        <v>6</v>
      </c>
      <c r="AC855" t="str">
        <f t="shared" si="137"/>
        <v>May</v>
      </c>
      <c r="AD855">
        <f t="shared" si="138"/>
        <v>2025</v>
      </c>
      <c r="AE855" t="str">
        <f t="shared" si="139"/>
        <v>CLEAN</v>
      </c>
    </row>
    <row r="856" spans="1:31">
      <c r="A856" t="s">
        <v>2677</v>
      </c>
      <c r="B856" s="3">
        <v>45741</v>
      </c>
      <c r="C856" s="3">
        <v>45692</v>
      </c>
      <c r="D856" t="s">
        <v>2678</v>
      </c>
      <c r="E856" t="s">
        <v>124</v>
      </c>
      <c r="F856" t="s">
        <v>34</v>
      </c>
      <c r="G856" t="s">
        <v>64</v>
      </c>
      <c r="H856" t="s">
        <v>185</v>
      </c>
      <c r="I856" t="s">
        <v>186</v>
      </c>
      <c r="J856" t="s">
        <v>51</v>
      </c>
      <c r="K856" t="s">
        <v>168</v>
      </c>
      <c r="L856" t="s">
        <v>2679</v>
      </c>
      <c r="M856" t="s">
        <v>41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42</v>
      </c>
      <c r="U856" t="s">
        <v>43</v>
      </c>
      <c r="V856" t="str">
        <f t="shared" si="130"/>
        <v/>
      </c>
      <c r="W856" t="str">
        <f t="shared" si="131"/>
        <v>Invalid Shipping Record</v>
      </c>
      <c r="X856">
        <f t="shared" si="132"/>
        <v>-0.58747117266059101</v>
      </c>
      <c r="Y856">
        <f t="shared" si="133"/>
        <v>8487.8319999999985</v>
      </c>
      <c r="Z856">
        <f t="shared" si="134"/>
        <v>3242.1119999999983</v>
      </c>
      <c r="AA856">
        <f t="shared" si="135"/>
        <v>0.38197174496384928</v>
      </c>
      <c r="AB856" t="e">
        <f t="shared" si="136"/>
        <v>#NUM!</v>
      </c>
      <c r="AC856" t="str">
        <f t="shared" si="137"/>
        <v>March</v>
      </c>
      <c r="AD856">
        <f t="shared" si="138"/>
        <v>2025</v>
      </c>
      <c r="AE856" t="str">
        <f t="shared" si="139"/>
        <v>INVALID</v>
      </c>
    </row>
    <row r="857" spans="1:31">
      <c r="A857" t="s">
        <v>2680</v>
      </c>
      <c r="B857" s="3">
        <v>45498</v>
      </c>
      <c r="C857" s="3">
        <v>45506</v>
      </c>
      <c r="D857" t="s">
        <v>1146</v>
      </c>
      <c r="E857" t="s">
        <v>128</v>
      </c>
      <c r="F857" t="s">
        <v>34</v>
      </c>
      <c r="G857" t="s">
        <v>35</v>
      </c>
      <c r="H857" t="s">
        <v>36</v>
      </c>
      <c r="I857" t="s">
        <v>37</v>
      </c>
      <c r="J857" t="s">
        <v>38</v>
      </c>
      <c r="K857" t="s">
        <v>2681</v>
      </c>
      <c r="L857" t="s">
        <v>2682</v>
      </c>
      <c r="M857" t="s">
        <v>41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42</v>
      </c>
      <c r="U857" t="s">
        <v>43</v>
      </c>
      <c r="V857" t="str">
        <f t="shared" si="130"/>
        <v/>
      </c>
      <c r="W857" t="str">
        <f t="shared" si="131"/>
        <v/>
      </c>
      <c r="X857">
        <f t="shared" si="132"/>
        <v>1.3271856563895552</v>
      </c>
      <c r="Y857">
        <f t="shared" si="133"/>
        <v>3110.2950000000001</v>
      </c>
      <c r="Z857">
        <f t="shared" si="134"/>
        <v>1009.2649999999999</v>
      </c>
      <c r="AA857">
        <f t="shared" si="135"/>
        <v>0.32449172827657824</v>
      </c>
      <c r="AB857">
        <f t="shared" si="136"/>
        <v>8</v>
      </c>
      <c r="AC857" t="str">
        <f t="shared" si="137"/>
        <v>July</v>
      </c>
      <c r="AD857">
        <f t="shared" si="138"/>
        <v>2024</v>
      </c>
      <c r="AE857" t="str">
        <f t="shared" si="139"/>
        <v>CLEAN</v>
      </c>
    </row>
    <row r="858" spans="1:31">
      <c r="A858" t="s">
        <v>2683</v>
      </c>
      <c r="B858" s="3">
        <v>45455</v>
      </c>
      <c r="C858" s="3">
        <v>45462</v>
      </c>
      <c r="D858" t="s">
        <v>1328</v>
      </c>
      <c r="E858" t="s">
        <v>151</v>
      </c>
      <c r="F858" t="s">
        <v>105</v>
      </c>
      <c r="G858" t="s">
        <v>64</v>
      </c>
      <c r="H858" t="s">
        <v>259</v>
      </c>
      <c r="I858" t="s">
        <v>260</v>
      </c>
      <c r="J858" t="s">
        <v>38</v>
      </c>
      <c r="K858" t="s">
        <v>134</v>
      </c>
      <c r="L858" t="s">
        <v>2684</v>
      </c>
      <c r="M858" t="s">
        <v>69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165</v>
      </c>
      <c r="U858" t="s">
        <v>78</v>
      </c>
      <c r="V858" t="str">
        <f t="shared" si="130"/>
        <v>Invalid Discount</v>
      </c>
      <c r="W858" t="str">
        <f t="shared" si="131"/>
        <v/>
      </c>
      <c r="X858">
        <f t="shared" si="132"/>
        <v>-2.5978608431632444</v>
      </c>
      <c r="Y858">
        <f t="shared" si="133"/>
        <v>1833.2639999999999</v>
      </c>
      <c r="Z858">
        <f t="shared" si="134"/>
        <v>866.71399999999994</v>
      </c>
      <c r="AA858">
        <f t="shared" si="135"/>
        <v>0.47277097024760206</v>
      </c>
      <c r="AB858">
        <f t="shared" si="136"/>
        <v>7</v>
      </c>
      <c r="AC858" t="str">
        <f t="shared" si="137"/>
        <v>June</v>
      </c>
      <c r="AD858">
        <f t="shared" si="138"/>
        <v>2024</v>
      </c>
      <c r="AE858" t="str">
        <f t="shared" si="139"/>
        <v>INVALID</v>
      </c>
    </row>
    <row r="859" spans="1:31">
      <c r="A859" t="s">
        <v>2685</v>
      </c>
      <c r="B859" s="3">
        <v>45447</v>
      </c>
      <c r="C859" s="3">
        <v>45447</v>
      </c>
      <c r="D859" t="s">
        <v>2185</v>
      </c>
      <c r="E859" t="s">
        <v>142</v>
      </c>
      <c r="F859" t="s">
        <v>105</v>
      </c>
      <c r="G859" t="s">
        <v>64</v>
      </c>
      <c r="H859" t="s">
        <v>195</v>
      </c>
      <c r="I859" t="s">
        <v>196</v>
      </c>
      <c r="J859" t="s">
        <v>38</v>
      </c>
      <c r="K859" t="s">
        <v>134</v>
      </c>
      <c r="L859" t="s">
        <v>2686</v>
      </c>
      <c r="M859" t="s">
        <v>60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42</v>
      </c>
      <c r="U859" t="s">
        <v>43</v>
      </c>
      <c r="V859" t="str">
        <f t="shared" si="130"/>
        <v/>
      </c>
      <c r="W859" t="str">
        <f t="shared" si="131"/>
        <v/>
      </c>
      <c r="X859">
        <f t="shared" si="132"/>
        <v>1.3271856563895552</v>
      </c>
      <c r="Y859">
        <f t="shared" si="133"/>
        <v>12190.365</v>
      </c>
      <c r="Z859">
        <f t="shared" si="134"/>
        <v>2013.375</v>
      </c>
      <c r="AA859">
        <f t="shared" si="135"/>
        <v>0.16516117441930575</v>
      </c>
      <c r="AB859">
        <f t="shared" si="136"/>
        <v>0</v>
      </c>
      <c r="AC859" t="str">
        <f t="shared" si="137"/>
        <v>June</v>
      </c>
      <c r="AD859">
        <f t="shared" si="138"/>
        <v>2024</v>
      </c>
      <c r="AE859" t="str">
        <f t="shared" si="139"/>
        <v>CLEAN</v>
      </c>
    </row>
    <row r="860" spans="1:31">
      <c r="A860" t="s">
        <v>2687</v>
      </c>
      <c r="B860" s="3">
        <v>45327</v>
      </c>
      <c r="C860" s="3">
        <v>45421</v>
      </c>
      <c r="D860" t="s">
        <v>2688</v>
      </c>
      <c r="E860" t="s">
        <v>63</v>
      </c>
      <c r="F860" t="s">
        <v>34</v>
      </c>
      <c r="G860" t="s">
        <v>48</v>
      </c>
      <c r="H860" t="s">
        <v>49</v>
      </c>
      <c r="I860" t="s">
        <v>50</v>
      </c>
      <c r="J860" t="s">
        <v>84</v>
      </c>
      <c r="K860" t="s">
        <v>85</v>
      </c>
      <c r="L860" t="s">
        <v>2689</v>
      </c>
      <c r="M860" t="s">
        <v>41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42</v>
      </c>
      <c r="U860" t="s">
        <v>43</v>
      </c>
      <c r="V860" t="str">
        <f t="shared" si="130"/>
        <v/>
      </c>
      <c r="W860" t="str">
        <f t="shared" si="131"/>
        <v/>
      </c>
      <c r="X860">
        <f t="shared" si="132"/>
        <v>-1.0661353799231277</v>
      </c>
      <c r="Y860">
        <f t="shared" si="133"/>
        <v>11619.44</v>
      </c>
      <c r="Z860">
        <f t="shared" si="134"/>
        <v>4435.1200000000008</v>
      </c>
      <c r="AA860">
        <f t="shared" si="135"/>
        <v>0.3816982574031107</v>
      </c>
      <c r="AB860">
        <f t="shared" si="136"/>
        <v>94</v>
      </c>
      <c r="AC860" t="str">
        <f t="shared" si="137"/>
        <v>February</v>
      </c>
      <c r="AD860">
        <f t="shared" si="138"/>
        <v>2024</v>
      </c>
      <c r="AE860" t="str">
        <f t="shared" si="139"/>
        <v>CLEAN</v>
      </c>
    </row>
    <row r="861" spans="1:31">
      <c r="A861" t="s">
        <v>2690</v>
      </c>
      <c r="B861" s="3">
        <v>45592</v>
      </c>
      <c r="C861" s="3">
        <v>45597</v>
      </c>
      <c r="D861" t="s">
        <v>2691</v>
      </c>
      <c r="E861" t="s">
        <v>99</v>
      </c>
      <c r="F861" t="s">
        <v>100</v>
      </c>
      <c r="G861" t="s">
        <v>64</v>
      </c>
      <c r="H861" t="s">
        <v>259</v>
      </c>
      <c r="I861" t="s">
        <v>260</v>
      </c>
      <c r="J861" t="s">
        <v>84</v>
      </c>
      <c r="K861" t="s">
        <v>181</v>
      </c>
      <c r="L861" t="s">
        <v>2692</v>
      </c>
      <c r="M861" t="s">
        <v>69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42</v>
      </c>
      <c r="U861" t="s">
        <v>43</v>
      </c>
      <c r="V861" t="str">
        <f t="shared" si="130"/>
        <v/>
      </c>
      <c r="W861" t="str">
        <f t="shared" si="131"/>
        <v/>
      </c>
      <c r="X861">
        <f t="shared" si="132"/>
        <v>-0.58747117266059101</v>
      </c>
      <c r="Y861">
        <f t="shared" si="133"/>
        <v>25075.439999999995</v>
      </c>
      <c r="Z861">
        <f t="shared" si="134"/>
        <v>8792.6999999999953</v>
      </c>
      <c r="AA861">
        <f t="shared" si="135"/>
        <v>0.35064987892535471</v>
      </c>
      <c r="AB861">
        <f t="shared" si="136"/>
        <v>5</v>
      </c>
      <c r="AC861" t="str">
        <f t="shared" si="137"/>
        <v>October</v>
      </c>
      <c r="AD861">
        <f t="shared" si="138"/>
        <v>2024</v>
      </c>
      <c r="AE861" t="str">
        <f t="shared" si="139"/>
        <v>CLEAN</v>
      </c>
    </row>
    <row r="862" spans="1:31">
      <c r="A862" t="s">
        <v>2693</v>
      </c>
      <c r="B862" s="3">
        <v>45324</v>
      </c>
      <c r="C862" s="3">
        <v>45326</v>
      </c>
      <c r="D862" t="s">
        <v>2694</v>
      </c>
      <c r="E862" t="s">
        <v>81</v>
      </c>
      <c r="F862" t="s">
        <v>105</v>
      </c>
      <c r="G862" t="s">
        <v>35</v>
      </c>
      <c r="H862" t="s">
        <v>146</v>
      </c>
      <c r="I862" t="s">
        <v>147</v>
      </c>
      <c r="J862" t="s">
        <v>38</v>
      </c>
      <c r="K862" t="s">
        <v>134</v>
      </c>
      <c r="L862" t="s">
        <v>2695</v>
      </c>
      <c r="M862" t="s">
        <v>41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42</v>
      </c>
      <c r="U862" t="s">
        <v>43</v>
      </c>
      <c r="V862" t="str">
        <f t="shared" si="130"/>
        <v/>
      </c>
      <c r="W862" t="str">
        <f t="shared" si="131"/>
        <v/>
      </c>
      <c r="X862">
        <f t="shared" si="132"/>
        <v>-0.58747117266059101</v>
      </c>
      <c r="Y862">
        <f t="shared" si="133"/>
        <v>4177.4539999999997</v>
      </c>
      <c r="Z862">
        <f t="shared" si="134"/>
        <v>1877.9539999999997</v>
      </c>
      <c r="AA862">
        <f t="shared" si="135"/>
        <v>0.44954510570313877</v>
      </c>
      <c r="AB862">
        <f t="shared" si="136"/>
        <v>2</v>
      </c>
      <c r="AC862" t="str">
        <f t="shared" si="137"/>
        <v>February</v>
      </c>
      <c r="AD862">
        <f t="shared" si="138"/>
        <v>2024</v>
      </c>
      <c r="AE862" t="str">
        <f t="shared" si="139"/>
        <v>CLEAN</v>
      </c>
    </row>
    <row r="863" spans="1:31">
      <c r="A863" t="s">
        <v>2696</v>
      </c>
      <c r="B863" s="3">
        <v>45724</v>
      </c>
      <c r="C863" s="3">
        <v>45725</v>
      </c>
      <c r="D863" t="s">
        <v>2697</v>
      </c>
      <c r="E863" t="s">
        <v>124</v>
      </c>
      <c r="F863" t="s">
        <v>105</v>
      </c>
      <c r="G863" t="s">
        <v>35</v>
      </c>
      <c r="H863" t="s">
        <v>362</v>
      </c>
      <c r="I863" t="s">
        <v>363</v>
      </c>
      <c r="J863" t="s">
        <v>51</v>
      </c>
      <c r="K863" t="s">
        <v>67</v>
      </c>
      <c r="L863" t="s">
        <v>2698</v>
      </c>
      <c r="M863" t="s">
        <v>54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42</v>
      </c>
      <c r="U863" t="s">
        <v>43</v>
      </c>
      <c r="V863" t="str">
        <f t="shared" si="130"/>
        <v/>
      </c>
      <c r="W863" t="str">
        <f t="shared" si="131"/>
        <v/>
      </c>
      <c r="X863">
        <f t="shared" si="132"/>
        <v>0.84852144912701888</v>
      </c>
      <c r="Y863">
        <f t="shared" si="133"/>
        <v>10898.175999999999</v>
      </c>
      <c r="Z863">
        <f t="shared" si="134"/>
        <v>4666.7659999999996</v>
      </c>
      <c r="AA863">
        <f t="shared" si="135"/>
        <v>0.42821532704188298</v>
      </c>
      <c r="AB863">
        <f t="shared" si="136"/>
        <v>1</v>
      </c>
      <c r="AC863" t="str">
        <f t="shared" si="137"/>
        <v>March</v>
      </c>
      <c r="AD863">
        <f t="shared" si="138"/>
        <v>2025</v>
      </c>
      <c r="AE863" t="str">
        <f t="shared" si="139"/>
        <v>CLEAN</v>
      </c>
    </row>
    <row r="864" spans="1:31">
      <c r="A864" t="s">
        <v>2699</v>
      </c>
      <c r="B864" s="3">
        <v>45742</v>
      </c>
      <c r="C864" s="3">
        <v>45747</v>
      </c>
      <c r="D864" t="s">
        <v>2700</v>
      </c>
      <c r="E864" t="s">
        <v>124</v>
      </c>
      <c r="F864" t="s">
        <v>47</v>
      </c>
      <c r="G864" t="s">
        <v>48</v>
      </c>
      <c r="H864" t="s">
        <v>240</v>
      </c>
      <c r="I864" t="s">
        <v>241</v>
      </c>
      <c r="J864" t="s">
        <v>38</v>
      </c>
      <c r="K864" t="s">
        <v>163</v>
      </c>
      <c r="L864" t="s">
        <v>2701</v>
      </c>
      <c r="M864" t="s">
        <v>60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42</v>
      </c>
      <c r="U864" t="s">
        <v>78</v>
      </c>
      <c r="V864" t="str">
        <f t="shared" si="130"/>
        <v/>
      </c>
      <c r="W864" t="str">
        <f t="shared" si="131"/>
        <v/>
      </c>
      <c r="X864">
        <f t="shared" si="132"/>
        <v>-1.0661353799231277</v>
      </c>
      <c r="Y864">
        <f t="shared" si="133"/>
        <v>6975.7000000000007</v>
      </c>
      <c r="Z864">
        <f t="shared" si="134"/>
        <v>2177.8200000000006</v>
      </c>
      <c r="AA864">
        <f t="shared" si="135"/>
        <v>0.3122009260719355</v>
      </c>
      <c r="AB864">
        <f t="shared" si="136"/>
        <v>5</v>
      </c>
      <c r="AC864" t="str">
        <f t="shared" si="137"/>
        <v>March</v>
      </c>
      <c r="AD864">
        <f t="shared" si="138"/>
        <v>2025</v>
      </c>
      <c r="AE864" t="str">
        <f t="shared" si="139"/>
        <v>WARNING</v>
      </c>
    </row>
    <row r="865" spans="1:31">
      <c r="A865" t="s">
        <v>2702</v>
      </c>
      <c r="B865" s="3">
        <v>45817</v>
      </c>
      <c r="C865" s="3">
        <v>45878</v>
      </c>
      <c r="D865" t="s">
        <v>2703</v>
      </c>
      <c r="E865" t="s">
        <v>138</v>
      </c>
      <c r="F865" t="s">
        <v>105</v>
      </c>
      <c r="G865" t="s">
        <v>73</v>
      </c>
      <c r="H865" t="s">
        <v>82</v>
      </c>
      <c r="I865" t="s">
        <v>83</v>
      </c>
      <c r="J865" t="s">
        <v>51</v>
      </c>
      <c r="K865" t="s">
        <v>67</v>
      </c>
      <c r="L865" t="s">
        <v>2704</v>
      </c>
      <c r="M865" t="s">
        <v>54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42</v>
      </c>
      <c r="U865" t="s">
        <v>43</v>
      </c>
      <c r="V865" t="str">
        <f t="shared" si="130"/>
        <v/>
      </c>
      <c r="W865" t="str">
        <f t="shared" si="131"/>
        <v/>
      </c>
      <c r="X865">
        <f t="shared" si="132"/>
        <v>-1.0661353799231277</v>
      </c>
      <c r="Y865">
        <f t="shared" si="133"/>
        <v>8811.69</v>
      </c>
      <c r="Z865">
        <f t="shared" si="134"/>
        <v>2045.7800000000007</v>
      </c>
      <c r="AA865">
        <f t="shared" si="135"/>
        <v>0.23216658779416893</v>
      </c>
      <c r="AB865">
        <f t="shared" si="136"/>
        <v>61</v>
      </c>
      <c r="AC865" t="str">
        <f t="shared" si="137"/>
        <v>June</v>
      </c>
      <c r="AD865">
        <f t="shared" si="138"/>
        <v>2025</v>
      </c>
      <c r="AE865" t="str">
        <f t="shared" si="139"/>
        <v>CLEAN</v>
      </c>
    </row>
    <row r="866" spans="1:31">
      <c r="A866" t="s">
        <v>2705</v>
      </c>
      <c r="B866" s="3">
        <v>45902</v>
      </c>
      <c r="C866" s="3">
        <v>45905</v>
      </c>
      <c r="D866" t="s">
        <v>2706</v>
      </c>
      <c r="E866" t="s">
        <v>81</v>
      </c>
      <c r="F866" t="s">
        <v>34</v>
      </c>
      <c r="G866" t="s">
        <v>64</v>
      </c>
      <c r="H866" t="s">
        <v>259</v>
      </c>
      <c r="I866" t="s">
        <v>260</v>
      </c>
      <c r="J866" t="s">
        <v>84</v>
      </c>
      <c r="K866" t="s">
        <v>181</v>
      </c>
      <c r="L866" t="s">
        <v>2707</v>
      </c>
      <c r="M866" t="s">
        <v>60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42</v>
      </c>
      <c r="U866" t="s">
        <v>43</v>
      </c>
      <c r="V866" t="str">
        <f t="shared" si="130"/>
        <v/>
      </c>
      <c r="W866" t="str">
        <f t="shared" si="131"/>
        <v/>
      </c>
      <c r="X866">
        <f t="shared" si="132"/>
        <v>-1.0661353799231277</v>
      </c>
      <c r="Y866">
        <f t="shared" si="133"/>
        <v>17034.349999999999</v>
      </c>
      <c r="Z866">
        <f t="shared" si="134"/>
        <v>2402.989999999998</v>
      </c>
      <c r="AA866">
        <f t="shared" si="135"/>
        <v>0.14106731398615141</v>
      </c>
      <c r="AB866">
        <f t="shared" si="136"/>
        <v>3</v>
      </c>
      <c r="AC866" t="str">
        <f t="shared" si="137"/>
        <v>September</v>
      </c>
      <c r="AD866">
        <f t="shared" si="138"/>
        <v>2025</v>
      </c>
      <c r="AE866" t="str">
        <f t="shared" si="139"/>
        <v>CLEAN</v>
      </c>
    </row>
    <row r="867" spans="1:31">
      <c r="A867" t="s">
        <v>2708</v>
      </c>
      <c r="B867" s="3">
        <v>45694</v>
      </c>
      <c r="C867" s="3">
        <v>45702</v>
      </c>
      <c r="D867" t="s">
        <v>2709</v>
      </c>
      <c r="E867" t="s">
        <v>276</v>
      </c>
      <c r="F867" t="s">
        <v>34</v>
      </c>
      <c r="G867" t="s">
        <v>73</v>
      </c>
      <c r="H867" t="s">
        <v>74</v>
      </c>
      <c r="I867" t="s">
        <v>75</v>
      </c>
      <c r="J867" t="s">
        <v>38</v>
      </c>
      <c r="K867" t="s">
        <v>101</v>
      </c>
      <c r="L867" t="s">
        <v>2710</v>
      </c>
      <c r="M867" t="s">
        <v>41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42</v>
      </c>
      <c r="U867" t="s">
        <v>43</v>
      </c>
      <c r="V867" t="str">
        <f t="shared" si="130"/>
        <v/>
      </c>
      <c r="W867" t="str">
        <f t="shared" si="131"/>
        <v/>
      </c>
      <c r="X867">
        <f t="shared" si="132"/>
        <v>-1.0661353799231277</v>
      </c>
      <c r="Y867">
        <f t="shared" si="133"/>
        <v>7984.08</v>
      </c>
      <c r="Z867">
        <f t="shared" si="134"/>
        <v>2326.0299999999997</v>
      </c>
      <c r="AA867">
        <f t="shared" si="135"/>
        <v>0.29133350367230787</v>
      </c>
      <c r="AB867">
        <f t="shared" si="136"/>
        <v>8</v>
      </c>
      <c r="AC867" t="str">
        <f t="shared" si="137"/>
        <v>February</v>
      </c>
      <c r="AD867">
        <f t="shared" si="138"/>
        <v>2025</v>
      </c>
      <c r="AE867" t="str">
        <f t="shared" si="139"/>
        <v>CLEAN</v>
      </c>
    </row>
    <row r="868" spans="1:31">
      <c r="A868" t="s">
        <v>2711</v>
      </c>
      <c r="B868" s="3">
        <v>45714</v>
      </c>
      <c r="C868" s="3">
        <v>45722</v>
      </c>
      <c r="D868" t="s">
        <v>2712</v>
      </c>
      <c r="E868" t="s">
        <v>124</v>
      </c>
      <c r="F868" t="s">
        <v>34</v>
      </c>
      <c r="G868" t="s">
        <v>48</v>
      </c>
      <c r="H868" t="s">
        <v>155</v>
      </c>
      <c r="I868" t="s">
        <v>156</v>
      </c>
      <c r="J868" t="s">
        <v>51</v>
      </c>
      <c r="K868" t="s">
        <v>168</v>
      </c>
      <c r="L868" t="s">
        <v>2713</v>
      </c>
      <c r="M868" t="s">
        <v>60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121</v>
      </c>
      <c r="U868" t="s">
        <v>78</v>
      </c>
      <c r="V868" t="str">
        <f t="shared" si="130"/>
        <v/>
      </c>
      <c r="W868" t="str">
        <f t="shared" si="131"/>
        <v/>
      </c>
      <c r="X868">
        <f t="shared" si="132"/>
        <v>0.84852144912701888</v>
      </c>
      <c r="Y868">
        <f t="shared" si="133"/>
        <v>21912.263999999999</v>
      </c>
      <c r="Z868">
        <f t="shared" si="134"/>
        <v>5544.4839999999986</v>
      </c>
      <c r="AA868">
        <f t="shared" si="135"/>
        <v>0.25303108797885965</v>
      </c>
      <c r="AB868">
        <f t="shared" si="136"/>
        <v>8</v>
      </c>
      <c r="AC868" t="str">
        <f t="shared" si="137"/>
        <v>February</v>
      </c>
      <c r="AD868">
        <f t="shared" si="138"/>
        <v>2025</v>
      </c>
      <c r="AE868" t="str">
        <f t="shared" si="139"/>
        <v>WARNING</v>
      </c>
    </row>
    <row r="869" spans="1:31">
      <c r="A869" t="s">
        <v>2714</v>
      </c>
      <c r="B869" s="3">
        <v>45617</v>
      </c>
      <c r="C869" s="3">
        <v>45618</v>
      </c>
      <c r="D869" t="s">
        <v>2715</v>
      </c>
      <c r="E869" t="s">
        <v>128</v>
      </c>
      <c r="F869" t="s">
        <v>105</v>
      </c>
      <c r="G869" t="s">
        <v>64</v>
      </c>
      <c r="H869" t="s">
        <v>94</v>
      </c>
      <c r="I869" t="s">
        <v>95</v>
      </c>
      <c r="J869" t="s">
        <v>84</v>
      </c>
      <c r="K869" t="s">
        <v>85</v>
      </c>
      <c r="L869" t="s">
        <v>2716</v>
      </c>
      <c r="M869" t="s">
        <v>54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165</v>
      </c>
      <c r="U869" t="s">
        <v>78</v>
      </c>
      <c r="V869" t="str">
        <f t="shared" si="130"/>
        <v/>
      </c>
      <c r="W869" t="str">
        <f t="shared" si="131"/>
        <v/>
      </c>
      <c r="X869">
        <f t="shared" si="132"/>
        <v>1.3271856563895552</v>
      </c>
      <c r="Y869">
        <f t="shared" si="133"/>
        <v>4695.7049999999999</v>
      </c>
      <c r="Z869">
        <f t="shared" si="134"/>
        <v>824.01499999999987</v>
      </c>
      <c r="AA869">
        <f t="shared" si="135"/>
        <v>0.17548270174553127</v>
      </c>
      <c r="AB869">
        <f t="shared" si="136"/>
        <v>1</v>
      </c>
      <c r="AC869" t="str">
        <f t="shared" si="137"/>
        <v>November</v>
      </c>
      <c r="AD869">
        <f t="shared" si="138"/>
        <v>2024</v>
      </c>
      <c r="AE869" t="str">
        <f t="shared" si="139"/>
        <v>WARNING</v>
      </c>
    </row>
    <row r="870" spans="1:31">
      <c r="A870" t="s">
        <v>2717</v>
      </c>
      <c r="B870" s="3">
        <v>45758</v>
      </c>
      <c r="C870" s="3">
        <v>45762</v>
      </c>
      <c r="D870" t="s">
        <v>2718</v>
      </c>
      <c r="E870" t="s">
        <v>81</v>
      </c>
      <c r="F870" t="s">
        <v>105</v>
      </c>
      <c r="G870" t="s">
        <v>64</v>
      </c>
      <c r="H870" t="s">
        <v>185</v>
      </c>
      <c r="I870" t="s">
        <v>186</v>
      </c>
      <c r="J870" t="s">
        <v>38</v>
      </c>
      <c r="K870" t="s">
        <v>134</v>
      </c>
      <c r="L870" t="s">
        <v>2719</v>
      </c>
      <c r="M870" t="s">
        <v>54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42</v>
      </c>
      <c r="U870" t="s">
        <v>43</v>
      </c>
      <c r="V870" t="str">
        <f t="shared" si="130"/>
        <v/>
      </c>
      <c r="W870" t="str">
        <f t="shared" si="131"/>
        <v/>
      </c>
      <c r="X870">
        <f t="shared" si="132"/>
        <v>-0.58747117266059101</v>
      </c>
      <c r="Y870">
        <f t="shared" si="133"/>
        <v>1923.2369999999999</v>
      </c>
      <c r="Z870">
        <f t="shared" si="134"/>
        <v>829.57699999999977</v>
      </c>
      <c r="AA870">
        <f t="shared" si="135"/>
        <v>0.43134413491420964</v>
      </c>
      <c r="AB870">
        <f t="shared" si="136"/>
        <v>4</v>
      </c>
      <c r="AC870" t="str">
        <f t="shared" si="137"/>
        <v>April</v>
      </c>
      <c r="AD870">
        <f t="shared" si="138"/>
        <v>2025</v>
      </c>
      <c r="AE870" t="str">
        <f t="shared" si="139"/>
        <v>CLEAN</v>
      </c>
    </row>
    <row r="871" spans="1:31">
      <c r="A871" t="s">
        <v>2720</v>
      </c>
      <c r="B871" s="3">
        <v>45811</v>
      </c>
      <c r="C871" s="3">
        <v>45723</v>
      </c>
      <c r="D871" t="s">
        <v>2721</v>
      </c>
      <c r="E871" t="s">
        <v>151</v>
      </c>
      <c r="F871" t="s">
        <v>105</v>
      </c>
      <c r="G871" t="s">
        <v>215</v>
      </c>
      <c r="H871" t="s">
        <v>362</v>
      </c>
      <c r="I871" t="s">
        <v>363</v>
      </c>
      <c r="J871" t="s">
        <v>51</v>
      </c>
      <c r="K871" t="s">
        <v>76</v>
      </c>
      <c r="L871" t="s">
        <v>1171</v>
      </c>
      <c r="M871" t="s">
        <v>54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42</v>
      </c>
      <c r="U871" t="s">
        <v>43</v>
      </c>
      <c r="V871" t="str">
        <f t="shared" si="130"/>
        <v/>
      </c>
      <c r="W871" t="str">
        <f t="shared" si="131"/>
        <v>Invalid Shipping Record</v>
      </c>
      <c r="X871">
        <f t="shared" si="132"/>
        <v>-0.10880696539805437</v>
      </c>
      <c r="Y871">
        <f t="shared" si="133"/>
        <v>4301.91</v>
      </c>
      <c r="Z871">
        <f t="shared" si="134"/>
        <v>1927.5099999999998</v>
      </c>
      <c r="AA871">
        <f t="shared" si="135"/>
        <v>0.44805911792668834</v>
      </c>
      <c r="AB871" t="e">
        <f t="shared" si="136"/>
        <v>#NUM!</v>
      </c>
      <c r="AC871" t="str">
        <f t="shared" si="137"/>
        <v>June</v>
      </c>
      <c r="AD871">
        <f t="shared" si="138"/>
        <v>2025</v>
      </c>
      <c r="AE871" t="str">
        <f t="shared" si="139"/>
        <v>INVALID</v>
      </c>
    </row>
    <row r="872" spans="1:31">
      <c r="A872" t="s">
        <v>2722</v>
      </c>
      <c r="B872" s="3">
        <v>45814</v>
      </c>
      <c r="C872" s="3">
        <v>45815</v>
      </c>
      <c r="D872" t="s">
        <v>2723</v>
      </c>
      <c r="E872" t="s">
        <v>81</v>
      </c>
      <c r="F872" t="s">
        <v>100</v>
      </c>
      <c r="G872" t="s">
        <v>73</v>
      </c>
      <c r="H872" t="s">
        <v>200</v>
      </c>
      <c r="I872" t="s">
        <v>201</v>
      </c>
      <c r="J872" t="s">
        <v>51</v>
      </c>
      <c r="K872" t="s">
        <v>52</v>
      </c>
      <c r="L872" t="s">
        <v>2724</v>
      </c>
      <c r="M872" t="s">
        <v>69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42</v>
      </c>
      <c r="U872" t="s">
        <v>78</v>
      </c>
      <c r="V872" t="str">
        <f t="shared" si="130"/>
        <v/>
      </c>
      <c r="W872" t="str">
        <f t="shared" si="131"/>
        <v/>
      </c>
      <c r="X872">
        <f t="shared" si="132"/>
        <v>0.3698572418644821</v>
      </c>
      <c r="Y872">
        <f t="shared" si="133"/>
        <v>22436.838</v>
      </c>
      <c r="Z872">
        <f t="shared" si="134"/>
        <v>4982.1680000000015</v>
      </c>
      <c r="AA872">
        <f t="shared" si="135"/>
        <v>0.22205303617203109</v>
      </c>
      <c r="AB872">
        <f t="shared" si="136"/>
        <v>1</v>
      </c>
      <c r="AC872" t="str">
        <f t="shared" si="137"/>
        <v>June</v>
      </c>
      <c r="AD872">
        <f t="shared" si="138"/>
        <v>2025</v>
      </c>
      <c r="AE872" t="str">
        <f t="shared" si="139"/>
        <v>WARNING</v>
      </c>
    </row>
    <row r="873" spans="1:31">
      <c r="A873" t="s">
        <v>2725</v>
      </c>
      <c r="B873" s="3">
        <v>45342</v>
      </c>
      <c r="C873" s="3">
        <v>45344</v>
      </c>
      <c r="D873" t="s">
        <v>2594</v>
      </c>
      <c r="E873" t="s">
        <v>89</v>
      </c>
      <c r="F873" t="s">
        <v>47</v>
      </c>
      <c r="G873" t="s">
        <v>64</v>
      </c>
      <c r="H873" t="s">
        <v>65</v>
      </c>
      <c r="I873" t="s">
        <v>66</v>
      </c>
      <c r="J873" t="s">
        <v>84</v>
      </c>
      <c r="K873" t="s">
        <v>85</v>
      </c>
      <c r="L873" t="s">
        <v>2726</v>
      </c>
      <c r="M873" t="s">
        <v>60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112</v>
      </c>
      <c r="U873" t="s">
        <v>78</v>
      </c>
      <c r="V873" t="str">
        <f t="shared" si="130"/>
        <v/>
      </c>
      <c r="W873" t="str">
        <f t="shared" si="131"/>
        <v/>
      </c>
      <c r="X873">
        <f t="shared" si="132"/>
        <v>-1.0661353799231277</v>
      </c>
      <c r="Y873">
        <f t="shared" si="133"/>
        <v>19676.07</v>
      </c>
      <c r="Z873">
        <f t="shared" si="134"/>
        <v>7217.4499999999989</v>
      </c>
      <c r="AA873">
        <f t="shared" si="135"/>
        <v>0.36681359641432454</v>
      </c>
      <c r="AB873">
        <f t="shared" si="136"/>
        <v>2</v>
      </c>
      <c r="AC873" t="str">
        <f t="shared" si="137"/>
        <v>February</v>
      </c>
      <c r="AD873">
        <f t="shared" si="138"/>
        <v>2024</v>
      </c>
      <c r="AE873" t="str">
        <f t="shared" si="139"/>
        <v>WARNING</v>
      </c>
    </row>
    <row r="874" spans="1:31">
      <c r="A874" t="s">
        <v>2727</v>
      </c>
      <c r="B874" s="3">
        <v>45302</v>
      </c>
      <c r="C874" s="3">
        <v>45598</v>
      </c>
      <c r="D874" t="s">
        <v>1995</v>
      </c>
      <c r="E874" t="s">
        <v>33</v>
      </c>
      <c r="F874" t="s">
        <v>100</v>
      </c>
      <c r="G874" t="s">
        <v>48</v>
      </c>
      <c r="H874" t="s">
        <v>109</v>
      </c>
      <c r="I874" t="s">
        <v>110</v>
      </c>
      <c r="J874" t="s">
        <v>51</v>
      </c>
      <c r="K874" t="s">
        <v>67</v>
      </c>
      <c r="L874" t="s">
        <v>2728</v>
      </c>
      <c r="M874" t="s">
        <v>69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42</v>
      </c>
      <c r="U874" t="s">
        <v>43</v>
      </c>
      <c r="V874" t="str">
        <f t="shared" si="130"/>
        <v/>
      </c>
      <c r="W874" t="str">
        <f t="shared" si="131"/>
        <v/>
      </c>
      <c r="X874">
        <f t="shared" si="132"/>
        <v>0.84852144912701888</v>
      </c>
      <c r="Y874">
        <f t="shared" si="133"/>
        <v>8848.08</v>
      </c>
      <c r="Z874">
        <f t="shared" si="134"/>
        <v>3156.5199999999995</v>
      </c>
      <c r="AA874">
        <f t="shared" si="135"/>
        <v>0.35674632236598219</v>
      </c>
      <c r="AB874">
        <f t="shared" si="136"/>
        <v>296</v>
      </c>
      <c r="AC874" t="str">
        <f t="shared" si="137"/>
        <v>January</v>
      </c>
      <c r="AD874">
        <f t="shared" si="138"/>
        <v>2024</v>
      </c>
      <c r="AE874" t="str">
        <f t="shared" si="139"/>
        <v>CLEAN</v>
      </c>
    </row>
    <row r="875" spans="1:31">
      <c r="A875" t="s">
        <v>2729</v>
      </c>
      <c r="B875" s="3">
        <v>45689</v>
      </c>
      <c r="C875" s="3">
        <v>45696</v>
      </c>
      <c r="D875" t="s">
        <v>2730</v>
      </c>
      <c r="E875" t="s">
        <v>99</v>
      </c>
      <c r="F875" t="s">
        <v>105</v>
      </c>
      <c r="G875" t="s">
        <v>73</v>
      </c>
      <c r="H875" t="s">
        <v>190</v>
      </c>
      <c r="I875" t="s">
        <v>191</v>
      </c>
      <c r="J875" t="s">
        <v>38</v>
      </c>
      <c r="K875" t="s">
        <v>134</v>
      </c>
      <c r="L875" t="s">
        <v>2731</v>
      </c>
      <c r="M875" t="s">
        <v>41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42</v>
      </c>
      <c r="U875" t="s">
        <v>43</v>
      </c>
      <c r="V875" t="str">
        <f t="shared" si="130"/>
        <v/>
      </c>
      <c r="W875" t="str">
        <f t="shared" si="131"/>
        <v/>
      </c>
      <c r="X875">
        <f t="shared" si="132"/>
        <v>-0.10880696539805437</v>
      </c>
      <c r="Y875">
        <f t="shared" si="133"/>
        <v>4487.8319999999994</v>
      </c>
      <c r="Z875">
        <f t="shared" si="134"/>
        <v>1854.0519999999992</v>
      </c>
      <c r="AA875">
        <f t="shared" si="135"/>
        <v>0.41312865543986482</v>
      </c>
      <c r="AB875">
        <f t="shared" si="136"/>
        <v>7</v>
      </c>
      <c r="AC875" t="str">
        <f t="shared" si="137"/>
        <v>February</v>
      </c>
      <c r="AD875">
        <f t="shared" si="138"/>
        <v>2025</v>
      </c>
      <c r="AE875" t="str">
        <f t="shared" si="139"/>
        <v>CLEAN</v>
      </c>
    </row>
    <row r="876" spans="1:31">
      <c r="A876" t="s">
        <v>2732</v>
      </c>
      <c r="B876" s="3">
        <v>45853</v>
      </c>
      <c r="C876" s="3">
        <v>45854</v>
      </c>
      <c r="D876" t="s">
        <v>2733</v>
      </c>
      <c r="E876" t="s">
        <v>81</v>
      </c>
      <c r="F876" t="s">
        <v>47</v>
      </c>
      <c r="G876" t="s">
        <v>73</v>
      </c>
      <c r="H876" t="s">
        <v>74</v>
      </c>
      <c r="I876" t="s">
        <v>75</v>
      </c>
      <c r="J876" t="s">
        <v>38</v>
      </c>
      <c r="K876" t="s">
        <v>39</v>
      </c>
      <c r="L876" t="s">
        <v>2734</v>
      </c>
      <c r="M876" t="s">
        <v>69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42</v>
      </c>
      <c r="U876" t="s">
        <v>43</v>
      </c>
      <c r="V876" t="str">
        <f t="shared" si="130"/>
        <v/>
      </c>
      <c r="W876" t="str">
        <f t="shared" si="131"/>
        <v/>
      </c>
      <c r="X876">
        <f t="shared" si="132"/>
        <v>-0.58747117266059101</v>
      </c>
      <c r="Y876">
        <f t="shared" si="133"/>
        <v>29829.088</v>
      </c>
      <c r="Z876">
        <f t="shared" si="134"/>
        <v>9118.9079999999994</v>
      </c>
      <c r="AA876">
        <f t="shared" si="135"/>
        <v>0.30570522303598419</v>
      </c>
      <c r="AB876">
        <f t="shared" si="136"/>
        <v>1</v>
      </c>
      <c r="AC876" t="str">
        <f t="shared" si="137"/>
        <v>July</v>
      </c>
      <c r="AD876">
        <f t="shared" si="138"/>
        <v>2025</v>
      </c>
      <c r="AE876" t="str">
        <f t="shared" si="139"/>
        <v>CLEAN</v>
      </c>
    </row>
    <row r="877" spans="1:31">
      <c r="A877" t="s">
        <v>2735</v>
      </c>
      <c r="B877" s="3">
        <v>45514</v>
      </c>
      <c r="C877" s="3">
        <v>45604</v>
      </c>
      <c r="D877" t="s">
        <v>2736</v>
      </c>
      <c r="E877" t="s">
        <v>46</v>
      </c>
      <c r="F877" t="s">
        <v>100</v>
      </c>
      <c r="G877" t="s">
        <v>73</v>
      </c>
      <c r="H877" t="s">
        <v>74</v>
      </c>
      <c r="I877" t="s">
        <v>75</v>
      </c>
      <c r="J877" t="s">
        <v>84</v>
      </c>
      <c r="K877" t="s">
        <v>90</v>
      </c>
      <c r="L877" t="s">
        <v>2737</v>
      </c>
      <c r="M877" t="s">
        <v>60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42</v>
      </c>
      <c r="U877" t="s">
        <v>43</v>
      </c>
      <c r="V877" t="str">
        <f t="shared" si="130"/>
        <v/>
      </c>
      <c r="W877" t="str">
        <f t="shared" si="131"/>
        <v/>
      </c>
      <c r="X877">
        <f t="shared" si="132"/>
        <v>0.84852144912701888</v>
      </c>
      <c r="Y877">
        <f t="shared" si="133"/>
        <v>21574.672000000002</v>
      </c>
      <c r="Z877">
        <f t="shared" si="134"/>
        <v>6901.8420000000024</v>
      </c>
      <c r="AA877">
        <f t="shared" si="135"/>
        <v>0.31990484026825539</v>
      </c>
      <c r="AB877">
        <f t="shared" si="136"/>
        <v>90</v>
      </c>
      <c r="AC877" t="str">
        <f t="shared" si="137"/>
        <v>August</v>
      </c>
      <c r="AD877">
        <f t="shared" si="138"/>
        <v>2024</v>
      </c>
      <c r="AE877" t="str">
        <f t="shared" si="139"/>
        <v>CLEAN</v>
      </c>
    </row>
    <row r="878" spans="1:31">
      <c r="A878" t="s">
        <v>2738</v>
      </c>
      <c r="B878" s="3">
        <v>45614</v>
      </c>
      <c r="C878" s="3">
        <v>45616</v>
      </c>
      <c r="D878" t="s">
        <v>2739</v>
      </c>
      <c r="E878" t="s">
        <v>124</v>
      </c>
      <c r="F878" t="s">
        <v>34</v>
      </c>
      <c r="G878" t="s">
        <v>73</v>
      </c>
      <c r="H878" t="s">
        <v>36</v>
      </c>
      <c r="I878" t="s">
        <v>119</v>
      </c>
      <c r="J878" t="s">
        <v>51</v>
      </c>
      <c r="K878" t="s">
        <v>76</v>
      </c>
      <c r="L878" t="s">
        <v>867</v>
      </c>
      <c r="M878" t="s">
        <v>60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42</v>
      </c>
      <c r="U878" t="s">
        <v>43</v>
      </c>
      <c r="V878" t="str">
        <f t="shared" si="130"/>
        <v/>
      </c>
      <c r="W878" t="str">
        <f t="shared" si="131"/>
        <v/>
      </c>
      <c r="X878">
        <f t="shared" si="132"/>
        <v>-1.0661353799231277</v>
      </c>
      <c r="Y878">
        <f t="shared" si="133"/>
        <v>22741.32</v>
      </c>
      <c r="Z878">
        <f t="shared" si="134"/>
        <v>6352.75</v>
      </c>
      <c r="AA878">
        <f t="shared" si="135"/>
        <v>0.27934834037777928</v>
      </c>
      <c r="AB878">
        <f t="shared" si="136"/>
        <v>2</v>
      </c>
      <c r="AC878" t="str">
        <f t="shared" si="137"/>
        <v>November</v>
      </c>
      <c r="AD878">
        <f t="shared" si="138"/>
        <v>2024</v>
      </c>
      <c r="AE878" t="str">
        <f t="shared" si="139"/>
        <v>CLEAN</v>
      </c>
    </row>
    <row r="879" spans="1:31">
      <c r="A879" t="s">
        <v>2740</v>
      </c>
      <c r="B879" s="3">
        <v>45895</v>
      </c>
      <c r="C879" s="3">
        <v>45903</v>
      </c>
      <c r="D879" t="s">
        <v>2741</v>
      </c>
      <c r="E879" t="s">
        <v>138</v>
      </c>
      <c r="F879" t="s">
        <v>34</v>
      </c>
      <c r="G879" t="s">
        <v>73</v>
      </c>
      <c r="H879" t="s">
        <v>36</v>
      </c>
      <c r="I879" t="s">
        <v>119</v>
      </c>
      <c r="J879" t="s">
        <v>38</v>
      </c>
      <c r="K879" t="s">
        <v>134</v>
      </c>
      <c r="L879" t="s">
        <v>2742</v>
      </c>
      <c r="M879" t="s">
        <v>41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42</v>
      </c>
      <c r="U879" t="s">
        <v>43</v>
      </c>
      <c r="V879" t="str">
        <f t="shared" si="130"/>
        <v/>
      </c>
      <c r="W879" t="str">
        <f t="shared" si="131"/>
        <v/>
      </c>
      <c r="X879">
        <f t="shared" si="132"/>
        <v>-0.10880696539805437</v>
      </c>
      <c r="Y879">
        <f t="shared" si="133"/>
        <v>3641.5439999999999</v>
      </c>
      <c r="Z879">
        <f t="shared" si="134"/>
        <v>951.17399999999998</v>
      </c>
      <c r="AA879">
        <f t="shared" si="135"/>
        <v>0.26120074342092253</v>
      </c>
      <c r="AB879">
        <f t="shared" si="136"/>
        <v>8</v>
      </c>
      <c r="AC879" t="str">
        <f t="shared" si="137"/>
        <v>August</v>
      </c>
      <c r="AD879">
        <f t="shared" si="138"/>
        <v>2025</v>
      </c>
      <c r="AE879" t="str">
        <f t="shared" si="139"/>
        <v>CLEAN</v>
      </c>
    </row>
    <row r="880" spans="1:31">
      <c r="A880" t="s">
        <v>2743</v>
      </c>
      <c r="B880" s="3">
        <v>45313</v>
      </c>
      <c r="C880" s="3">
        <v>45313</v>
      </c>
      <c r="D880" t="s">
        <v>2744</v>
      </c>
      <c r="E880" t="s">
        <v>33</v>
      </c>
      <c r="F880" t="s">
        <v>100</v>
      </c>
      <c r="G880" t="s">
        <v>48</v>
      </c>
      <c r="H880" t="s">
        <v>109</v>
      </c>
      <c r="I880" t="s">
        <v>110</v>
      </c>
      <c r="J880" t="s">
        <v>38</v>
      </c>
      <c r="K880" t="s">
        <v>39</v>
      </c>
      <c r="L880" t="s">
        <v>2745</v>
      </c>
      <c r="M880" t="s">
        <v>60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42</v>
      </c>
      <c r="U880" t="s">
        <v>43</v>
      </c>
      <c r="V880" t="str">
        <f t="shared" si="130"/>
        <v/>
      </c>
      <c r="W880" t="str">
        <f t="shared" si="131"/>
        <v/>
      </c>
      <c r="X880">
        <f t="shared" si="132"/>
        <v>-0.58747117266059101</v>
      </c>
      <c r="Y880">
        <f t="shared" si="133"/>
        <v>11834.796</v>
      </c>
      <c r="Z880">
        <f t="shared" si="134"/>
        <v>2512.4359999999997</v>
      </c>
      <c r="AA880">
        <f t="shared" si="135"/>
        <v>0.21229229468763125</v>
      </c>
      <c r="AB880">
        <f t="shared" si="136"/>
        <v>0</v>
      </c>
      <c r="AC880" t="str">
        <f t="shared" si="137"/>
        <v>January</v>
      </c>
      <c r="AD880">
        <f t="shared" si="138"/>
        <v>2024</v>
      </c>
      <c r="AE880" t="str">
        <f t="shared" si="139"/>
        <v>CLEAN</v>
      </c>
    </row>
    <row r="881" spans="1:31">
      <c r="A881" t="s">
        <v>2746</v>
      </c>
      <c r="B881" s="3">
        <v>45896</v>
      </c>
      <c r="C881" s="3">
        <v>45897</v>
      </c>
      <c r="D881" t="s">
        <v>2747</v>
      </c>
      <c r="E881" t="s">
        <v>72</v>
      </c>
      <c r="F881" t="s">
        <v>105</v>
      </c>
      <c r="G881" t="s">
        <v>35</v>
      </c>
      <c r="H881" t="s">
        <v>146</v>
      </c>
      <c r="I881" t="s">
        <v>147</v>
      </c>
      <c r="J881" t="s">
        <v>38</v>
      </c>
      <c r="K881" t="s">
        <v>58</v>
      </c>
      <c r="L881" t="s">
        <v>2748</v>
      </c>
      <c r="M881" t="s">
        <v>69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42</v>
      </c>
      <c r="U881" t="s">
        <v>43</v>
      </c>
      <c r="V881" t="str">
        <f t="shared" si="130"/>
        <v/>
      </c>
      <c r="W881" t="str">
        <f t="shared" si="131"/>
        <v/>
      </c>
      <c r="X881">
        <f t="shared" si="132"/>
        <v>0.3698572418644821</v>
      </c>
      <c r="Y881">
        <f t="shared" si="133"/>
        <v>6028.3530000000001</v>
      </c>
      <c r="Z881">
        <f t="shared" si="134"/>
        <v>1594.723</v>
      </c>
      <c r="AA881">
        <f t="shared" si="135"/>
        <v>0.26453709661660491</v>
      </c>
      <c r="AB881">
        <f t="shared" si="136"/>
        <v>1</v>
      </c>
      <c r="AC881" t="str">
        <f t="shared" si="137"/>
        <v>August</v>
      </c>
      <c r="AD881">
        <f t="shared" si="138"/>
        <v>2025</v>
      </c>
      <c r="AE881" t="str">
        <f t="shared" si="139"/>
        <v>CLEAN</v>
      </c>
    </row>
    <row r="882" spans="1:31">
      <c r="A882" t="s">
        <v>2749</v>
      </c>
      <c r="B882" s="3">
        <v>45359</v>
      </c>
      <c r="C882" s="3">
        <v>45366</v>
      </c>
      <c r="D882" t="s">
        <v>2750</v>
      </c>
      <c r="E882" t="s">
        <v>138</v>
      </c>
      <c r="F882" t="s">
        <v>47</v>
      </c>
      <c r="G882" t="s">
        <v>215</v>
      </c>
      <c r="H882" t="s">
        <v>132</v>
      </c>
      <c r="I882" t="s">
        <v>133</v>
      </c>
      <c r="J882" t="s">
        <v>51</v>
      </c>
      <c r="K882" t="s">
        <v>76</v>
      </c>
      <c r="L882" t="s">
        <v>2751</v>
      </c>
      <c r="M882" t="s">
        <v>60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42</v>
      </c>
      <c r="U882" t="s">
        <v>43</v>
      </c>
      <c r="V882" t="str">
        <f t="shared" si="130"/>
        <v/>
      </c>
      <c r="W882" t="str">
        <f t="shared" si="131"/>
        <v/>
      </c>
      <c r="X882">
        <f t="shared" si="132"/>
        <v>-1.0661353799231277</v>
      </c>
      <c r="Y882">
        <f t="shared" si="133"/>
        <v>16173.85</v>
      </c>
      <c r="Z882">
        <f t="shared" si="134"/>
        <v>2537.5100000000002</v>
      </c>
      <c r="AA882">
        <f t="shared" si="135"/>
        <v>0.15688967067210344</v>
      </c>
      <c r="AB882">
        <f t="shared" si="136"/>
        <v>7</v>
      </c>
      <c r="AC882" t="str">
        <f t="shared" si="137"/>
        <v>March</v>
      </c>
      <c r="AD882">
        <f t="shared" si="138"/>
        <v>2024</v>
      </c>
      <c r="AE882" t="str">
        <f t="shared" si="139"/>
        <v>CLEAN</v>
      </c>
    </row>
    <row r="883" spans="1:31">
      <c r="A883" t="s">
        <v>2752</v>
      </c>
      <c r="B883" s="3">
        <v>45627</v>
      </c>
      <c r="C883" s="3">
        <v>45631</v>
      </c>
      <c r="D883" t="s">
        <v>2753</v>
      </c>
      <c r="E883" t="s">
        <v>72</v>
      </c>
      <c r="F883" t="s">
        <v>47</v>
      </c>
      <c r="G883" t="s">
        <v>64</v>
      </c>
      <c r="H883" t="s">
        <v>94</v>
      </c>
      <c r="I883" t="s">
        <v>95</v>
      </c>
      <c r="J883" t="s">
        <v>84</v>
      </c>
      <c r="K883" t="s">
        <v>90</v>
      </c>
      <c r="L883" t="s">
        <v>2754</v>
      </c>
      <c r="M883" t="s">
        <v>41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42</v>
      </c>
      <c r="U883" t="s">
        <v>43</v>
      </c>
      <c r="V883" t="str">
        <f t="shared" si="130"/>
        <v/>
      </c>
      <c r="W883" t="str">
        <f t="shared" si="131"/>
        <v/>
      </c>
      <c r="X883">
        <f t="shared" si="132"/>
        <v>1.3271856563895552</v>
      </c>
      <c r="Y883">
        <f t="shared" si="133"/>
        <v>25155.5625</v>
      </c>
      <c r="Z883">
        <f t="shared" si="134"/>
        <v>7562.8725000000013</v>
      </c>
      <c r="AA883">
        <f t="shared" si="135"/>
        <v>0.30064414182747856</v>
      </c>
      <c r="AB883">
        <f t="shared" si="136"/>
        <v>4</v>
      </c>
      <c r="AC883" t="str">
        <f t="shared" si="137"/>
        <v>December</v>
      </c>
      <c r="AD883">
        <f t="shared" si="138"/>
        <v>2024</v>
      </c>
      <c r="AE883" t="str">
        <f t="shared" si="139"/>
        <v>CLEAN</v>
      </c>
    </row>
    <row r="884" spans="1:31">
      <c r="A884" t="s">
        <v>2755</v>
      </c>
      <c r="B884" s="3">
        <v>45690</v>
      </c>
      <c r="C884" s="3">
        <v>45932</v>
      </c>
      <c r="D884" t="s">
        <v>2756</v>
      </c>
      <c r="E884" t="s">
        <v>142</v>
      </c>
      <c r="F884" t="s">
        <v>100</v>
      </c>
      <c r="G884" t="s">
        <v>48</v>
      </c>
      <c r="H884" t="s">
        <v>155</v>
      </c>
      <c r="I884" t="s">
        <v>156</v>
      </c>
      <c r="J884" t="s">
        <v>84</v>
      </c>
      <c r="K884" t="s">
        <v>85</v>
      </c>
      <c r="L884" t="s">
        <v>2757</v>
      </c>
      <c r="M884" t="s">
        <v>69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121</v>
      </c>
      <c r="U884" t="s">
        <v>113</v>
      </c>
      <c r="V884" t="str">
        <f t="shared" si="130"/>
        <v/>
      </c>
      <c r="W884" t="str">
        <f t="shared" si="131"/>
        <v/>
      </c>
      <c r="X884">
        <f t="shared" si="132"/>
        <v>-1.0661353799231277</v>
      </c>
      <c r="Y884">
        <f t="shared" si="133"/>
        <v>7649.8</v>
      </c>
      <c r="Z884">
        <f t="shared" si="134"/>
        <v>2755.2700000000004</v>
      </c>
      <c r="AA884">
        <f t="shared" si="135"/>
        <v>0.36017542942299152</v>
      </c>
      <c r="AB884">
        <f t="shared" si="136"/>
        <v>242</v>
      </c>
      <c r="AC884" t="str">
        <f t="shared" si="137"/>
        <v>February</v>
      </c>
      <c r="AD884">
        <f t="shared" si="138"/>
        <v>2025</v>
      </c>
      <c r="AE884" t="str">
        <f t="shared" si="139"/>
        <v>CLEAN</v>
      </c>
    </row>
    <row r="885" spans="1:31">
      <c r="A885" t="s">
        <v>2758</v>
      </c>
      <c r="B885" s="3">
        <v>45775</v>
      </c>
      <c r="C885" s="3">
        <v>45662</v>
      </c>
      <c r="D885" t="s">
        <v>2759</v>
      </c>
      <c r="E885" t="s">
        <v>138</v>
      </c>
      <c r="F885" t="s">
        <v>47</v>
      </c>
      <c r="G885" t="s">
        <v>73</v>
      </c>
      <c r="H885" t="s">
        <v>200</v>
      </c>
      <c r="I885" t="s">
        <v>201</v>
      </c>
      <c r="J885" t="s">
        <v>38</v>
      </c>
      <c r="K885" t="s">
        <v>134</v>
      </c>
      <c r="L885" t="s">
        <v>2760</v>
      </c>
      <c r="M885" t="s">
        <v>54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42</v>
      </c>
      <c r="U885" t="s">
        <v>43</v>
      </c>
      <c r="V885" t="str">
        <f t="shared" si="130"/>
        <v/>
      </c>
      <c r="W885" t="str">
        <f t="shared" si="131"/>
        <v>Invalid Shipping Record</v>
      </c>
      <c r="X885">
        <f t="shared" si="132"/>
        <v>-1.0661353799231277</v>
      </c>
      <c r="Y885">
        <f t="shared" si="133"/>
        <v>1620.87</v>
      </c>
      <c r="Z885">
        <f t="shared" si="134"/>
        <v>517.26</v>
      </c>
      <c r="AA885">
        <f t="shared" si="135"/>
        <v>0.31912491439782342</v>
      </c>
      <c r="AB885" t="e">
        <f t="shared" si="136"/>
        <v>#NUM!</v>
      </c>
      <c r="AC885" t="str">
        <f t="shared" si="137"/>
        <v>April</v>
      </c>
      <c r="AD885">
        <f t="shared" si="138"/>
        <v>2025</v>
      </c>
      <c r="AE885" t="str">
        <f t="shared" si="139"/>
        <v>INVALID</v>
      </c>
    </row>
    <row r="886" spans="1:31">
      <c r="A886" t="s">
        <v>2761</v>
      </c>
      <c r="B886" s="3">
        <v>45675</v>
      </c>
      <c r="C886" s="3">
        <v>45682</v>
      </c>
      <c r="D886" t="s">
        <v>2762</v>
      </c>
      <c r="E886" t="s">
        <v>89</v>
      </c>
      <c r="F886" t="s">
        <v>105</v>
      </c>
      <c r="G886" t="s">
        <v>64</v>
      </c>
      <c r="H886" t="s">
        <v>185</v>
      </c>
      <c r="I886" t="s">
        <v>186</v>
      </c>
      <c r="J886" t="s">
        <v>38</v>
      </c>
      <c r="K886" t="s">
        <v>134</v>
      </c>
      <c r="L886" t="s">
        <v>2763</v>
      </c>
      <c r="M886" t="s">
        <v>54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42</v>
      </c>
      <c r="U886" t="s">
        <v>43</v>
      </c>
      <c r="V886" t="str">
        <f t="shared" si="130"/>
        <v/>
      </c>
      <c r="W886" t="str">
        <f t="shared" si="131"/>
        <v/>
      </c>
      <c r="X886">
        <f t="shared" si="132"/>
        <v>0.3698572418644821</v>
      </c>
      <c r="Y886">
        <f t="shared" si="133"/>
        <v>3567.518</v>
      </c>
      <c r="Z886">
        <f t="shared" si="134"/>
        <v>1155.7179999999998</v>
      </c>
      <c r="AA886">
        <f t="shared" si="135"/>
        <v>0.32395575859743381</v>
      </c>
      <c r="AB886">
        <f t="shared" si="136"/>
        <v>7</v>
      </c>
      <c r="AC886" t="str">
        <f t="shared" si="137"/>
        <v>January</v>
      </c>
      <c r="AD886">
        <f t="shared" si="138"/>
        <v>2025</v>
      </c>
      <c r="AE886" t="str">
        <f t="shared" si="139"/>
        <v>CLEAN</v>
      </c>
    </row>
    <row r="887" spans="1:31">
      <c r="A887" t="s">
        <v>2764</v>
      </c>
      <c r="B887" s="3">
        <v>45296</v>
      </c>
      <c r="C887" s="3">
        <v>45296</v>
      </c>
      <c r="D887" t="s">
        <v>2765</v>
      </c>
      <c r="E887" t="s">
        <v>172</v>
      </c>
      <c r="F887" t="s">
        <v>34</v>
      </c>
      <c r="G887" t="s">
        <v>35</v>
      </c>
      <c r="H887" t="s">
        <v>36</v>
      </c>
      <c r="I887" t="s">
        <v>37</v>
      </c>
      <c r="J887" t="s">
        <v>51</v>
      </c>
      <c r="K887" t="s">
        <v>52</v>
      </c>
      <c r="L887" t="s">
        <v>2766</v>
      </c>
      <c r="M887" t="s">
        <v>69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42</v>
      </c>
      <c r="U887" t="s">
        <v>43</v>
      </c>
      <c r="V887" t="str">
        <f t="shared" si="130"/>
        <v/>
      </c>
      <c r="W887" t="str">
        <f t="shared" si="131"/>
        <v/>
      </c>
      <c r="X887">
        <f t="shared" si="132"/>
        <v>1.3271856563895552</v>
      </c>
      <c r="Y887">
        <f t="shared" si="133"/>
        <v>1625.31</v>
      </c>
      <c r="Z887">
        <f t="shared" si="134"/>
        <v>467.41999999999985</v>
      </c>
      <c r="AA887">
        <f t="shared" si="135"/>
        <v>0.28758821394072509</v>
      </c>
      <c r="AB887">
        <f t="shared" si="136"/>
        <v>0</v>
      </c>
      <c r="AC887" t="str">
        <f t="shared" si="137"/>
        <v>January</v>
      </c>
      <c r="AD887">
        <f t="shared" si="138"/>
        <v>2024</v>
      </c>
      <c r="AE887" t="str">
        <f t="shared" si="139"/>
        <v>CLEAN</v>
      </c>
    </row>
    <row r="888" spans="1:31">
      <c r="A888" t="s">
        <v>2767</v>
      </c>
      <c r="B888" s="3">
        <v>45773</v>
      </c>
      <c r="C888" s="3">
        <v>45780</v>
      </c>
      <c r="D888" t="s">
        <v>2768</v>
      </c>
      <c r="E888" t="s">
        <v>63</v>
      </c>
      <c r="F888" t="s">
        <v>105</v>
      </c>
      <c r="G888" t="s">
        <v>64</v>
      </c>
      <c r="H888" t="s">
        <v>259</v>
      </c>
      <c r="I888" t="s">
        <v>260</v>
      </c>
      <c r="J888" t="s">
        <v>84</v>
      </c>
      <c r="K888" t="s">
        <v>85</v>
      </c>
      <c r="L888" t="s">
        <v>2769</v>
      </c>
      <c r="M888" t="s">
        <v>60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42</v>
      </c>
      <c r="U888" t="s">
        <v>78</v>
      </c>
      <c r="V888" t="str">
        <f t="shared" si="130"/>
        <v/>
      </c>
      <c r="W888" t="str">
        <f t="shared" si="131"/>
        <v/>
      </c>
      <c r="X888">
        <f t="shared" si="132"/>
        <v>0.3698572418644821</v>
      </c>
      <c r="Y888">
        <f t="shared" si="133"/>
        <v>23739.904999999999</v>
      </c>
      <c r="Z888">
        <f t="shared" si="134"/>
        <v>6023.3849999999984</v>
      </c>
      <c r="AA888">
        <f t="shared" si="135"/>
        <v>0.25372405660427028</v>
      </c>
      <c r="AB888">
        <f t="shared" si="136"/>
        <v>7</v>
      </c>
      <c r="AC888" t="str">
        <f t="shared" si="137"/>
        <v>April</v>
      </c>
      <c r="AD888">
        <f t="shared" si="138"/>
        <v>2025</v>
      </c>
      <c r="AE888" t="str">
        <f t="shared" si="139"/>
        <v>WARNING</v>
      </c>
    </row>
    <row r="889" spans="1:31">
      <c r="A889" t="s">
        <v>2770</v>
      </c>
      <c r="B889" s="3">
        <v>45455</v>
      </c>
      <c r="C889" s="3">
        <v>45461</v>
      </c>
      <c r="D889" t="s">
        <v>2771</v>
      </c>
      <c r="E889" t="s">
        <v>138</v>
      </c>
      <c r="F889" t="s">
        <v>47</v>
      </c>
      <c r="G889" t="s">
        <v>64</v>
      </c>
      <c r="H889" t="s">
        <v>94</v>
      </c>
      <c r="I889" t="s">
        <v>95</v>
      </c>
      <c r="J889" t="s">
        <v>38</v>
      </c>
      <c r="K889" t="s">
        <v>58</v>
      </c>
      <c r="L889" t="s">
        <v>2772</v>
      </c>
      <c r="M889" t="s">
        <v>69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42</v>
      </c>
      <c r="U889" t="s">
        <v>43</v>
      </c>
      <c r="V889" t="str">
        <f t="shared" si="130"/>
        <v/>
      </c>
      <c r="W889" t="str">
        <f t="shared" si="131"/>
        <v/>
      </c>
      <c r="X889">
        <f t="shared" si="132"/>
        <v>-1.0661353799231277</v>
      </c>
      <c r="Y889">
        <f t="shared" si="133"/>
        <v>16704.52</v>
      </c>
      <c r="Z889">
        <f t="shared" si="134"/>
        <v>6546.24</v>
      </c>
      <c r="AA889">
        <f t="shared" si="135"/>
        <v>0.39188435225914897</v>
      </c>
      <c r="AB889">
        <f t="shared" si="136"/>
        <v>6</v>
      </c>
      <c r="AC889" t="str">
        <f t="shared" si="137"/>
        <v>June</v>
      </c>
      <c r="AD889">
        <f t="shared" si="138"/>
        <v>2024</v>
      </c>
      <c r="AE889" t="str">
        <f t="shared" si="139"/>
        <v>CLEAN</v>
      </c>
    </row>
    <row r="890" spans="1:31">
      <c r="A890" t="s">
        <v>2773</v>
      </c>
      <c r="B890" s="3">
        <v>45875</v>
      </c>
      <c r="C890" s="3">
        <v>45876</v>
      </c>
      <c r="D890" t="s">
        <v>2774</v>
      </c>
      <c r="E890" t="s">
        <v>128</v>
      </c>
      <c r="F890" t="s">
        <v>47</v>
      </c>
      <c r="G890" t="s">
        <v>73</v>
      </c>
      <c r="H890" t="s">
        <v>74</v>
      </c>
      <c r="I890" t="s">
        <v>75</v>
      </c>
      <c r="J890" t="s">
        <v>38</v>
      </c>
      <c r="K890" t="s">
        <v>58</v>
      </c>
      <c r="L890" t="s">
        <v>2775</v>
      </c>
      <c r="M890" t="s">
        <v>69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112</v>
      </c>
      <c r="U890" t="s">
        <v>78</v>
      </c>
      <c r="V890" t="str">
        <f t="shared" si="130"/>
        <v/>
      </c>
      <c r="W890" t="str">
        <f t="shared" si="131"/>
        <v/>
      </c>
      <c r="X890">
        <f t="shared" si="132"/>
        <v>-0.10880696539805437</v>
      </c>
      <c r="Y890">
        <f t="shared" si="133"/>
        <v>12685.103999999999</v>
      </c>
      <c r="Z890">
        <f t="shared" si="134"/>
        <v>1905.5439999999999</v>
      </c>
      <c r="AA890">
        <f t="shared" si="135"/>
        <v>0.15021902855506741</v>
      </c>
      <c r="AB890">
        <f t="shared" si="136"/>
        <v>1</v>
      </c>
      <c r="AC890" t="str">
        <f t="shared" si="137"/>
        <v>August</v>
      </c>
      <c r="AD890">
        <f t="shared" si="138"/>
        <v>2025</v>
      </c>
      <c r="AE890" t="str">
        <f t="shared" si="139"/>
        <v>WARNING</v>
      </c>
    </row>
    <row r="891" spans="1:31">
      <c r="A891" t="s">
        <v>2776</v>
      </c>
      <c r="B891" s="3">
        <v>45726</v>
      </c>
      <c r="C891" s="3">
        <v>45964</v>
      </c>
      <c r="D891" t="s">
        <v>905</v>
      </c>
      <c r="E891" t="s">
        <v>99</v>
      </c>
      <c r="F891" t="s">
        <v>105</v>
      </c>
      <c r="G891" t="s">
        <v>73</v>
      </c>
      <c r="H891" t="s">
        <v>82</v>
      </c>
      <c r="I891" t="s">
        <v>83</v>
      </c>
      <c r="J891" t="s">
        <v>38</v>
      </c>
      <c r="K891" t="s">
        <v>134</v>
      </c>
      <c r="L891" t="s">
        <v>2777</v>
      </c>
      <c r="M891" t="s">
        <v>60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42</v>
      </c>
      <c r="U891" t="s">
        <v>113</v>
      </c>
      <c r="V891" t="str">
        <f t="shared" si="130"/>
        <v/>
      </c>
      <c r="W891" t="str">
        <f t="shared" si="131"/>
        <v/>
      </c>
      <c r="X891">
        <f t="shared" si="132"/>
        <v>1.3271856563895552</v>
      </c>
      <c r="Y891">
        <f t="shared" si="133"/>
        <v>5883.12</v>
      </c>
      <c r="Z891">
        <f t="shared" si="134"/>
        <v>1235.21</v>
      </c>
      <c r="AA891">
        <f t="shared" si="135"/>
        <v>0.20995832143488491</v>
      </c>
      <c r="AB891">
        <f t="shared" si="136"/>
        <v>238</v>
      </c>
      <c r="AC891" t="str">
        <f t="shared" si="137"/>
        <v>March</v>
      </c>
      <c r="AD891">
        <f t="shared" si="138"/>
        <v>2025</v>
      </c>
      <c r="AE891" t="str">
        <f t="shared" si="139"/>
        <v>CLEAN</v>
      </c>
    </row>
    <row r="892" spans="1:31">
      <c r="A892" t="s">
        <v>2778</v>
      </c>
      <c r="B892" s="3">
        <v>45427</v>
      </c>
      <c r="C892" s="3">
        <v>45433</v>
      </c>
      <c r="D892" t="s">
        <v>2779</v>
      </c>
      <c r="E892" t="s">
        <v>33</v>
      </c>
      <c r="F892" t="s">
        <v>34</v>
      </c>
      <c r="G892" t="s">
        <v>73</v>
      </c>
      <c r="H892" t="s">
        <v>200</v>
      </c>
      <c r="I892" t="s">
        <v>201</v>
      </c>
      <c r="J892" t="s">
        <v>38</v>
      </c>
      <c r="K892" t="s">
        <v>134</v>
      </c>
      <c r="L892" t="s">
        <v>2780</v>
      </c>
      <c r="M892" t="s">
        <v>69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42</v>
      </c>
      <c r="U892" t="s">
        <v>43</v>
      </c>
      <c r="V892" t="str">
        <f t="shared" si="130"/>
        <v/>
      </c>
      <c r="W892" t="str">
        <f t="shared" si="131"/>
        <v/>
      </c>
      <c r="X892">
        <f t="shared" si="132"/>
        <v>0.84852144912701888</v>
      </c>
      <c r="Y892">
        <f t="shared" si="133"/>
        <v>13965.888000000001</v>
      </c>
      <c r="Z892">
        <f t="shared" si="134"/>
        <v>2319.768</v>
      </c>
      <c r="AA892">
        <f t="shared" si="135"/>
        <v>0.16610243473239938</v>
      </c>
      <c r="AB892">
        <f t="shared" si="136"/>
        <v>6</v>
      </c>
      <c r="AC892" t="str">
        <f t="shared" si="137"/>
        <v>May</v>
      </c>
      <c r="AD892">
        <f t="shared" si="138"/>
        <v>2024</v>
      </c>
      <c r="AE892" t="str">
        <f t="shared" si="139"/>
        <v>CLEAN</v>
      </c>
    </row>
    <row r="893" spans="1:31">
      <c r="A893" t="s">
        <v>2781</v>
      </c>
      <c r="B893" s="3">
        <v>45573</v>
      </c>
      <c r="C893" s="3">
        <v>45574</v>
      </c>
      <c r="D893" t="s">
        <v>2782</v>
      </c>
      <c r="E893" t="s">
        <v>276</v>
      </c>
      <c r="F893" t="s">
        <v>100</v>
      </c>
      <c r="G893" t="s">
        <v>64</v>
      </c>
      <c r="H893" t="s">
        <v>259</v>
      </c>
      <c r="I893" t="s">
        <v>260</v>
      </c>
      <c r="J893" t="s">
        <v>84</v>
      </c>
      <c r="K893" t="s">
        <v>286</v>
      </c>
      <c r="L893" t="s">
        <v>2783</v>
      </c>
      <c r="M893" t="s">
        <v>54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165</v>
      </c>
      <c r="U893" t="s">
        <v>78</v>
      </c>
      <c r="V893" t="str">
        <f t="shared" si="130"/>
        <v/>
      </c>
      <c r="W893" t="str">
        <f t="shared" si="131"/>
        <v/>
      </c>
      <c r="X893">
        <f t="shared" si="132"/>
        <v>-0.10880696539805437</v>
      </c>
      <c r="Y893">
        <f t="shared" si="133"/>
        <v>10835.865</v>
      </c>
      <c r="Z893">
        <f t="shared" si="134"/>
        <v>4415.9449999999997</v>
      </c>
      <c r="AA893">
        <f t="shared" si="135"/>
        <v>0.40753045557507406</v>
      </c>
      <c r="AB893">
        <f t="shared" si="136"/>
        <v>1</v>
      </c>
      <c r="AC893" t="str">
        <f t="shared" si="137"/>
        <v>October</v>
      </c>
      <c r="AD893">
        <f t="shared" si="138"/>
        <v>2024</v>
      </c>
      <c r="AE893" t="str">
        <f t="shared" si="139"/>
        <v>WARNING</v>
      </c>
    </row>
    <row r="894" spans="1:31">
      <c r="A894" t="s">
        <v>2784</v>
      </c>
      <c r="B894" s="3">
        <v>45995</v>
      </c>
      <c r="C894" s="3">
        <v>45765</v>
      </c>
      <c r="D894" t="s">
        <v>2785</v>
      </c>
      <c r="E894" t="s">
        <v>57</v>
      </c>
      <c r="F894" t="s">
        <v>47</v>
      </c>
      <c r="G894" t="s">
        <v>48</v>
      </c>
      <c r="H894" t="s">
        <v>240</v>
      </c>
      <c r="I894" t="s">
        <v>241</v>
      </c>
      <c r="J894" t="s">
        <v>84</v>
      </c>
      <c r="K894" t="s">
        <v>90</v>
      </c>
      <c r="L894" t="s">
        <v>2786</v>
      </c>
      <c r="M894" t="s">
        <v>54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42</v>
      </c>
      <c r="U894" t="s">
        <v>43</v>
      </c>
      <c r="V894" t="str">
        <f t="shared" si="130"/>
        <v/>
      </c>
      <c r="W894" t="str">
        <f t="shared" si="131"/>
        <v>Invalid Shipping Record</v>
      </c>
      <c r="X894">
        <f t="shared" si="132"/>
        <v>0.84852144912701888</v>
      </c>
      <c r="Y894">
        <f t="shared" si="133"/>
        <v>581.51200000000006</v>
      </c>
      <c r="Z894">
        <f t="shared" si="134"/>
        <v>157.65200000000004</v>
      </c>
      <c r="AA894">
        <f t="shared" si="135"/>
        <v>0.27110704508247468</v>
      </c>
      <c r="AB894" t="e">
        <f t="shared" si="136"/>
        <v>#NUM!</v>
      </c>
      <c r="AC894" t="str">
        <f t="shared" si="137"/>
        <v>December</v>
      </c>
      <c r="AD894">
        <f t="shared" si="138"/>
        <v>2025</v>
      </c>
      <c r="AE894" t="str">
        <f t="shared" si="139"/>
        <v>INVALID</v>
      </c>
    </row>
    <row r="895" spans="1:31">
      <c r="A895" t="s">
        <v>2787</v>
      </c>
      <c r="B895" s="3">
        <v>45449</v>
      </c>
      <c r="C895" s="3">
        <v>45451</v>
      </c>
      <c r="D895" t="s">
        <v>2788</v>
      </c>
      <c r="E895" t="s">
        <v>138</v>
      </c>
      <c r="F895" t="s">
        <v>100</v>
      </c>
      <c r="G895" t="s">
        <v>64</v>
      </c>
      <c r="H895" t="s">
        <v>185</v>
      </c>
      <c r="I895" t="s">
        <v>186</v>
      </c>
      <c r="J895" t="s">
        <v>51</v>
      </c>
      <c r="K895" t="s">
        <v>52</v>
      </c>
      <c r="L895" t="s">
        <v>2789</v>
      </c>
      <c r="M895" t="s">
        <v>41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42</v>
      </c>
      <c r="U895" t="s">
        <v>113</v>
      </c>
      <c r="V895" t="str">
        <f t="shared" si="130"/>
        <v/>
      </c>
      <c r="W895" t="str">
        <f t="shared" si="131"/>
        <v/>
      </c>
      <c r="X895">
        <f t="shared" si="132"/>
        <v>-0.58747117266059101</v>
      </c>
      <c r="Y895">
        <f t="shared" si="133"/>
        <v>1127.1465000000001</v>
      </c>
      <c r="Z895">
        <f t="shared" si="134"/>
        <v>281.52650000000006</v>
      </c>
      <c r="AA895">
        <f t="shared" si="135"/>
        <v>0.24976921810962466</v>
      </c>
      <c r="AB895">
        <f t="shared" si="136"/>
        <v>2</v>
      </c>
      <c r="AC895" t="str">
        <f t="shared" si="137"/>
        <v>June</v>
      </c>
      <c r="AD895">
        <f t="shared" si="138"/>
        <v>2024</v>
      </c>
      <c r="AE895" t="str">
        <f t="shared" si="139"/>
        <v>CLEAN</v>
      </c>
    </row>
    <row r="896" spans="1:31">
      <c r="A896" t="s">
        <v>2790</v>
      </c>
      <c r="B896" s="3">
        <v>45344</v>
      </c>
      <c r="C896" s="3">
        <v>45351</v>
      </c>
      <c r="D896" t="s">
        <v>2791</v>
      </c>
      <c r="E896" t="s">
        <v>57</v>
      </c>
      <c r="F896" t="s">
        <v>105</v>
      </c>
      <c r="G896" t="s">
        <v>64</v>
      </c>
      <c r="H896" t="s">
        <v>65</v>
      </c>
      <c r="I896" t="s">
        <v>66</v>
      </c>
      <c r="J896" t="s">
        <v>51</v>
      </c>
      <c r="K896" t="s">
        <v>52</v>
      </c>
      <c r="L896" t="s">
        <v>2792</v>
      </c>
      <c r="M896" t="s">
        <v>60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42</v>
      </c>
      <c r="U896" t="s">
        <v>43</v>
      </c>
      <c r="V896" t="str">
        <f t="shared" si="130"/>
        <v/>
      </c>
      <c r="W896" t="str">
        <f t="shared" si="131"/>
        <v/>
      </c>
      <c r="X896">
        <f t="shared" si="132"/>
        <v>-1.0661353799231277</v>
      </c>
      <c r="Y896">
        <f t="shared" si="133"/>
        <v>25524.300000000003</v>
      </c>
      <c r="Z896">
        <f t="shared" si="134"/>
        <v>8812.3700000000026</v>
      </c>
      <c r="AA896">
        <f t="shared" si="135"/>
        <v>0.34525413037771857</v>
      </c>
      <c r="AB896">
        <f t="shared" si="136"/>
        <v>7</v>
      </c>
      <c r="AC896" t="str">
        <f t="shared" si="137"/>
        <v>February</v>
      </c>
      <c r="AD896">
        <f t="shared" si="138"/>
        <v>2024</v>
      </c>
      <c r="AE896" t="str">
        <f t="shared" si="139"/>
        <v>CLEAN</v>
      </c>
    </row>
    <row r="897" spans="1:31">
      <c r="A897" t="s">
        <v>2793</v>
      </c>
      <c r="B897" s="3">
        <v>45601</v>
      </c>
      <c r="C897" s="3">
        <v>45576</v>
      </c>
      <c r="D897" t="s">
        <v>2794</v>
      </c>
      <c r="E897" t="s">
        <v>63</v>
      </c>
      <c r="F897" t="s">
        <v>34</v>
      </c>
      <c r="G897" t="s">
        <v>64</v>
      </c>
      <c r="H897" t="s">
        <v>195</v>
      </c>
      <c r="I897" t="s">
        <v>196</v>
      </c>
      <c r="J897" t="s">
        <v>51</v>
      </c>
      <c r="K897" t="s">
        <v>76</v>
      </c>
      <c r="L897" t="s">
        <v>2795</v>
      </c>
      <c r="M897" t="s">
        <v>54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121</v>
      </c>
      <c r="U897" t="s">
        <v>113</v>
      </c>
      <c r="V897" t="str">
        <f t="shared" si="130"/>
        <v/>
      </c>
      <c r="W897" t="str">
        <f t="shared" si="131"/>
        <v>Invalid Shipping Record</v>
      </c>
      <c r="X897">
        <f t="shared" si="132"/>
        <v>0.3698572418644821</v>
      </c>
      <c r="Y897">
        <f t="shared" si="133"/>
        <v>2418.0119999999997</v>
      </c>
      <c r="Z897">
        <f t="shared" si="134"/>
        <v>976.12199999999962</v>
      </c>
      <c r="AA897">
        <f t="shared" si="135"/>
        <v>0.40368782288921634</v>
      </c>
      <c r="AB897" t="e">
        <f t="shared" si="136"/>
        <v>#NUM!</v>
      </c>
      <c r="AC897" t="str">
        <f t="shared" si="137"/>
        <v>November</v>
      </c>
      <c r="AD897">
        <f t="shared" si="138"/>
        <v>2024</v>
      </c>
      <c r="AE897" t="str">
        <f t="shared" si="139"/>
        <v>INVALID</v>
      </c>
    </row>
    <row r="898" spans="1:31">
      <c r="A898" t="s">
        <v>2796</v>
      </c>
      <c r="B898" s="3">
        <v>45650</v>
      </c>
      <c r="C898" s="3">
        <v>45651</v>
      </c>
      <c r="D898" t="s">
        <v>2797</v>
      </c>
      <c r="E898" t="s">
        <v>72</v>
      </c>
      <c r="F898" t="s">
        <v>47</v>
      </c>
      <c r="G898" t="s">
        <v>64</v>
      </c>
      <c r="H898" t="s">
        <v>259</v>
      </c>
      <c r="I898" t="s">
        <v>260</v>
      </c>
      <c r="J898" t="s">
        <v>84</v>
      </c>
      <c r="K898" t="s">
        <v>90</v>
      </c>
      <c r="L898" t="s">
        <v>2798</v>
      </c>
      <c r="M898" t="s">
        <v>41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165</v>
      </c>
      <c r="U898" t="s">
        <v>113</v>
      </c>
      <c r="V898" t="str">
        <f t="shared" si="130"/>
        <v/>
      </c>
      <c r="W898" t="str">
        <f t="shared" si="131"/>
        <v/>
      </c>
      <c r="X898">
        <f t="shared" si="132"/>
        <v>-0.58747117266059101</v>
      </c>
      <c r="Y898">
        <f t="shared" si="133"/>
        <v>3508.3784999999998</v>
      </c>
      <c r="Z898">
        <f t="shared" si="134"/>
        <v>680.31849999999986</v>
      </c>
      <c r="AA898">
        <f t="shared" si="135"/>
        <v>0.19391251542557336</v>
      </c>
      <c r="AB898">
        <f t="shared" si="136"/>
        <v>1</v>
      </c>
      <c r="AC898" t="str">
        <f t="shared" si="137"/>
        <v>December</v>
      </c>
      <c r="AD898">
        <f t="shared" si="138"/>
        <v>2024</v>
      </c>
      <c r="AE898" t="str">
        <f t="shared" si="139"/>
        <v>CLEAN</v>
      </c>
    </row>
    <row r="899" spans="1:31">
      <c r="A899" t="s">
        <v>2799</v>
      </c>
      <c r="B899" s="3">
        <v>45776</v>
      </c>
      <c r="C899" s="3">
        <v>45780</v>
      </c>
      <c r="D899" t="s">
        <v>2158</v>
      </c>
      <c r="E899" t="s">
        <v>151</v>
      </c>
      <c r="F899" t="s">
        <v>100</v>
      </c>
      <c r="G899" t="s">
        <v>35</v>
      </c>
      <c r="H899" t="s">
        <v>248</v>
      </c>
      <c r="I899" t="s">
        <v>249</v>
      </c>
      <c r="J899" t="s">
        <v>38</v>
      </c>
      <c r="K899" t="s">
        <v>39</v>
      </c>
      <c r="L899" t="s">
        <v>2800</v>
      </c>
      <c r="M899" t="s">
        <v>60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42</v>
      </c>
      <c r="U899" t="s">
        <v>43</v>
      </c>
      <c r="V899" t="str">
        <f t="shared" ref="V899:V933" si="140">IF(AND(N899&gt;0,O899&gt;0,Q899&gt;0,R899&gt;=0,S899&lt;&gt;""),IF(OR(P899&lt;0,ABS(P899-AVERAGE($P:$P))&gt;2*_xlfn.STDEV.P($P:$P)),"Invalid Discount",""),"")</f>
        <v/>
      </c>
      <c r="W899" t="str">
        <f t="shared" ref="W899:W933" si="141">IF(AND(B899&lt;&gt;"",C899&lt;&gt;""),IF(C899&lt;B899,"Invalid Shipping Record",""),"")</f>
        <v/>
      </c>
      <c r="X899">
        <f t="shared" ref="X899:X933" si="142">(P899-AVERAGE($P:$P))/_xlfn.STDEV.P($P:$P)</f>
        <v>-0.58747117266059101</v>
      </c>
      <c r="Y899">
        <f t="shared" ref="Y899:Y933" si="143">N899*O899*(1-P899)</f>
        <v>6789.27</v>
      </c>
      <c r="Z899">
        <f t="shared" ref="Z899:Z933" si="144">Y899-R899</f>
        <v>1162.8400000000001</v>
      </c>
      <c r="AA899">
        <f t="shared" ref="AA899:AA933" si="145">IF(Y899=0,0,Z899/Y899)</f>
        <v>0.17127614603631908</v>
      </c>
      <c r="AB899">
        <f t="shared" ref="AB899:AB933" si="146">DATEDIF(B899,C899,"d")</f>
        <v>4</v>
      </c>
      <c r="AC899" t="str">
        <f t="shared" ref="AC899:AC933" si="147">TEXT(B899,"mmmm")</f>
        <v>April</v>
      </c>
      <c r="AD899">
        <f t="shared" ref="AD899:AD933" si="148">YEAR(B899)</f>
        <v>2025</v>
      </c>
      <c r="AE899" t="str">
        <f t="shared" ref="AE899:AE933" si="149">IF(OR(V899="Invalid Discount",W899="Invalid Shipping Record"),"INVALID",IF(U899="Cancelled","WARNING","CLEAN"))</f>
        <v>CLEAN</v>
      </c>
    </row>
    <row r="900" spans="1:31">
      <c r="A900" t="s">
        <v>2801</v>
      </c>
      <c r="B900" s="3">
        <v>45445</v>
      </c>
      <c r="C900" s="3">
        <v>45510</v>
      </c>
      <c r="D900" t="s">
        <v>2802</v>
      </c>
      <c r="E900" t="s">
        <v>81</v>
      </c>
      <c r="F900" t="s">
        <v>34</v>
      </c>
      <c r="G900" t="s">
        <v>35</v>
      </c>
      <c r="H900" t="s">
        <v>362</v>
      </c>
      <c r="I900" t="s">
        <v>363</v>
      </c>
      <c r="J900" t="s">
        <v>51</v>
      </c>
      <c r="K900" t="s">
        <v>52</v>
      </c>
      <c r="L900" t="s">
        <v>2803</v>
      </c>
      <c r="M900" t="s">
        <v>60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42</v>
      </c>
      <c r="U900" t="s">
        <v>43</v>
      </c>
      <c r="V900" t="str">
        <f t="shared" si="140"/>
        <v/>
      </c>
      <c r="W900" t="str">
        <f t="shared" si="141"/>
        <v/>
      </c>
      <c r="X900">
        <f t="shared" si="142"/>
        <v>0.84852144912701888</v>
      </c>
      <c r="Y900">
        <f t="shared" si="143"/>
        <v>4917.4400000000005</v>
      </c>
      <c r="Z900">
        <f t="shared" si="144"/>
        <v>1070.6700000000005</v>
      </c>
      <c r="AA900">
        <f t="shared" si="145"/>
        <v>0.21772914361944434</v>
      </c>
      <c r="AB900">
        <f t="shared" si="146"/>
        <v>65</v>
      </c>
      <c r="AC900" t="str">
        <f t="shared" si="147"/>
        <v>June</v>
      </c>
      <c r="AD900">
        <f t="shared" si="148"/>
        <v>2024</v>
      </c>
      <c r="AE900" t="str">
        <f t="shared" si="149"/>
        <v>CLEAN</v>
      </c>
    </row>
    <row r="901" spans="1:31">
      <c r="A901" t="s">
        <v>2804</v>
      </c>
      <c r="B901" s="3">
        <v>45804</v>
      </c>
      <c r="C901" s="3">
        <v>45722</v>
      </c>
      <c r="D901" t="s">
        <v>2805</v>
      </c>
      <c r="E901" t="s">
        <v>33</v>
      </c>
      <c r="F901" t="s">
        <v>34</v>
      </c>
      <c r="G901" t="s">
        <v>35</v>
      </c>
      <c r="H901" t="s">
        <v>132</v>
      </c>
      <c r="I901" t="s">
        <v>133</v>
      </c>
      <c r="J901" t="s">
        <v>51</v>
      </c>
      <c r="K901" t="s">
        <v>76</v>
      </c>
      <c r="L901" t="s">
        <v>2806</v>
      </c>
      <c r="M901" t="s">
        <v>60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165</v>
      </c>
      <c r="U901" t="s">
        <v>78</v>
      </c>
      <c r="V901" t="str">
        <f t="shared" si="140"/>
        <v/>
      </c>
      <c r="W901" t="str">
        <f t="shared" si="141"/>
        <v>Invalid Shipping Record</v>
      </c>
      <c r="X901">
        <f t="shared" si="142"/>
        <v>1.3271856563895552</v>
      </c>
      <c r="Y901">
        <f t="shared" si="143"/>
        <v>3304.05</v>
      </c>
      <c r="Z901">
        <f t="shared" si="144"/>
        <v>1024.6400000000003</v>
      </c>
      <c r="AA901">
        <f t="shared" si="145"/>
        <v>0.31011637233092726</v>
      </c>
      <c r="AB901" t="e">
        <f t="shared" si="146"/>
        <v>#NUM!</v>
      </c>
      <c r="AC901" t="str">
        <f t="shared" si="147"/>
        <v>May</v>
      </c>
      <c r="AD901">
        <f t="shared" si="148"/>
        <v>2025</v>
      </c>
      <c r="AE901" t="str">
        <f t="shared" si="149"/>
        <v>INVALID</v>
      </c>
    </row>
    <row r="902" spans="1:31">
      <c r="A902" t="s">
        <v>1121</v>
      </c>
      <c r="B902" s="3">
        <v>45630</v>
      </c>
      <c r="C902" s="3">
        <v>45632</v>
      </c>
      <c r="D902" t="s">
        <v>1122</v>
      </c>
      <c r="E902" t="s">
        <v>142</v>
      </c>
      <c r="F902" t="s">
        <v>105</v>
      </c>
      <c r="G902" t="s">
        <v>48</v>
      </c>
      <c r="H902" t="s">
        <v>49</v>
      </c>
      <c r="I902" t="s">
        <v>50</v>
      </c>
      <c r="J902" t="s">
        <v>38</v>
      </c>
      <c r="K902" t="s">
        <v>163</v>
      </c>
      <c r="L902" t="s">
        <v>1123</v>
      </c>
      <c r="M902" t="s">
        <v>41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42</v>
      </c>
      <c r="U902" t="s">
        <v>43</v>
      </c>
      <c r="V902" t="str">
        <f t="shared" si="140"/>
        <v/>
      </c>
      <c r="W902" t="str">
        <f t="shared" si="141"/>
        <v/>
      </c>
      <c r="X902">
        <f t="shared" si="142"/>
        <v>-1.0661353799231277</v>
      </c>
      <c r="Y902">
        <f t="shared" si="143"/>
        <v>10742.64</v>
      </c>
      <c r="Z902">
        <f t="shared" si="144"/>
        <v>4265.2699999999995</v>
      </c>
      <c r="AA902">
        <f t="shared" si="145"/>
        <v>0.39704113700170535</v>
      </c>
      <c r="AB902">
        <f t="shared" si="146"/>
        <v>2</v>
      </c>
      <c r="AC902" t="str">
        <f t="shared" si="147"/>
        <v>December</v>
      </c>
      <c r="AD902">
        <f t="shared" si="148"/>
        <v>2024</v>
      </c>
      <c r="AE902" t="str">
        <f t="shared" si="149"/>
        <v>CLEAN</v>
      </c>
    </row>
    <row r="903" spans="1:31">
      <c r="A903" t="s">
        <v>392</v>
      </c>
      <c r="B903" s="3">
        <v>45893</v>
      </c>
      <c r="C903" s="3">
        <v>45898</v>
      </c>
      <c r="D903" t="s">
        <v>393</v>
      </c>
      <c r="E903" t="s">
        <v>138</v>
      </c>
      <c r="F903" t="s">
        <v>47</v>
      </c>
      <c r="G903" t="s">
        <v>48</v>
      </c>
      <c r="H903" t="s">
        <v>155</v>
      </c>
      <c r="I903" t="s">
        <v>156</v>
      </c>
      <c r="J903" t="s">
        <v>84</v>
      </c>
      <c r="K903" t="s">
        <v>90</v>
      </c>
      <c r="L903" t="s">
        <v>394</v>
      </c>
      <c r="M903" t="s">
        <v>60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42</v>
      </c>
      <c r="U903" t="s">
        <v>113</v>
      </c>
      <c r="V903" t="str">
        <f t="shared" si="140"/>
        <v/>
      </c>
      <c r="W903" t="str">
        <f t="shared" si="141"/>
        <v/>
      </c>
      <c r="X903">
        <f t="shared" si="142"/>
        <v>0.3698572418644821</v>
      </c>
      <c r="Y903">
        <f t="shared" si="143"/>
        <v>9445.098</v>
      </c>
      <c r="Z903">
        <f t="shared" si="144"/>
        <v>3858.8180000000002</v>
      </c>
      <c r="AA903">
        <f t="shared" si="145"/>
        <v>0.40855245758170006</v>
      </c>
      <c r="AB903">
        <f t="shared" si="146"/>
        <v>5</v>
      </c>
      <c r="AC903" t="str">
        <f t="shared" si="147"/>
        <v>August</v>
      </c>
      <c r="AD903">
        <f t="shared" si="148"/>
        <v>2025</v>
      </c>
      <c r="AE903" t="str">
        <f t="shared" si="149"/>
        <v>CLEAN</v>
      </c>
    </row>
    <row r="904" spans="1:31">
      <c r="A904" t="s">
        <v>1247</v>
      </c>
      <c r="B904" s="3">
        <v>45760</v>
      </c>
      <c r="C904" s="3">
        <v>45760</v>
      </c>
      <c r="D904" t="s">
        <v>1248</v>
      </c>
      <c r="E904" t="s">
        <v>142</v>
      </c>
      <c r="F904" t="s">
        <v>47</v>
      </c>
      <c r="G904" t="s">
        <v>35</v>
      </c>
      <c r="H904" t="s">
        <v>146</v>
      </c>
      <c r="I904" t="s">
        <v>147</v>
      </c>
      <c r="J904" t="s">
        <v>38</v>
      </c>
      <c r="K904" t="s">
        <v>134</v>
      </c>
      <c r="L904" t="s">
        <v>1249</v>
      </c>
      <c r="M904" t="s">
        <v>41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42</v>
      </c>
      <c r="U904" t="s">
        <v>113</v>
      </c>
      <c r="V904" t="str">
        <f t="shared" si="140"/>
        <v/>
      </c>
      <c r="W904" t="str">
        <f t="shared" si="141"/>
        <v/>
      </c>
      <c r="X904">
        <f t="shared" si="142"/>
        <v>-1.0661353799231277</v>
      </c>
      <c r="Y904">
        <f t="shared" si="143"/>
        <v>10068.120000000001</v>
      </c>
      <c r="Z904">
        <f t="shared" si="144"/>
        <v>1472.75</v>
      </c>
      <c r="AA904">
        <f t="shared" si="145"/>
        <v>0.14627855051389932</v>
      </c>
      <c r="AB904">
        <f t="shared" si="146"/>
        <v>0</v>
      </c>
      <c r="AC904" t="str">
        <f t="shared" si="147"/>
        <v>April</v>
      </c>
      <c r="AD904">
        <f t="shared" si="148"/>
        <v>2025</v>
      </c>
      <c r="AE904" t="str">
        <f t="shared" si="149"/>
        <v>CLEAN</v>
      </c>
    </row>
    <row r="905" spans="1:31">
      <c r="A905" t="s">
        <v>800</v>
      </c>
      <c r="B905" s="3">
        <v>45698</v>
      </c>
      <c r="C905" s="3">
        <v>45938</v>
      </c>
      <c r="D905" t="s">
        <v>801</v>
      </c>
      <c r="E905" t="s">
        <v>57</v>
      </c>
      <c r="F905" t="s">
        <v>47</v>
      </c>
      <c r="G905" t="s">
        <v>35</v>
      </c>
      <c r="H905" t="s">
        <v>132</v>
      </c>
      <c r="I905" t="s">
        <v>133</v>
      </c>
      <c r="J905" t="s">
        <v>51</v>
      </c>
      <c r="K905" t="s">
        <v>67</v>
      </c>
      <c r="L905" t="s">
        <v>802</v>
      </c>
      <c r="M905" t="s">
        <v>69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42</v>
      </c>
      <c r="U905" t="s">
        <v>113</v>
      </c>
      <c r="V905" t="str">
        <f t="shared" si="140"/>
        <v/>
      </c>
      <c r="W905" t="str">
        <f t="shared" si="141"/>
        <v/>
      </c>
      <c r="X905">
        <f t="shared" si="142"/>
        <v>1.3271856563895552</v>
      </c>
      <c r="Y905">
        <f t="shared" si="143"/>
        <v>11833.92</v>
      </c>
      <c r="Z905">
        <f t="shared" si="144"/>
        <v>5151</v>
      </c>
      <c r="AA905">
        <f t="shared" si="145"/>
        <v>0.43527419485681834</v>
      </c>
      <c r="AB905">
        <f t="shared" si="146"/>
        <v>240</v>
      </c>
      <c r="AC905" t="str">
        <f t="shared" si="147"/>
        <v>February</v>
      </c>
      <c r="AD905">
        <f t="shared" si="148"/>
        <v>2025</v>
      </c>
      <c r="AE905" t="str">
        <f t="shared" si="149"/>
        <v>CLEAN</v>
      </c>
    </row>
    <row r="906" spans="1:31">
      <c r="A906" t="s">
        <v>1071</v>
      </c>
      <c r="B906" s="3">
        <v>45795</v>
      </c>
      <c r="C906" s="3">
        <v>45797</v>
      </c>
      <c r="D906" t="s">
        <v>1072</v>
      </c>
      <c r="E906" t="s">
        <v>57</v>
      </c>
      <c r="F906" t="s">
        <v>100</v>
      </c>
      <c r="G906" t="s">
        <v>73</v>
      </c>
      <c r="H906" t="s">
        <v>82</v>
      </c>
      <c r="I906" t="s">
        <v>83</v>
      </c>
      <c r="J906" t="s">
        <v>38</v>
      </c>
      <c r="K906" t="s">
        <v>101</v>
      </c>
      <c r="L906" t="s">
        <v>1073</v>
      </c>
      <c r="M906" t="s">
        <v>69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165</v>
      </c>
      <c r="U906" t="s">
        <v>43</v>
      </c>
      <c r="V906" t="str">
        <f t="shared" si="140"/>
        <v/>
      </c>
      <c r="W906" t="str">
        <f t="shared" si="141"/>
        <v/>
      </c>
      <c r="X906">
        <f t="shared" si="142"/>
        <v>0.3698572418644821</v>
      </c>
      <c r="Y906">
        <f t="shared" si="143"/>
        <v>6485.3639999999996</v>
      </c>
      <c r="Z906">
        <f t="shared" si="144"/>
        <v>1109.1939999999995</v>
      </c>
      <c r="AA906">
        <f t="shared" si="145"/>
        <v>0.17103033846673826</v>
      </c>
      <c r="AB906">
        <f t="shared" si="146"/>
        <v>2</v>
      </c>
      <c r="AC906" t="str">
        <f t="shared" si="147"/>
        <v>May</v>
      </c>
      <c r="AD906">
        <f t="shared" si="148"/>
        <v>2025</v>
      </c>
      <c r="AE906" t="str">
        <f t="shared" si="149"/>
        <v>CLEAN</v>
      </c>
    </row>
    <row r="907" spans="1:31">
      <c r="A907" t="s">
        <v>635</v>
      </c>
      <c r="B907" s="3">
        <v>45907</v>
      </c>
      <c r="C907" s="3">
        <v>45915</v>
      </c>
      <c r="D907" t="s">
        <v>636</v>
      </c>
      <c r="E907" t="s">
        <v>151</v>
      </c>
      <c r="F907" t="s">
        <v>100</v>
      </c>
      <c r="G907" t="s">
        <v>48</v>
      </c>
      <c r="H907" t="s">
        <v>155</v>
      </c>
      <c r="I907" t="s">
        <v>156</v>
      </c>
      <c r="J907" t="s">
        <v>84</v>
      </c>
      <c r="K907" t="s">
        <v>90</v>
      </c>
      <c r="L907" t="s">
        <v>637</v>
      </c>
      <c r="M907" t="s">
        <v>69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42</v>
      </c>
      <c r="U907" t="s">
        <v>113</v>
      </c>
      <c r="V907" t="str">
        <f t="shared" si="140"/>
        <v/>
      </c>
      <c r="W907" t="str">
        <f t="shared" si="141"/>
        <v/>
      </c>
      <c r="X907">
        <f t="shared" si="142"/>
        <v>-1.0661353799231277</v>
      </c>
      <c r="Y907">
        <f t="shared" si="143"/>
        <v>5133.96</v>
      </c>
      <c r="Z907">
        <f t="shared" si="144"/>
        <v>1203.96</v>
      </c>
      <c r="AA907">
        <f t="shared" si="145"/>
        <v>0.23450903396208775</v>
      </c>
      <c r="AB907">
        <f t="shared" si="146"/>
        <v>8</v>
      </c>
      <c r="AC907" t="str">
        <f t="shared" si="147"/>
        <v>September</v>
      </c>
      <c r="AD907">
        <f t="shared" si="148"/>
        <v>2025</v>
      </c>
      <c r="AE907" t="str">
        <f t="shared" si="149"/>
        <v>CLEAN</v>
      </c>
    </row>
    <row r="908" spans="1:31">
      <c r="A908" t="s">
        <v>1400</v>
      </c>
      <c r="B908" s="3">
        <v>45342</v>
      </c>
      <c r="C908" s="3">
        <v>45349</v>
      </c>
      <c r="D908" t="s">
        <v>1401</v>
      </c>
      <c r="E908" t="s">
        <v>172</v>
      </c>
      <c r="F908" t="s">
        <v>34</v>
      </c>
      <c r="G908" t="s">
        <v>64</v>
      </c>
      <c r="H908" t="s">
        <v>195</v>
      </c>
      <c r="I908" t="s">
        <v>196</v>
      </c>
      <c r="J908" t="s">
        <v>84</v>
      </c>
      <c r="K908" t="s">
        <v>85</v>
      </c>
      <c r="L908" t="s">
        <v>1402</v>
      </c>
      <c r="M908" t="s">
        <v>1403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42</v>
      </c>
      <c r="U908" t="s">
        <v>113</v>
      </c>
      <c r="V908" t="str">
        <f t="shared" si="140"/>
        <v/>
      </c>
      <c r="W908" t="str">
        <f t="shared" si="141"/>
        <v/>
      </c>
      <c r="X908">
        <f t="shared" si="142"/>
        <v>0.84852144912701888</v>
      </c>
      <c r="Y908">
        <f t="shared" si="143"/>
        <v>27211.032000000003</v>
      </c>
      <c r="Z908">
        <f t="shared" si="144"/>
        <v>9270.6020000000026</v>
      </c>
      <c r="AA908">
        <f t="shared" si="145"/>
        <v>0.34069277490100347</v>
      </c>
      <c r="AB908">
        <f t="shared" si="146"/>
        <v>7</v>
      </c>
      <c r="AC908" t="str">
        <f t="shared" si="147"/>
        <v>February</v>
      </c>
      <c r="AD908">
        <f t="shared" si="148"/>
        <v>2024</v>
      </c>
      <c r="AE908" t="str">
        <f t="shared" si="149"/>
        <v>CLEAN</v>
      </c>
    </row>
    <row r="909" spans="1:31">
      <c r="A909" t="s">
        <v>1844</v>
      </c>
      <c r="B909" s="3">
        <v>45698</v>
      </c>
      <c r="C909" s="3">
        <v>45702</v>
      </c>
      <c r="D909" t="s">
        <v>1845</v>
      </c>
      <c r="E909" t="s">
        <v>124</v>
      </c>
      <c r="F909" t="s">
        <v>47</v>
      </c>
      <c r="G909" t="s">
        <v>35</v>
      </c>
      <c r="H909" t="s">
        <v>146</v>
      </c>
      <c r="I909" t="s">
        <v>147</v>
      </c>
      <c r="J909" t="s">
        <v>84</v>
      </c>
      <c r="K909" t="s">
        <v>181</v>
      </c>
      <c r="L909" t="s">
        <v>1846</v>
      </c>
      <c r="M909" t="s">
        <v>215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165</v>
      </c>
      <c r="U909" t="s">
        <v>43</v>
      </c>
      <c r="V909" t="str">
        <f t="shared" si="140"/>
        <v/>
      </c>
      <c r="W909" t="str">
        <f t="shared" si="141"/>
        <v/>
      </c>
      <c r="X909">
        <f t="shared" si="142"/>
        <v>-1.0661353799231277</v>
      </c>
      <c r="Y909">
        <f t="shared" si="143"/>
        <v>21381.45</v>
      </c>
      <c r="Z909">
        <f t="shared" si="144"/>
        <v>8141.2400000000016</v>
      </c>
      <c r="AA909">
        <f t="shared" si="145"/>
        <v>0.38076182859441249</v>
      </c>
      <c r="AB909">
        <f t="shared" si="146"/>
        <v>4</v>
      </c>
      <c r="AC909" t="str">
        <f t="shared" si="147"/>
        <v>February</v>
      </c>
      <c r="AD909">
        <f t="shared" si="148"/>
        <v>2025</v>
      </c>
      <c r="AE909" t="str">
        <f t="shared" si="149"/>
        <v>CLEAN</v>
      </c>
    </row>
    <row r="910" spans="1:31">
      <c r="A910" t="s">
        <v>549</v>
      </c>
      <c r="B910" s="3">
        <v>45381</v>
      </c>
      <c r="C910" s="3">
        <v>45377</v>
      </c>
      <c r="D910" t="s">
        <v>550</v>
      </c>
      <c r="E910" t="s">
        <v>99</v>
      </c>
      <c r="F910" t="s">
        <v>105</v>
      </c>
      <c r="G910" t="s">
        <v>35</v>
      </c>
      <c r="H910" t="s">
        <v>36</v>
      </c>
      <c r="I910" t="s">
        <v>37</v>
      </c>
      <c r="J910" t="s">
        <v>84</v>
      </c>
      <c r="K910" t="s">
        <v>181</v>
      </c>
      <c r="L910" t="s">
        <v>551</v>
      </c>
      <c r="M910" t="s">
        <v>41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42</v>
      </c>
      <c r="U910" t="s">
        <v>113</v>
      </c>
      <c r="V910" t="str">
        <f t="shared" si="140"/>
        <v/>
      </c>
      <c r="W910" t="str">
        <f t="shared" si="141"/>
        <v>Invalid Shipping Record</v>
      </c>
      <c r="X910">
        <f t="shared" si="142"/>
        <v>0.3698572418644821</v>
      </c>
      <c r="Y910">
        <f t="shared" si="143"/>
        <v>3857.0449999999996</v>
      </c>
      <c r="Z910">
        <f t="shared" si="144"/>
        <v>1087.7849999999994</v>
      </c>
      <c r="AA910">
        <f t="shared" si="145"/>
        <v>0.28202548842442843</v>
      </c>
      <c r="AB910" t="e">
        <f t="shared" si="146"/>
        <v>#NUM!</v>
      </c>
      <c r="AC910" t="str">
        <f t="shared" si="147"/>
        <v>March</v>
      </c>
      <c r="AD910">
        <f t="shared" si="148"/>
        <v>2024</v>
      </c>
      <c r="AE910" t="str">
        <f t="shared" si="149"/>
        <v>INVALID</v>
      </c>
    </row>
    <row r="911" spans="1:31">
      <c r="A911" t="s">
        <v>945</v>
      </c>
      <c r="B911" s="3">
        <v>45522</v>
      </c>
      <c r="C911" s="3">
        <v>45528</v>
      </c>
      <c r="D911" t="s">
        <v>946</v>
      </c>
      <c r="E911" t="s">
        <v>63</v>
      </c>
      <c r="F911" t="s">
        <v>34</v>
      </c>
      <c r="G911" t="s">
        <v>64</v>
      </c>
      <c r="H911" t="s">
        <v>94</v>
      </c>
      <c r="I911" t="s">
        <v>95</v>
      </c>
      <c r="J911" t="s">
        <v>51</v>
      </c>
      <c r="K911" t="s">
        <v>76</v>
      </c>
      <c r="L911" t="s">
        <v>947</v>
      </c>
      <c r="M911" t="s">
        <v>60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42</v>
      </c>
      <c r="U911" t="s">
        <v>113</v>
      </c>
      <c r="V911" t="str">
        <f t="shared" si="140"/>
        <v/>
      </c>
      <c r="W911" t="str">
        <f t="shared" si="141"/>
        <v/>
      </c>
      <c r="X911">
        <f t="shared" si="142"/>
        <v>-0.10880696539805437</v>
      </c>
      <c r="Y911">
        <f t="shared" si="143"/>
        <v>3510.4230000000002</v>
      </c>
      <c r="Z911">
        <f t="shared" si="144"/>
        <v>1318.9230000000002</v>
      </c>
      <c r="AA911">
        <f t="shared" si="145"/>
        <v>0.37571625983535323</v>
      </c>
      <c r="AB911">
        <f t="shared" si="146"/>
        <v>6</v>
      </c>
      <c r="AC911" t="str">
        <f t="shared" si="147"/>
        <v>August</v>
      </c>
      <c r="AD911">
        <f t="shared" si="148"/>
        <v>2024</v>
      </c>
      <c r="AE911" t="str">
        <f t="shared" si="149"/>
        <v>CLEAN</v>
      </c>
    </row>
    <row r="912" spans="1:31">
      <c r="A912" t="s">
        <v>491</v>
      </c>
      <c r="B912" s="3">
        <v>45436</v>
      </c>
      <c r="C912" s="3">
        <v>45437</v>
      </c>
      <c r="D912" t="s">
        <v>492</v>
      </c>
      <c r="E912" t="s">
        <v>142</v>
      </c>
      <c r="F912" t="s">
        <v>47</v>
      </c>
      <c r="G912" t="s">
        <v>493</v>
      </c>
      <c r="H912" t="s">
        <v>132</v>
      </c>
      <c r="I912" t="s">
        <v>133</v>
      </c>
      <c r="J912" t="s">
        <v>84</v>
      </c>
      <c r="K912" t="s">
        <v>90</v>
      </c>
      <c r="L912" t="s">
        <v>494</v>
      </c>
      <c r="M912" t="s">
        <v>54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112</v>
      </c>
      <c r="U912" t="s">
        <v>113</v>
      </c>
      <c r="V912" t="str">
        <f t="shared" si="140"/>
        <v/>
      </c>
      <c r="W912" t="str">
        <f t="shared" si="141"/>
        <v/>
      </c>
      <c r="X912">
        <f t="shared" si="142"/>
        <v>-1.0661353799231277</v>
      </c>
      <c r="Y912">
        <f t="shared" si="143"/>
        <v>634.13</v>
      </c>
      <c r="Z912">
        <f t="shared" si="144"/>
        <v>180.77999999999997</v>
      </c>
      <c r="AA912">
        <f t="shared" si="145"/>
        <v>0.28508350022865969</v>
      </c>
      <c r="AB912">
        <f t="shared" si="146"/>
        <v>1</v>
      </c>
      <c r="AC912" t="str">
        <f t="shared" si="147"/>
        <v>May</v>
      </c>
      <c r="AD912">
        <f t="shared" si="148"/>
        <v>2024</v>
      </c>
      <c r="AE912" t="str">
        <f t="shared" si="149"/>
        <v>CLEAN</v>
      </c>
    </row>
    <row r="913" spans="1:31">
      <c r="A913" t="s">
        <v>1134</v>
      </c>
      <c r="B913" s="3">
        <v>45824</v>
      </c>
      <c r="C913" s="3">
        <v>45826</v>
      </c>
      <c r="D913" t="s">
        <v>1135</v>
      </c>
      <c r="E913" t="s">
        <v>128</v>
      </c>
      <c r="F913" t="s">
        <v>105</v>
      </c>
      <c r="G913" t="s">
        <v>73</v>
      </c>
      <c r="H913" t="s">
        <v>82</v>
      </c>
      <c r="I913" t="s">
        <v>83</v>
      </c>
      <c r="J913" t="s">
        <v>38</v>
      </c>
      <c r="K913" t="s">
        <v>39</v>
      </c>
      <c r="L913" t="s">
        <v>1136</v>
      </c>
      <c r="M913" t="s">
        <v>60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42</v>
      </c>
      <c r="U913" t="s">
        <v>113</v>
      </c>
      <c r="V913" t="str">
        <f t="shared" si="140"/>
        <v/>
      </c>
      <c r="W913" t="str">
        <f t="shared" si="141"/>
        <v/>
      </c>
      <c r="X913">
        <f t="shared" si="142"/>
        <v>-0.10880696539805437</v>
      </c>
      <c r="Y913">
        <f t="shared" si="143"/>
        <v>11581.299000000001</v>
      </c>
      <c r="Z913">
        <f t="shared" si="144"/>
        <v>4751.8690000000006</v>
      </c>
      <c r="AA913">
        <f t="shared" si="145"/>
        <v>0.41030535521101735</v>
      </c>
      <c r="AB913">
        <f t="shared" si="146"/>
        <v>2</v>
      </c>
      <c r="AC913" t="str">
        <f t="shared" si="147"/>
        <v>June</v>
      </c>
      <c r="AD913">
        <f t="shared" si="148"/>
        <v>2025</v>
      </c>
      <c r="AE913" t="str">
        <f t="shared" si="149"/>
        <v>CLEAN</v>
      </c>
    </row>
    <row r="914" spans="1:31">
      <c r="G914" t="s">
        <v>215</v>
      </c>
      <c r="M914" t="s">
        <v>215</v>
      </c>
      <c r="V914" t="str">
        <f t="shared" si="140"/>
        <v/>
      </c>
      <c r="W914" t="str">
        <f t="shared" si="141"/>
        <v/>
      </c>
      <c r="X914">
        <f t="shared" si="142"/>
        <v>-1.0661353799231277</v>
      </c>
      <c r="Y914">
        <f t="shared" si="143"/>
        <v>0</v>
      </c>
      <c r="Z914">
        <f t="shared" si="144"/>
        <v>0</v>
      </c>
      <c r="AA914">
        <f t="shared" si="145"/>
        <v>0</v>
      </c>
      <c r="AB914">
        <f t="shared" si="146"/>
        <v>0</v>
      </c>
      <c r="AC914" t="str">
        <f t="shared" si="147"/>
        <v>January</v>
      </c>
      <c r="AD914">
        <f t="shared" si="148"/>
        <v>1900</v>
      </c>
      <c r="AE914" t="str">
        <f t="shared" si="149"/>
        <v>CLEAN</v>
      </c>
    </row>
    <row r="915" spans="1:31">
      <c r="G915" t="s">
        <v>215</v>
      </c>
      <c r="M915" t="s">
        <v>215</v>
      </c>
      <c r="V915" t="str">
        <f t="shared" si="140"/>
        <v/>
      </c>
      <c r="W915" t="str">
        <f t="shared" si="141"/>
        <v/>
      </c>
      <c r="X915">
        <f t="shared" si="142"/>
        <v>-1.0661353799231277</v>
      </c>
      <c r="Y915">
        <f t="shared" si="143"/>
        <v>0</v>
      </c>
      <c r="Z915">
        <f t="shared" si="144"/>
        <v>0</v>
      </c>
      <c r="AA915">
        <f t="shared" si="145"/>
        <v>0</v>
      </c>
      <c r="AB915">
        <f t="shared" si="146"/>
        <v>0</v>
      </c>
      <c r="AC915" t="str">
        <f t="shared" si="147"/>
        <v>January</v>
      </c>
      <c r="AD915">
        <f t="shared" si="148"/>
        <v>1900</v>
      </c>
      <c r="AE915" t="str">
        <f t="shared" si="149"/>
        <v>CLEAN</v>
      </c>
    </row>
    <row r="916" spans="1:31">
      <c r="G916" t="s">
        <v>215</v>
      </c>
      <c r="M916" t="s">
        <v>215</v>
      </c>
      <c r="V916" t="str">
        <f t="shared" si="140"/>
        <v/>
      </c>
      <c r="W916" t="str">
        <f t="shared" si="141"/>
        <v/>
      </c>
      <c r="X916">
        <f t="shared" si="142"/>
        <v>-1.0661353799231277</v>
      </c>
      <c r="Y916">
        <f t="shared" si="143"/>
        <v>0</v>
      </c>
      <c r="Z916">
        <f t="shared" si="144"/>
        <v>0</v>
      </c>
      <c r="AA916">
        <f t="shared" si="145"/>
        <v>0</v>
      </c>
      <c r="AB916">
        <f t="shared" si="146"/>
        <v>0</v>
      </c>
      <c r="AC916" t="str">
        <f t="shared" si="147"/>
        <v>January</v>
      </c>
      <c r="AD916">
        <f t="shared" si="148"/>
        <v>1900</v>
      </c>
      <c r="AE916" t="str">
        <f t="shared" si="149"/>
        <v>CLEAN</v>
      </c>
    </row>
    <row r="917" spans="1:31">
      <c r="G917" t="s">
        <v>215</v>
      </c>
      <c r="M917" t="s">
        <v>215</v>
      </c>
      <c r="V917" t="str">
        <f t="shared" si="140"/>
        <v/>
      </c>
      <c r="W917" t="str">
        <f t="shared" si="141"/>
        <v/>
      </c>
      <c r="X917">
        <f t="shared" si="142"/>
        <v>-1.0661353799231277</v>
      </c>
      <c r="Y917">
        <f t="shared" si="143"/>
        <v>0</v>
      </c>
      <c r="Z917">
        <f t="shared" si="144"/>
        <v>0</v>
      </c>
      <c r="AA917">
        <f t="shared" si="145"/>
        <v>0</v>
      </c>
      <c r="AB917">
        <f t="shared" si="146"/>
        <v>0</v>
      </c>
      <c r="AC917" t="str">
        <f t="shared" si="147"/>
        <v>January</v>
      </c>
      <c r="AD917">
        <f t="shared" si="148"/>
        <v>1900</v>
      </c>
      <c r="AE917" t="str">
        <f t="shared" si="149"/>
        <v>CLEAN</v>
      </c>
    </row>
    <row r="918" spans="1:31">
      <c r="G918" t="s">
        <v>215</v>
      </c>
      <c r="M918" t="s">
        <v>215</v>
      </c>
      <c r="V918" t="str">
        <f t="shared" si="140"/>
        <v/>
      </c>
      <c r="W918" t="str">
        <f t="shared" si="141"/>
        <v/>
      </c>
      <c r="X918">
        <f t="shared" si="142"/>
        <v>-1.0661353799231277</v>
      </c>
      <c r="Y918">
        <f t="shared" si="143"/>
        <v>0</v>
      </c>
      <c r="Z918">
        <f t="shared" si="144"/>
        <v>0</v>
      </c>
      <c r="AA918">
        <f t="shared" si="145"/>
        <v>0</v>
      </c>
      <c r="AB918">
        <f t="shared" si="146"/>
        <v>0</v>
      </c>
      <c r="AC918" t="str">
        <f t="shared" si="147"/>
        <v>January</v>
      </c>
      <c r="AD918">
        <f t="shared" si="148"/>
        <v>1900</v>
      </c>
      <c r="AE918" t="str">
        <f t="shared" si="149"/>
        <v>CLEAN</v>
      </c>
    </row>
    <row r="919" spans="1:31">
      <c r="G919" t="s">
        <v>215</v>
      </c>
      <c r="M919" t="s">
        <v>215</v>
      </c>
      <c r="V919" t="str">
        <f t="shared" si="140"/>
        <v/>
      </c>
      <c r="W919" t="str">
        <f t="shared" si="141"/>
        <v/>
      </c>
      <c r="X919">
        <f t="shared" si="142"/>
        <v>-1.0661353799231277</v>
      </c>
      <c r="Y919">
        <f t="shared" si="143"/>
        <v>0</v>
      </c>
      <c r="Z919">
        <f t="shared" si="144"/>
        <v>0</v>
      </c>
      <c r="AA919">
        <f t="shared" si="145"/>
        <v>0</v>
      </c>
      <c r="AB919">
        <f t="shared" si="146"/>
        <v>0</v>
      </c>
      <c r="AC919" t="str">
        <f t="shared" si="147"/>
        <v>January</v>
      </c>
      <c r="AD919">
        <f t="shared" si="148"/>
        <v>1900</v>
      </c>
      <c r="AE919" t="str">
        <f t="shared" si="149"/>
        <v>CLEAN</v>
      </c>
    </row>
    <row r="920" spans="1:31">
      <c r="G920" t="s">
        <v>215</v>
      </c>
      <c r="M920" t="s">
        <v>215</v>
      </c>
      <c r="V920" t="str">
        <f t="shared" si="140"/>
        <v/>
      </c>
      <c r="W920" t="str">
        <f t="shared" si="141"/>
        <v/>
      </c>
      <c r="X920">
        <f t="shared" si="142"/>
        <v>-1.0661353799231277</v>
      </c>
      <c r="Y920">
        <f t="shared" si="143"/>
        <v>0</v>
      </c>
      <c r="Z920">
        <f t="shared" si="144"/>
        <v>0</v>
      </c>
      <c r="AA920">
        <f t="shared" si="145"/>
        <v>0</v>
      </c>
      <c r="AB920">
        <f t="shared" si="146"/>
        <v>0</v>
      </c>
      <c r="AC920" t="str">
        <f t="shared" si="147"/>
        <v>January</v>
      </c>
      <c r="AD920">
        <f t="shared" si="148"/>
        <v>1900</v>
      </c>
      <c r="AE920" t="str">
        <f t="shared" si="149"/>
        <v>CLEAN</v>
      </c>
    </row>
    <row r="921" spans="1:31">
      <c r="G921" t="s">
        <v>215</v>
      </c>
      <c r="M921" t="s">
        <v>215</v>
      </c>
      <c r="V921" t="str">
        <f t="shared" si="140"/>
        <v/>
      </c>
      <c r="W921" t="str">
        <f t="shared" si="141"/>
        <v/>
      </c>
      <c r="X921">
        <f t="shared" si="142"/>
        <v>-1.0661353799231277</v>
      </c>
      <c r="Y921">
        <f t="shared" si="143"/>
        <v>0</v>
      </c>
      <c r="Z921">
        <f t="shared" si="144"/>
        <v>0</v>
      </c>
      <c r="AA921">
        <f t="shared" si="145"/>
        <v>0</v>
      </c>
      <c r="AB921">
        <f t="shared" si="146"/>
        <v>0</v>
      </c>
      <c r="AC921" t="str">
        <f t="shared" si="147"/>
        <v>January</v>
      </c>
      <c r="AD921">
        <f t="shared" si="148"/>
        <v>1900</v>
      </c>
      <c r="AE921" t="str">
        <f t="shared" si="149"/>
        <v>CLEAN</v>
      </c>
    </row>
    <row r="922" spans="1:31">
      <c r="G922" t="s">
        <v>215</v>
      </c>
      <c r="M922" t="s">
        <v>215</v>
      </c>
      <c r="V922" t="str">
        <f t="shared" si="140"/>
        <v/>
      </c>
      <c r="W922" t="str">
        <f t="shared" si="141"/>
        <v/>
      </c>
      <c r="X922">
        <f t="shared" si="142"/>
        <v>-1.0661353799231277</v>
      </c>
      <c r="Y922">
        <f t="shared" si="143"/>
        <v>0</v>
      </c>
      <c r="Z922">
        <f t="shared" si="144"/>
        <v>0</v>
      </c>
      <c r="AA922">
        <f t="shared" si="145"/>
        <v>0</v>
      </c>
      <c r="AB922">
        <f t="shared" si="146"/>
        <v>0</v>
      </c>
      <c r="AC922" t="str">
        <f t="shared" si="147"/>
        <v>January</v>
      </c>
      <c r="AD922">
        <f t="shared" si="148"/>
        <v>1900</v>
      </c>
      <c r="AE922" t="str">
        <f t="shared" si="149"/>
        <v>CLEAN</v>
      </c>
    </row>
    <row r="923" spans="1:31">
      <c r="G923" t="s">
        <v>215</v>
      </c>
      <c r="M923" t="s">
        <v>215</v>
      </c>
      <c r="V923" t="str">
        <f t="shared" si="140"/>
        <v/>
      </c>
      <c r="W923" t="str">
        <f t="shared" si="141"/>
        <v/>
      </c>
      <c r="X923">
        <f t="shared" si="142"/>
        <v>-1.0661353799231277</v>
      </c>
      <c r="Y923">
        <f t="shared" si="143"/>
        <v>0</v>
      </c>
      <c r="Z923">
        <f t="shared" si="144"/>
        <v>0</v>
      </c>
      <c r="AA923">
        <f t="shared" si="145"/>
        <v>0</v>
      </c>
      <c r="AB923">
        <f t="shared" si="146"/>
        <v>0</v>
      </c>
      <c r="AC923" t="str">
        <f t="shared" si="147"/>
        <v>January</v>
      </c>
      <c r="AD923">
        <f t="shared" si="148"/>
        <v>1900</v>
      </c>
      <c r="AE923" t="str">
        <f t="shared" si="149"/>
        <v>CLEAN</v>
      </c>
    </row>
    <row r="924" spans="1:31">
      <c r="G924" t="s">
        <v>215</v>
      </c>
      <c r="M924" t="s">
        <v>215</v>
      </c>
      <c r="V924" t="str">
        <f t="shared" si="140"/>
        <v/>
      </c>
      <c r="W924" t="str">
        <f t="shared" si="141"/>
        <v/>
      </c>
      <c r="X924">
        <f t="shared" si="142"/>
        <v>-1.0661353799231277</v>
      </c>
      <c r="Y924">
        <f t="shared" si="143"/>
        <v>0</v>
      </c>
      <c r="Z924">
        <f t="shared" si="144"/>
        <v>0</v>
      </c>
      <c r="AA924">
        <f t="shared" si="145"/>
        <v>0</v>
      </c>
      <c r="AB924">
        <f t="shared" si="146"/>
        <v>0</v>
      </c>
      <c r="AC924" t="str">
        <f t="shared" si="147"/>
        <v>January</v>
      </c>
      <c r="AD924">
        <f t="shared" si="148"/>
        <v>1900</v>
      </c>
      <c r="AE924" t="str">
        <f t="shared" si="149"/>
        <v>CLEAN</v>
      </c>
    </row>
    <row r="925" spans="1:31">
      <c r="G925" t="s">
        <v>215</v>
      </c>
      <c r="M925" t="s">
        <v>215</v>
      </c>
      <c r="V925" t="str">
        <f t="shared" si="140"/>
        <v/>
      </c>
      <c r="W925" t="str">
        <f t="shared" si="141"/>
        <v/>
      </c>
      <c r="X925">
        <f t="shared" si="142"/>
        <v>-1.0661353799231277</v>
      </c>
      <c r="Y925">
        <f t="shared" si="143"/>
        <v>0</v>
      </c>
      <c r="Z925">
        <f t="shared" si="144"/>
        <v>0</v>
      </c>
      <c r="AA925">
        <f t="shared" si="145"/>
        <v>0</v>
      </c>
      <c r="AB925">
        <f t="shared" si="146"/>
        <v>0</v>
      </c>
      <c r="AC925" t="str">
        <f t="shared" si="147"/>
        <v>January</v>
      </c>
      <c r="AD925">
        <f t="shared" si="148"/>
        <v>1900</v>
      </c>
      <c r="AE925" t="str">
        <f t="shared" si="149"/>
        <v>CLEAN</v>
      </c>
    </row>
    <row r="926" spans="1:31">
      <c r="G926" t="s">
        <v>215</v>
      </c>
      <c r="M926" t="s">
        <v>215</v>
      </c>
      <c r="V926" t="str">
        <f t="shared" si="140"/>
        <v/>
      </c>
      <c r="W926" t="str">
        <f t="shared" si="141"/>
        <v/>
      </c>
      <c r="X926">
        <f t="shared" si="142"/>
        <v>-1.0661353799231277</v>
      </c>
      <c r="Y926">
        <f t="shared" si="143"/>
        <v>0</v>
      </c>
      <c r="Z926">
        <f t="shared" si="144"/>
        <v>0</v>
      </c>
      <c r="AA926">
        <f t="shared" si="145"/>
        <v>0</v>
      </c>
      <c r="AB926">
        <f t="shared" si="146"/>
        <v>0</v>
      </c>
      <c r="AC926" t="str">
        <f t="shared" si="147"/>
        <v>January</v>
      </c>
      <c r="AD926">
        <f t="shared" si="148"/>
        <v>1900</v>
      </c>
      <c r="AE926" t="str">
        <f t="shared" si="149"/>
        <v>CLEAN</v>
      </c>
    </row>
    <row r="927" spans="1:31">
      <c r="G927" t="s">
        <v>215</v>
      </c>
      <c r="M927" t="s">
        <v>215</v>
      </c>
      <c r="V927" t="str">
        <f t="shared" si="140"/>
        <v/>
      </c>
      <c r="W927" t="str">
        <f t="shared" si="141"/>
        <v/>
      </c>
      <c r="X927">
        <f t="shared" si="142"/>
        <v>-1.0661353799231277</v>
      </c>
      <c r="Y927">
        <f t="shared" si="143"/>
        <v>0</v>
      </c>
      <c r="Z927">
        <f t="shared" si="144"/>
        <v>0</v>
      </c>
      <c r="AA927">
        <f t="shared" si="145"/>
        <v>0</v>
      </c>
      <c r="AB927">
        <f t="shared" si="146"/>
        <v>0</v>
      </c>
      <c r="AC927" t="str">
        <f t="shared" si="147"/>
        <v>January</v>
      </c>
      <c r="AD927">
        <f t="shared" si="148"/>
        <v>1900</v>
      </c>
      <c r="AE927" t="str">
        <f t="shared" si="149"/>
        <v>CLEAN</v>
      </c>
    </row>
    <row r="928" spans="1:31">
      <c r="G928" t="s">
        <v>215</v>
      </c>
      <c r="M928" t="s">
        <v>215</v>
      </c>
      <c r="V928" t="str">
        <f t="shared" si="140"/>
        <v/>
      </c>
      <c r="W928" t="str">
        <f t="shared" si="141"/>
        <v/>
      </c>
      <c r="X928">
        <f t="shared" si="142"/>
        <v>-1.0661353799231277</v>
      </c>
      <c r="Y928">
        <f t="shared" si="143"/>
        <v>0</v>
      </c>
      <c r="Z928">
        <f t="shared" si="144"/>
        <v>0</v>
      </c>
      <c r="AA928">
        <f t="shared" si="145"/>
        <v>0</v>
      </c>
      <c r="AB928">
        <f t="shared" si="146"/>
        <v>0</v>
      </c>
      <c r="AC928" t="str">
        <f t="shared" si="147"/>
        <v>January</v>
      </c>
      <c r="AD928">
        <f t="shared" si="148"/>
        <v>1900</v>
      </c>
      <c r="AE928" t="str">
        <f t="shared" si="149"/>
        <v>CLEAN</v>
      </c>
    </row>
    <row r="929" spans="7:31">
      <c r="G929" t="s">
        <v>215</v>
      </c>
      <c r="M929" t="s">
        <v>215</v>
      </c>
      <c r="V929" t="str">
        <f t="shared" si="140"/>
        <v/>
      </c>
      <c r="W929" t="str">
        <f t="shared" si="141"/>
        <v/>
      </c>
      <c r="X929">
        <f t="shared" si="142"/>
        <v>-1.0661353799231277</v>
      </c>
      <c r="Y929">
        <f t="shared" si="143"/>
        <v>0</v>
      </c>
      <c r="Z929">
        <f t="shared" si="144"/>
        <v>0</v>
      </c>
      <c r="AA929">
        <f t="shared" si="145"/>
        <v>0</v>
      </c>
      <c r="AB929">
        <f t="shared" si="146"/>
        <v>0</v>
      </c>
      <c r="AC929" t="str">
        <f t="shared" si="147"/>
        <v>January</v>
      </c>
      <c r="AD929">
        <f t="shared" si="148"/>
        <v>1900</v>
      </c>
      <c r="AE929" t="str">
        <f t="shared" si="149"/>
        <v>CLEAN</v>
      </c>
    </row>
    <row r="930" spans="7:31">
      <c r="G930" t="s">
        <v>215</v>
      </c>
      <c r="M930" t="s">
        <v>215</v>
      </c>
      <c r="V930" t="str">
        <f t="shared" si="140"/>
        <v/>
      </c>
      <c r="W930" t="str">
        <f t="shared" si="141"/>
        <v/>
      </c>
      <c r="X930">
        <f t="shared" si="142"/>
        <v>-1.0661353799231277</v>
      </c>
      <c r="Y930">
        <f t="shared" si="143"/>
        <v>0</v>
      </c>
      <c r="Z930">
        <f t="shared" si="144"/>
        <v>0</v>
      </c>
      <c r="AA930">
        <f t="shared" si="145"/>
        <v>0</v>
      </c>
      <c r="AB930">
        <f t="shared" si="146"/>
        <v>0</v>
      </c>
      <c r="AC930" t="str">
        <f t="shared" si="147"/>
        <v>January</v>
      </c>
      <c r="AD930">
        <f t="shared" si="148"/>
        <v>1900</v>
      </c>
      <c r="AE930" t="str">
        <f t="shared" si="149"/>
        <v>CLEAN</v>
      </c>
    </row>
    <row r="931" spans="7:31">
      <c r="G931" t="s">
        <v>215</v>
      </c>
      <c r="M931" t="s">
        <v>215</v>
      </c>
      <c r="V931" t="str">
        <f t="shared" si="140"/>
        <v/>
      </c>
      <c r="W931" t="str">
        <f t="shared" si="141"/>
        <v/>
      </c>
      <c r="X931">
        <f t="shared" si="142"/>
        <v>-1.0661353799231277</v>
      </c>
      <c r="Y931">
        <f t="shared" si="143"/>
        <v>0</v>
      </c>
      <c r="Z931">
        <f t="shared" si="144"/>
        <v>0</v>
      </c>
      <c r="AA931">
        <f t="shared" si="145"/>
        <v>0</v>
      </c>
      <c r="AB931">
        <f t="shared" si="146"/>
        <v>0</v>
      </c>
      <c r="AC931" t="str">
        <f t="shared" si="147"/>
        <v>January</v>
      </c>
      <c r="AD931">
        <f t="shared" si="148"/>
        <v>1900</v>
      </c>
      <c r="AE931" t="str">
        <f t="shared" si="149"/>
        <v>CLEAN</v>
      </c>
    </row>
    <row r="932" spans="7:31">
      <c r="G932" t="s">
        <v>215</v>
      </c>
      <c r="M932" t="s">
        <v>215</v>
      </c>
      <c r="V932" t="str">
        <f t="shared" si="140"/>
        <v/>
      </c>
      <c r="W932" t="str">
        <f t="shared" si="141"/>
        <v/>
      </c>
      <c r="X932">
        <f t="shared" si="142"/>
        <v>-1.0661353799231277</v>
      </c>
      <c r="Y932">
        <f t="shared" si="143"/>
        <v>0</v>
      </c>
      <c r="Z932">
        <f t="shared" si="144"/>
        <v>0</v>
      </c>
      <c r="AA932">
        <f t="shared" si="145"/>
        <v>0</v>
      </c>
      <c r="AB932">
        <f t="shared" si="146"/>
        <v>0</v>
      </c>
      <c r="AC932" t="str">
        <f t="shared" si="147"/>
        <v>January</v>
      </c>
      <c r="AD932">
        <f t="shared" si="148"/>
        <v>1900</v>
      </c>
      <c r="AE932" t="str">
        <f t="shared" si="149"/>
        <v>CLEAN</v>
      </c>
    </row>
    <row r="933" spans="7:31">
      <c r="G933" t="s">
        <v>215</v>
      </c>
      <c r="M933" t="s">
        <v>215</v>
      </c>
      <c r="V933" t="str">
        <f t="shared" si="140"/>
        <v/>
      </c>
      <c r="W933" t="str">
        <f t="shared" si="141"/>
        <v/>
      </c>
      <c r="X933">
        <f t="shared" si="142"/>
        <v>-1.0661353799231277</v>
      </c>
      <c r="Y933">
        <f t="shared" si="143"/>
        <v>0</v>
      </c>
      <c r="Z933">
        <f t="shared" si="144"/>
        <v>0</v>
      </c>
      <c r="AA933">
        <f t="shared" si="145"/>
        <v>0</v>
      </c>
      <c r="AB933">
        <f t="shared" si="146"/>
        <v>0</v>
      </c>
      <c r="AC933" t="str">
        <f t="shared" si="147"/>
        <v>January</v>
      </c>
      <c r="AD933">
        <f t="shared" si="148"/>
        <v>1900</v>
      </c>
      <c r="AE933" t="str">
        <f t="shared" si="149"/>
        <v>CLEAN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45CB-73ED-419E-A42B-A992C19EC0B8}">
  <dimension ref="A1:C20"/>
  <sheetViews>
    <sheetView workbookViewId="0">
      <selection activeCell="C14" sqref="A1:C20"/>
    </sheetView>
  </sheetViews>
  <sheetFormatPr defaultRowHeight="14.4"/>
  <cols>
    <col min="1" max="1" width="15.5546875" bestFit="1" customWidth="1"/>
    <col min="2" max="2" width="11.44140625" bestFit="1" customWidth="1"/>
    <col min="3" max="3" width="12.109375" bestFit="1" customWidth="1"/>
    <col min="4" max="4" width="9" bestFit="1" customWidth="1"/>
    <col min="5" max="6" width="10" bestFit="1" customWidth="1"/>
    <col min="7" max="7" width="9" bestFit="1" customWidth="1"/>
    <col min="8" max="8" width="10.44140625" bestFit="1" customWidth="1"/>
    <col min="9" max="13" width="10" bestFit="1" customWidth="1"/>
    <col min="14" max="14" width="9" bestFit="1" customWidth="1"/>
    <col min="15" max="15" width="7" bestFit="1" customWidth="1"/>
    <col min="16" max="16" width="12.109375" bestFit="1" customWidth="1"/>
    <col min="17" max="21" width="10" bestFit="1" customWidth="1"/>
    <col min="22" max="22" width="10.44140625" bestFit="1" customWidth="1"/>
    <col min="23" max="23" width="10" bestFit="1" customWidth="1"/>
    <col min="24" max="24" width="9.109375" bestFit="1" customWidth="1"/>
    <col min="25" max="28" width="10" bestFit="1" customWidth="1"/>
    <col min="29" max="29" width="7" bestFit="1" customWidth="1"/>
    <col min="30" max="30" width="16.21875" bestFit="1" customWidth="1"/>
    <col min="31" max="31" width="16.88671875" bestFit="1" customWidth="1"/>
    <col min="32" max="37" width="7" bestFit="1" customWidth="1"/>
    <col min="38" max="40" width="8" bestFit="1" customWidth="1"/>
    <col min="41" max="41" width="6" bestFit="1" customWidth="1"/>
    <col min="42" max="42" width="7" bestFit="1" customWidth="1"/>
    <col min="43" max="43" width="8" bestFit="1" customWidth="1"/>
    <col min="44" max="46" width="7" bestFit="1" customWidth="1"/>
    <col min="47" max="47" width="8" bestFit="1" customWidth="1"/>
    <col min="48" max="51" width="7" bestFit="1" customWidth="1"/>
    <col min="52" max="53" width="8" bestFit="1" customWidth="1"/>
    <col min="54" max="56" width="7" bestFit="1" customWidth="1"/>
    <col min="57" max="59" width="8" bestFit="1" customWidth="1"/>
    <col min="60" max="60" width="7" bestFit="1" customWidth="1"/>
    <col min="61" max="62" width="8" bestFit="1" customWidth="1"/>
    <col min="63" max="66" width="7" bestFit="1" customWidth="1"/>
    <col min="67" max="69" width="8" bestFit="1" customWidth="1"/>
    <col min="70" max="70" width="7" bestFit="1" customWidth="1"/>
    <col min="71" max="71" width="8" bestFit="1" customWidth="1"/>
    <col min="72" max="73" width="7" bestFit="1" customWidth="1"/>
    <col min="74" max="75" width="8" bestFit="1" customWidth="1"/>
    <col min="76" max="78" width="7" bestFit="1" customWidth="1"/>
    <col min="79" max="89" width="8" bestFit="1" customWidth="1"/>
    <col min="90" max="90" width="7" bestFit="1" customWidth="1"/>
    <col min="91" max="96" width="8" bestFit="1" customWidth="1"/>
    <col min="97" max="97" width="7" bestFit="1" customWidth="1"/>
    <col min="98" max="104" width="8" bestFit="1" customWidth="1"/>
    <col min="105" max="105" width="7" bestFit="1" customWidth="1"/>
    <col min="106" max="114" width="8" bestFit="1" customWidth="1"/>
    <col min="115" max="115" width="7" bestFit="1" customWidth="1"/>
    <col min="116" max="121" width="8" bestFit="1" customWidth="1"/>
    <col min="122" max="122" width="7" bestFit="1" customWidth="1"/>
    <col min="123" max="158" width="8" bestFit="1" customWidth="1"/>
    <col min="159" max="159" width="7" bestFit="1" customWidth="1"/>
    <col min="160" max="164" width="8" bestFit="1" customWidth="1"/>
    <col min="165" max="165" width="7" bestFit="1" customWidth="1"/>
    <col min="166" max="166" width="8" bestFit="1" customWidth="1"/>
    <col min="167" max="167" width="7" bestFit="1" customWidth="1"/>
    <col min="168" max="168" width="8" bestFit="1" customWidth="1"/>
    <col min="169" max="169" width="7" bestFit="1" customWidth="1"/>
    <col min="170" max="173" width="8" bestFit="1" customWidth="1"/>
    <col min="174" max="174" width="7" bestFit="1" customWidth="1"/>
    <col min="175" max="176" width="8" bestFit="1" customWidth="1"/>
    <col min="177" max="177" width="7" bestFit="1" customWidth="1"/>
    <col min="178" max="182" width="8" bestFit="1" customWidth="1"/>
    <col min="183" max="183" width="7" bestFit="1" customWidth="1"/>
    <col min="184" max="197" width="8" bestFit="1" customWidth="1"/>
    <col min="198" max="198" width="7" bestFit="1" customWidth="1"/>
    <col min="199" max="200" width="8" bestFit="1" customWidth="1"/>
    <col min="201" max="201" width="7" bestFit="1" customWidth="1"/>
    <col min="202" max="211" width="8" bestFit="1" customWidth="1"/>
    <col min="212" max="212" width="7" bestFit="1" customWidth="1"/>
    <col min="213" max="213" width="8" bestFit="1" customWidth="1"/>
    <col min="214" max="216" width="7" bestFit="1" customWidth="1"/>
    <col min="217" max="236" width="8" bestFit="1" customWidth="1"/>
    <col min="237" max="237" width="7" bestFit="1" customWidth="1"/>
    <col min="238" max="239" width="8" bestFit="1" customWidth="1"/>
    <col min="240" max="240" width="7" bestFit="1" customWidth="1"/>
    <col min="241" max="250" width="8" bestFit="1" customWidth="1"/>
    <col min="251" max="251" width="7" bestFit="1" customWidth="1"/>
    <col min="252" max="276" width="8" bestFit="1" customWidth="1"/>
    <col min="277" max="277" width="9" bestFit="1" customWidth="1"/>
    <col min="278" max="301" width="8" bestFit="1" customWidth="1"/>
    <col min="302" max="302" width="9" bestFit="1" customWidth="1"/>
    <col min="303" max="344" width="8" bestFit="1" customWidth="1"/>
    <col min="345" max="346" width="9" bestFit="1" customWidth="1"/>
    <col min="347" max="371" width="8" bestFit="1" customWidth="1"/>
    <col min="372" max="372" width="9" bestFit="1" customWidth="1"/>
    <col min="373" max="383" width="8" bestFit="1" customWidth="1"/>
    <col min="384" max="384" width="9" bestFit="1" customWidth="1"/>
    <col min="385" max="385" width="8" bestFit="1" customWidth="1"/>
    <col min="386" max="387" width="9" bestFit="1" customWidth="1"/>
    <col min="388" max="390" width="8" bestFit="1" customWidth="1"/>
    <col min="391" max="391" width="9" bestFit="1" customWidth="1"/>
    <col min="392" max="394" width="8" bestFit="1" customWidth="1"/>
    <col min="395" max="396" width="9" bestFit="1" customWidth="1"/>
    <col min="397" max="407" width="8" bestFit="1" customWidth="1"/>
    <col min="408" max="408" width="9" bestFit="1" customWidth="1"/>
    <col min="409" max="421" width="8" bestFit="1" customWidth="1"/>
    <col min="422" max="422" width="9" bestFit="1" customWidth="1"/>
    <col min="423" max="427" width="8" bestFit="1" customWidth="1"/>
    <col min="428" max="428" width="9" bestFit="1" customWidth="1"/>
    <col min="429" max="432" width="8" bestFit="1" customWidth="1"/>
    <col min="433" max="436" width="9" bestFit="1" customWidth="1"/>
    <col min="437" max="438" width="8" bestFit="1" customWidth="1"/>
    <col min="439" max="439" width="9" bestFit="1" customWidth="1"/>
    <col min="440" max="446" width="8" bestFit="1" customWidth="1"/>
    <col min="447" max="447" width="9" bestFit="1" customWidth="1"/>
    <col min="448" max="448" width="8" bestFit="1" customWidth="1"/>
    <col min="449" max="449" width="9" bestFit="1" customWidth="1"/>
    <col min="450" max="450" width="8" bestFit="1" customWidth="1"/>
    <col min="451" max="451" width="9" bestFit="1" customWidth="1"/>
    <col min="452" max="453" width="8" bestFit="1" customWidth="1"/>
    <col min="454" max="454" width="9" bestFit="1" customWidth="1"/>
    <col min="455" max="457" width="8" bestFit="1" customWidth="1"/>
    <col min="458" max="458" width="9" bestFit="1" customWidth="1"/>
    <col min="459" max="471" width="8" bestFit="1" customWidth="1"/>
    <col min="472" max="472" width="9" bestFit="1" customWidth="1"/>
    <col min="473" max="473" width="8" bestFit="1" customWidth="1"/>
    <col min="474" max="474" width="9" bestFit="1" customWidth="1"/>
    <col min="475" max="485" width="8" bestFit="1" customWidth="1"/>
    <col min="486" max="486" width="9" bestFit="1" customWidth="1"/>
    <col min="487" max="495" width="8" bestFit="1" customWidth="1"/>
    <col min="496" max="497" width="9" bestFit="1" customWidth="1"/>
    <col min="498" max="507" width="8" bestFit="1" customWidth="1"/>
    <col min="508" max="509" width="9" bestFit="1" customWidth="1"/>
    <col min="510" max="517" width="8" bestFit="1" customWidth="1"/>
    <col min="518" max="520" width="9" bestFit="1" customWidth="1"/>
    <col min="521" max="521" width="8" bestFit="1" customWidth="1"/>
    <col min="522" max="523" width="9" bestFit="1" customWidth="1"/>
    <col min="524" max="524" width="8" bestFit="1" customWidth="1"/>
    <col min="525" max="526" width="9" bestFit="1" customWidth="1"/>
    <col min="527" max="533" width="8" bestFit="1" customWidth="1"/>
    <col min="534" max="534" width="9" bestFit="1" customWidth="1"/>
    <col min="535" max="537" width="8" bestFit="1" customWidth="1"/>
    <col min="538" max="538" width="9" bestFit="1" customWidth="1"/>
    <col min="539" max="540" width="8" bestFit="1" customWidth="1"/>
    <col min="541" max="541" width="9" bestFit="1" customWidth="1"/>
    <col min="542" max="542" width="8" bestFit="1" customWidth="1"/>
    <col min="543" max="543" width="9" bestFit="1" customWidth="1"/>
    <col min="544" max="544" width="8" bestFit="1" customWidth="1"/>
    <col min="545" max="545" width="7" bestFit="1" customWidth="1"/>
    <col min="546" max="547" width="9" bestFit="1" customWidth="1"/>
    <col min="548" max="548" width="8" bestFit="1" customWidth="1"/>
    <col min="549" max="550" width="9" bestFit="1" customWidth="1"/>
    <col min="551" max="551" width="8" bestFit="1" customWidth="1"/>
    <col min="552" max="553" width="9" bestFit="1" customWidth="1"/>
    <col min="554" max="554" width="8" bestFit="1" customWidth="1"/>
    <col min="555" max="555" width="9" bestFit="1" customWidth="1"/>
    <col min="556" max="557" width="8" bestFit="1" customWidth="1"/>
    <col min="558" max="559" width="9" bestFit="1" customWidth="1"/>
    <col min="560" max="562" width="8" bestFit="1" customWidth="1"/>
    <col min="563" max="563" width="9" bestFit="1" customWidth="1"/>
    <col min="564" max="565" width="8" bestFit="1" customWidth="1"/>
    <col min="566" max="567" width="9" bestFit="1" customWidth="1"/>
    <col min="568" max="570" width="8" bestFit="1" customWidth="1"/>
    <col min="571" max="571" width="9" bestFit="1" customWidth="1"/>
    <col min="572" max="576" width="8" bestFit="1" customWidth="1"/>
    <col min="577" max="577" width="7" bestFit="1" customWidth="1"/>
    <col min="578" max="578" width="9" bestFit="1" customWidth="1"/>
    <col min="579" max="579" width="8" bestFit="1" customWidth="1"/>
    <col min="580" max="580" width="9" bestFit="1" customWidth="1"/>
    <col min="581" max="586" width="8" bestFit="1" customWidth="1"/>
    <col min="587" max="590" width="9" bestFit="1" customWidth="1"/>
    <col min="591" max="591" width="8" bestFit="1" customWidth="1"/>
    <col min="592" max="592" width="9" bestFit="1" customWidth="1"/>
    <col min="593" max="597" width="8" bestFit="1" customWidth="1"/>
    <col min="598" max="604" width="9" bestFit="1" customWidth="1"/>
    <col min="605" max="605" width="8" bestFit="1" customWidth="1"/>
    <col min="606" max="606" width="9" bestFit="1" customWidth="1"/>
    <col min="607" max="607" width="8" bestFit="1" customWidth="1"/>
    <col min="608" max="610" width="9" bestFit="1" customWidth="1"/>
    <col min="611" max="611" width="8" bestFit="1" customWidth="1"/>
    <col min="612" max="617" width="9" bestFit="1" customWidth="1"/>
    <col min="618" max="618" width="8" bestFit="1" customWidth="1"/>
    <col min="619" max="619" width="9" bestFit="1" customWidth="1"/>
    <col min="620" max="627" width="8" bestFit="1" customWidth="1"/>
    <col min="628" max="631" width="9" bestFit="1" customWidth="1"/>
    <col min="632" max="635" width="8" bestFit="1" customWidth="1"/>
    <col min="636" max="638" width="9" bestFit="1" customWidth="1"/>
    <col min="639" max="639" width="8" bestFit="1" customWidth="1"/>
    <col min="640" max="645" width="9" bestFit="1" customWidth="1"/>
    <col min="646" max="646" width="8" bestFit="1" customWidth="1"/>
    <col min="647" max="649" width="9" bestFit="1" customWidth="1"/>
    <col min="650" max="650" width="8" bestFit="1" customWidth="1"/>
    <col min="651" max="655" width="9" bestFit="1" customWidth="1"/>
    <col min="656" max="658" width="8" bestFit="1" customWidth="1"/>
    <col min="659" max="659" width="9" bestFit="1" customWidth="1"/>
    <col min="660" max="660" width="8" bestFit="1" customWidth="1"/>
    <col min="661" max="661" width="9" bestFit="1" customWidth="1"/>
    <col min="662" max="662" width="8" bestFit="1" customWidth="1"/>
    <col min="663" max="665" width="9" bestFit="1" customWidth="1"/>
    <col min="666" max="668" width="8" bestFit="1" customWidth="1"/>
    <col min="669" max="670" width="9" bestFit="1" customWidth="1"/>
    <col min="671" max="672" width="8" bestFit="1" customWidth="1"/>
    <col min="673" max="676" width="9" bestFit="1" customWidth="1"/>
    <col min="677" max="677" width="8" bestFit="1" customWidth="1"/>
    <col min="678" max="684" width="9" bestFit="1" customWidth="1"/>
    <col min="685" max="685" width="8" bestFit="1" customWidth="1"/>
    <col min="686" max="687" width="9" bestFit="1" customWidth="1"/>
    <col min="688" max="688" width="8" bestFit="1" customWidth="1"/>
    <col min="689" max="690" width="9" bestFit="1" customWidth="1"/>
    <col min="691" max="691" width="8" bestFit="1" customWidth="1"/>
    <col min="692" max="697" width="9" bestFit="1" customWidth="1"/>
    <col min="698" max="698" width="8" bestFit="1" customWidth="1"/>
    <col min="699" max="720" width="9" bestFit="1" customWidth="1"/>
    <col min="721" max="721" width="8" bestFit="1" customWidth="1"/>
    <col min="722" max="733" width="9" bestFit="1" customWidth="1"/>
    <col min="734" max="734" width="8" bestFit="1" customWidth="1"/>
    <col min="735" max="753" width="9" bestFit="1" customWidth="1"/>
    <col min="754" max="754" width="8" bestFit="1" customWidth="1"/>
    <col min="755" max="762" width="9" bestFit="1" customWidth="1"/>
    <col min="763" max="763" width="8" bestFit="1" customWidth="1"/>
    <col min="764" max="767" width="9" bestFit="1" customWidth="1"/>
    <col min="768" max="768" width="8" bestFit="1" customWidth="1"/>
    <col min="769" max="771" width="9" bestFit="1" customWidth="1"/>
    <col min="772" max="772" width="8" bestFit="1" customWidth="1"/>
    <col min="773" max="780" width="9" bestFit="1" customWidth="1"/>
    <col min="781" max="781" width="8" bestFit="1" customWidth="1"/>
    <col min="782" max="782" width="9" bestFit="1" customWidth="1"/>
    <col min="783" max="783" width="8" bestFit="1" customWidth="1"/>
    <col min="784" max="786" width="9" bestFit="1" customWidth="1"/>
    <col min="787" max="787" width="8" bestFit="1" customWidth="1"/>
    <col min="788" max="789" width="9" bestFit="1" customWidth="1"/>
    <col min="790" max="790" width="8" bestFit="1" customWidth="1"/>
    <col min="791" max="795" width="9" bestFit="1" customWidth="1"/>
    <col min="796" max="797" width="8" bestFit="1" customWidth="1"/>
    <col min="798" max="798" width="9" bestFit="1" customWidth="1"/>
    <col min="799" max="799" width="8" bestFit="1" customWidth="1"/>
    <col min="800" max="803" width="9" bestFit="1" customWidth="1"/>
    <col min="804" max="804" width="8" bestFit="1" customWidth="1"/>
    <col min="805" max="807" width="9" bestFit="1" customWidth="1"/>
    <col min="808" max="808" width="8" bestFit="1" customWidth="1"/>
    <col min="809" max="822" width="9" bestFit="1" customWidth="1"/>
    <col min="823" max="823" width="8" bestFit="1" customWidth="1"/>
    <col min="824" max="825" width="9" bestFit="1" customWidth="1"/>
    <col min="826" max="826" width="8" bestFit="1" customWidth="1"/>
    <col min="827" max="831" width="9" bestFit="1" customWidth="1"/>
    <col min="832" max="832" width="8" bestFit="1" customWidth="1"/>
    <col min="833" max="836" width="9" bestFit="1" customWidth="1"/>
    <col min="837" max="837" width="8" bestFit="1" customWidth="1"/>
    <col min="838" max="845" width="9" bestFit="1" customWidth="1"/>
    <col min="846" max="846" width="8" bestFit="1" customWidth="1"/>
    <col min="847" max="849" width="9" bestFit="1" customWidth="1"/>
    <col min="850" max="850" width="8" bestFit="1" customWidth="1"/>
    <col min="851" max="855" width="9" bestFit="1" customWidth="1"/>
    <col min="856" max="856" width="8" bestFit="1" customWidth="1"/>
    <col min="857" max="859" width="9" bestFit="1" customWidth="1"/>
    <col min="860" max="860" width="8" bestFit="1" customWidth="1"/>
    <col min="861" max="875" width="9" bestFit="1" customWidth="1"/>
    <col min="876" max="876" width="8" bestFit="1" customWidth="1"/>
    <col min="877" max="898" width="9" bestFit="1" customWidth="1"/>
    <col min="899" max="899" width="7" bestFit="1" customWidth="1"/>
    <col min="900" max="900" width="11" bestFit="1" customWidth="1"/>
    <col min="901" max="901" width="10" bestFit="1" customWidth="1"/>
    <col min="902" max="902" width="12.21875" bestFit="1" customWidth="1"/>
    <col min="903" max="903" width="10" bestFit="1" customWidth="1"/>
    <col min="904" max="904" width="12.21875" bestFit="1" customWidth="1"/>
    <col min="905" max="905" width="10" bestFit="1" customWidth="1"/>
    <col min="906" max="906" width="12.21875" bestFit="1" customWidth="1"/>
    <col min="907" max="907" width="10" bestFit="1" customWidth="1"/>
    <col min="908" max="908" width="12.21875" bestFit="1" customWidth="1"/>
    <col min="909" max="909" width="10" bestFit="1" customWidth="1"/>
    <col min="910" max="910" width="12.21875" bestFit="1" customWidth="1"/>
    <col min="911" max="911" width="10" bestFit="1" customWidth="1"/>
    <col min="912" max="912" width="12.21875" bestFit="1" customWidth="1"/>
    <col min="913" max="913" width="10" bestFit="1" customWidth="1"/>
    <col min="914" max="914" width="12.21875" bestFit="1" customWidth="1"/>
    <col min="915" max="915" width="10" bestFit="1" customWidth="1"/>
    <col min="916" max="916" width="12.21875" bestFit="1" customWidth="1"/>
    <col min="917" max="917" width="10" bestFit="1" customWidth="1"/>
    <col min="918" max="918" width="12.21875" bestFit="1" customWidth="1"/>
    <col min="919" max="919" width="10" bestFit="1" customWidth="1"/>
    <col min="920" max="920" width="12.21875" bestFit="1" customWidth="1"/>
    <col min="921" max="921" width="10" bestFit="1" customWidth="1"/>
    <col min="922" max="922" width="12.21875" bestFit="1" customWidth="1"/>
    <col min="923" max="923" width="9" bestFit="1" customWidth="1"/>
    <col min="924" max="924" width="11.21875" bestFit="1" customWidth="1"/>
    <col min="925" max="925" width="10" bestFit="1" customWidth="1"/>
    <col min="926" max="926" width="12.21875" bestFit="1" customWidth="1"/>
    <col min="927" max="927" width="10" bestFit="1" customWidth="1"/>
    <col min="928" max="928" width="12.21875" bestFit="1" customWidth="1"/>
    <col min="929" max="929" width="10" bestFit="1" customWidth="1"/>
    <col min="930" max="930" width="12.21875" bestFit="1" customWidth="1"/>
    <col min="931" max="931" width="10" bestFit="1" customWidth="1"/>
    <col min="932" max="932" width="12.21875" bestFit="1" customWidth="1"/>
    <col min="933" max="933" width="10" bestFit="1" customWidth="1"/>
    <col min="934" max="934" width="12.21875" bestFit="1" customWidth="1"/>
    <col min="935" max="935" width="10" bestFit="1" customWidth="1"/>
    <col min="936" max="936" width="12.21875" bestFit="1" customWidth="1"/>
    <col min="937" max="937" width="10" bestFit="1" customWidth="1"/>
    <col min="938" max="938" width="12.21875" bestFit="1" customWidth="1"/>
    <col min="939" max="939" width="10" bestFit="1" customWidth="1"/>
    <col min="940" max="940" width="12.21875" bestFit="1" customWidth="1"/>
    <col min="941" max="941" width="10" bestFit="1" customWidth="1"/>
    <col min="942" max="942" width="12.21875" bestFit="1" customWidth="1"/>
    <col min="943" max="943" width="10" bestFit="1" customWidth="1"/>
    <col min="944" max="944" width="12.21875" bestFit="1" customWidth="1"/>
    <col min="945" max="945" width="10" bestFit="1" customWidth="1"/>
    <col min="946" max="946" width="12.21875" bestFit="1" customWidth="1"/>
    <col min="947" max="947" width="10" bestFit="1" customWidth="1"/>
    <col min="948" max="948" width="12.21875" bestFit="1" customWidth="1"/>
    <col min="949" max="949" width="10" bestFit="1" customWidth="1"/>
    <col min="950" max="950" width="12.21875" bestFit="1" customWidth="1"/>
    <col min="951" max="951" width="10" bestFit="1" customWidth="1"/>
    <col min="952" max="952" width="12.21875" bestFit="1" customWidth="1"/>
    <col min="953" max="953" width="10" bestFit="1" customWidth="1"/>
    <col min="954" max="954" width="12.21875" bestFit="1" customWidth="1"/>
    <col min="955" max="955" width="10" bestFit="1" customWidth="1"/>
    <col min="956" max="956" width="12.21875" bestFit="1" customWidth="1"/>
    <col min="957" max="957" width="10" bestFit="1" customWidth="1"/>
    <col min="958" max="958" width="12.21875" bestFit="1" customWidth="1"/>
    <col min="959" max="959" width="10" bestFit="1" customWidth="1"/>
    <col min="960" max="960" width="12.21875" bestFit="1" customWidth="1"/>
    <col min="961" max="961" width="10" bestFit="1" customWidth="1"/>
    <col min="962" max="962" width="12.21875" bestFit="1" customWidth="1"/>
    <col min="963" max="963" width="10" bestFit="1" customWidth="1"/>
    <col min="964" max="964" width="12.21875" bestFit="1" customWidth="1"/>
    <col min="965" max="965" width="10" bestFit="1" customWidth="1"/>
    <col min="966" max="966" width="12.21875" bestFit="1" customWidth="1"/>
    <col min="967" max="967" width="10" bestFit="1" customWidth="1"/>
    <col min="968" max="968" width="12.21875" bestFit="1" customWidth="1"/>
    <col min="969" max="969" width="10" bestFit="1" customWidth="1"/>
    <col min="970" max="970" width="12.21875" bestFit="1" customWidth="1"/>
    <col min="971" max="971" width="10" bestFit="1" customWidth="1"/>
    <col min="972" max="972" width="12.21875" bestFit="1" customWidth="1"/>
    <col min="973" max="973" width="10" bestFit="1" customWidth="1"/>
    <col min="974" max="974" width="12.21875" bestFit="1" customWidth="1"/>
    <col min="975" max="975" width="10" bestFit="1" customWidth="1"/>
    <col min="976" max="976" width="12.21875" bestFit="1" customWidth="1"/>
    <col min="977" max="977" width="10" bestFit="1" customWidth="1"/>
    <col min="978" max="978" width="12.21875" bestFit="1" customWidth="1"/>
    <col min="979" max="979" width="10" bestFit="1" customWidth="1"/>
    <col min="980" max="980" width="12.21875" bestFit="1" customWidth="1"/>
    <col min="981" max="981" width="10" bestFit="1" customWidth="1"/>
    <col min="982" max="982" width="12.21875" bestFit="1" customWidth="1"/>
    <col min="983" max="983" width="9" bestFit="1" customWidth="1"/>
    <col min="984" max="984" width="11.21875" bestFit="1" customWidth="1"/>
    <col min="985" max="985" width="10" bestFit="1" customWidth="1"/>
    <col min="986" max="986" width="12.21875" bestFit="1" customWidth="1"/>
    <col min="987" max="987" width="10" bestFit="1" customWidth="1"/>
    <col min="988" max="988" width="12.21875" bestFit="1" customWidth="1"/>
    <col min="989" max="989" width="10" bestFit="1" customWidth="1"/>
    <col min="990" max="990" width="12.21875" bestFit="1" customWidth="1"/>
    <col min="991" max="991" width="10" bestFit="1" customWidth="1"/>
    <col min="992" max="992" width="12.21875" bestFit="1" customWidth="1"/>
    <col min="993" max="993" width="9" bestFit="1" customWidth="1"/>
    <col min="994" max="994" width="11.21875" bestFit="1" customWidth="1"/>
    <col min="995" max="995" width="10" bestFit="1" customWidth="1"/>
    <col min="996" max="996" width="12.21875" bestFit="1" customWidth="1"/>
    <col min="997" max="997" width="10" bestFit="1" customWidth="1"/>
    <col min="998" max="998" width="12.21875" bestFit="1" customWidth="1"/>
    <col min="999" max="999" width="10" bestFit="1" customWidth="1"/>
    <col min="1000" max="1000" width="12.21875" bestFit="1" customWidth="1"/>
    <col min="1001" max="1001" width="10" bestFit="1" customWidth="1"/>
    <col min="1002" max="1002" width="12.21875" bestFit="1" customWidth="1"/>
    <col min="1003" max="1003" width="10" bestFit="1" customWidth="1"/>
    <col min="1004" max="1004" width="12.21875" bestFit="1" customWidth="1"/>
    <col min="1005" max="1005" width="10" bestFit="1" customWidth="1"/>
    <col min="1006" max="1006" width="12.21875" bestFit="1" customWidth="1"/>
    <col min="1007" max="1007" width="10" bestFit="1" customWidth="1"/>
    <col min="1008" max="1008" width="12.21875" bestFit="1" customWidth="1"/>
    <col min="1009" max="1009" width="10" bestFit="1" customWidth="1"/>
    <col min="1010" max="1010" width="12.21875" bestFit="1" customWidth="1"/>
    <col min="1011" max="1011" width="10" bestFit="1" customWidth="1"/>
    <col min="1012" max="1012" width="12.21875" bestFit="1" customWidth="1"/>
    <col min="1013" max="1013" width="10" bestFit="1" customWidth="1"/>
    <col min="1014" max="1014" width="12.21875" bestFit="1" customWidth="1"/>
    <col min="1015" max="1015" width="10" bestFit="1" customWidth="1"/>
    <col min="1016" max="1016" width="12.21875" bestFit="1" customWidth="1"/>
    <col min="1017" max="1017" width="10" bestFit="1" customWidth="1"/>
    <col min="1018" max="1018" width="12.21875" bestFit="1" customWidth="1"/>
    <col min="1019" max="1019" width="10" bestFit="1" customWidth="1"/>
    <col min="1020" max="1020" width="12.21875" bestFit="1" customWidth="1"/>
    <col min="1021" max="1021" width="10" bestFit="1" customWidth="1"/>
    <col min="1022" max="1022" width="12.21875" bestFit="1" customWidth="1"/>
    <col min="1023" max="1023" width="10" bestFit="1" customWidth="1"/>
    <col min="1024" max="1024" width="12.21875" bestFit="1" customWidth="1"/>
    <col min="1025" max="1025" width="10" bestFit="1" customWidth="1"/>
    <col min="1026" max="1026" width="12.21875" bestFit="1" customWidth="1"/>
    <col min="1027" max="1027" width="10" bestFit="1" customWidth="1"/>
    <col min="1028" max="1028" width="12.21875" bestFit="1" customWidth="1"/>
    <col min="1029" max="1029" width="10" bestFit="1" customWidth="1"/>
    <col min="1030" max="1030" width="12.21875" bestFit="1" customWidth="1"/>
    <col min="1031" max="1031" width="9" bestFit="1" customWidth="1"/>
    <col min="1032" max="1032" width="11.21875" bestFit="1" customWidth="1"/>
    <col min="1033" max="1033" width="10" bestFit="1" customWidth="1"/>
    <col min="1034" max="1034" width="12.21875" bestFit="1" customWidth="1"/>
    <col min="1035" max="1035" width="10" bestFit="1" customWidth="1"/>
    <col min="1036" max="1036" width="12.21875" bestFit="1" customWidth="1"/>
    <col min="1037" max="1037" width="10" bestFit="1" customWidth="1"/>
    <col min="1038" max="1038" width="12.21875" bestFit="1" customWidth="1"/>
    <col min="1039" max="1039" width="10" bestFit="1" customWidth="1"/>
    <col min="1040" max="1040" width="12.21875" bestFit="1" customWidth="1"/>
    <col min="1041" max="1041" width="10" bestFit="1" customWidth="1"/>
    <col min="1042" max="1042" width="12.21875" bestFit="1" customWidth="1"/>
    <col min="1043" max="1043" width="10" bestFit="1" customWidth="1"/>
    <col min="1044" max="1044" width="12.21875" bestFit="1" customWidth="1"/>
    <col min="1045" max="1045" width="10" bestFit="1" customWidth="1"/>
    <col min="1046" max="1046" width="12.21875" bestFit="1" customWidth="1"/>
    <col min="1047" max="1047" width="10" bestFit="1" customWidth="1"/>
    <col min="1048" max="1048" width="12.21875" bestFit="1" customWidth="1"/>
    <col min="1049" max="1049" width="9" bestFit="1" customWidth="1"/>
    <col min="1050" max="1050" width="11.21875" bestFit="1" customWidth="1"/>
    <col min="1051" max="1051" width="10" bestFit="1" customWidth="1"/>
    <col min="1052" max="1052" width="12.21875" bestFit="1" customWidth="1"/>
    <col min="1053" max="1053" width="10" bestFit="1" customWidth="1"/>
    <col min="1054" max="1054" width="12.21875" bestFit="1" customWidth="1"/>
    <col min="1055" max="1055" width="10" bestFit="1" customWidth="1"/>
    <col min="1056" max="1056" width="12.21875" bestFit="1" customWidth="1"/>
    <col min="1057" max="1057" width="10" bestFit="1" customWidth="1"/>
    <col min="1058" max="1058" width="12.21875" bestFit="1" customWidth="1"/>
    <col min="1059" max="1059" width="10" bestFit="1" customWidth="1"/>
    <col min="1060" max="1060" width="12.21875" bestFit="1" customWidth="1"/>
    <col min="1061" max="1061" width="10" bestFit="1" customWidth="1"/>
    <col min="1062" max="1062" width="12.21875" bestFit="1" customWidth="1"/>
    <col min="1063" max="1063" width="10" bestFit="1" customWidth="1"/>
    <col min="1064" max="1064" width="12.21875" bestFit="1" customWidth="1"/>
    <col min="1065" max="1065" width="10" bestFit="1" customWidth="1"/>
    <col min="1066" max="1066" width="12.21875" bestFit="1" customWidth="1"/>
    <col min="1067" max="1067" width="10" bestFit="1" customWidth="1"/>
    <col min="1068" max="1068" width="12.21875" bestFit="1" customWidth="1"/>
    <col min="1069" max="1069" width="10" bestFit="1" customWidth="1"/>
    <col min="1070" max="1070" width="12.21875" bestFit="1" customWidth="1"/>
    <col min="1071" max="1071" width="10" bestFit="1" customWidth="1"/>
    <col min="1072" max="1072" width="12.21875" bestFit="1" customWidth="1"/>
    <col min="1073" max="1073" width="10" bestFit="1" customWidth="1"/>
    <col min="1074" max="1074" width="12.21875" bestFit="1" customWidth="1"/>
    <col min="1075" max="1075" width="10" bestFit="1" customWidth="1"/>
    <col min="1076" max="1076" width="12.21875" bestFit="1" customWidth="1"/>
    <col min="1077" max="1077" width="10" bestFit="1" customWidth="1"/>
    <col min="1078" max="1078" width="12.21875" bestFit="1" customWidth="1"/>
    <col min="1079" max="1079" width="10" bestFit="1" customWidth="1"/>
    <col min="1080" max="1080" width="12.21875" bestFit="1" customWidth="1"/>
    <col min="1081" max="1081" width="10" bestFit="1" customWidth="1"/>
    <col min="1082" max="1082" width="12.21875" bestFit="1" customWidth="1"/>
    <col min="1083" max="1083" width="10" bestFit="1" customWidth="1"/>
    <col min="1084" max="1084" width="12.21875" bestFit="1" customWidth="1"/>
    <col min="1085" max="1085" width="10" bestFit="1" customWidth="1"/>
    <col min="1086" max="1086" width="12.21875" bestFit="1" customWidth="1"/>
    <col min="1087" max="1087" width="10" bestFit="1" customWidth="1"/>
    <col min="1088" max="1088" width="12.21875" bestFit="1" customWidth="1"/>
    <col min="1089" max="1089" width="10" bestFit="1" customWidth="1"/>
    <col min="1090" max="1090" width="12.21875" bestFit="1" customWidth="1"/>
    <col min="1091" max="1091" width="10" bestFit="1" customWidth="1"/>
    <col min="1092" max="1092" width="12.21875" bestFit="1" customWidth="1"/>
    <col min="1093" max="1093" width="9" bestFit="1" customWidth="1"/>
    <col min="1094" max="1094" width="11.21875" bestFit="1" customWidth="1"/>
    <col min="1095" max="1095" width="10" bestFit="1" customWidth="1"/>
    <col min="1096" max="1096" width="12.21875" bestFit="1" customWidth="1"/>
    <col min="1097" max="1097" width="9" bestFit="1" customWidth="1"/>
    <col min="1098" max="1098" width="11.21875" bestFit="1" customWidth="1"/>
    <col min="1099" max="1099" width="10" bestFit="1" customWidth="1"/>
    <col min="1100" max="1100" width="12.21875" bestFit="1" customWidth="1"/>
    <col min="1101" max="1101" width="10" bestFit="1" customWidth="1"/>
    <col min="1102" max="1102" width="12.21875" bestFit="1" customWidth="1"/>
    <col min="1103" max="1103" width="10" bestFit="1" customWidth="1"/>
    <col min="1104" max="1104" width="12.21875" bestFit="1" customWidth="1"/>
    <col min="1105" max="1105" width="10" bestFit="1" customWidth="1"/>
    <col min="1106" max="1106" width="12.21875" bestFit="1" customWidth="1"/>
    <col min="1107" max="1107" width="10" bestFit="1" customWidth="1"/>
    <col min="1108" max="1108" width="12.21875" bestFit="1" customWidth="1"/>
    <col min="1109" max="1109" width="10" bestFit="1" customWidth="1"/>
    <col min="1110" max="1110" width="12.21875" bestFit="1" customWidth="1"/>
    <col min="1111" max="1111" width="10" bestFit="1" customWidth="1"/>
    <col min="1112" max="1112" width="12.21875" bestFit="1" customWidth="1"/>
    <col min="1113" max="1113" width="10" bestFit="1" customWidth="1"/>
    <col min="1114" max="1114" width="12.21875" bestFit="1" customWidth="1"/>
    <col min="1115" max="1115" width="10" bestFit="1" customWidth="1"/>
    <col min="1116" max="1116" width="12.21875" bestFit="1" customWidth="1"/>
    <col min="1117" max="1117" width="10" bestFit="1" customWidth="1"/>
    <col min="1118" max="1118" width="12.21875" bestFit="1" customWidth="1"/>
    <col min="1119" max="1119" width="10" bestFit="1" customWidth="1"/>
    <col min="1120" max="1120" width="12.21875" bestFit="1" customWidth="1"/>
    <col min="1121" max="1121" width="10" bestFit="1" customWidth="1"/>
    <col min="1122" max="1122" width="12.21875" bestFit="1" customWidth="1"/>
    <col min="1123" max="1123" width="10" bestFit="1" customWidth="1"/>
    <col min="1124" max="1124" width="12.21875" bestFit="1" customWidth="1"/>
    <col min="1125" max="1125" width="10" bestFit="1" customWidth="1"/>
    <col min="1126" max="1126" width="12.21875" bestFit="1" customWidth="1"/>
    <col min="1127" max="1127" width="10" bestFit="1" customWidth="1"/>
    <col min="1128" max="1128" width="12.21875" bestFit="1" customWidth="1"/>
    <col min="1129" max="1129" width="9" bestFit="1" customWidth="1"/>
    <col min="1130" max="1130" width="11.21875" bestFit="1" customWidth="1"/>
    <col min="1131" max="1131" width="10" bestFit="1" customWidth="1"/>
    <col min="1132" max="1132" width="12.21875" bestFit="1" customWidth="1"/>
    <col min="1133" max="1133" width="10" bestFit="1" customWidth="1"/>
    <col min="1134" max="1134" width="12.21875" bestFit="1" customWidth="1"/>
    <col min="1135" max="1135" width="10" bestFit="1" customWidth="1"/>
    <col min="1136" max="1136" width="12.21875" bestFit="1" customWidth="1"/>
    <col min="1137" max="1137" width="8" bestFit="1" customWidth="1"/>
    <col min="1138" max="1138" width="9.6640625" bestFit="1" customWidth="1"/>
    <col min="1139" max="1139" width="10" bestFit="1" customWidth="1"/>
    <col min="1140" max="1140" width="12.21875" bestFit="1" customWidth="1"/>
    <col min="1141" max="1141" width="10" bestFit="1" customWidth="1"/>
    <col min="1142" max="1142" width="12.21875" bestFit="1" customWidth="1"/>
    <col min="1143" max="1143" width="10" bestFit="1" customWidth="1"/>
    <col min="1144" max="1144" width="12.21875" bestFit="1" customWidth="1"/>
    <col min="1145" max="1145" width="10" bestFit="1" customWidth="1"/>
    <col min="1146" max="1146" width="12.21875" bestFit="1" customWidth="1"/>
    <col min="1147" max="1147" width="10" bestFit="1" customWidth="1"/>
    <col min="1148" max="1148" width="12.21875" bestFit="1" customWidth="1"/>
    <col min="1149" max="1149" width="10" bestFit="1" customWidth="1"/>
    <col min="1150" max="1150" width="12.21875" bestFit="1" customWidth="1"/>
    <col min="1151" max="1151" width="10" bestFit="1" customWidth="1"/>
    <col min="1152" max="1152" width="12.21875" bestFit="1" customWidth="1"/>
    <col min="1153" max="1153" width="10" bestFit="1" customWidth="1"/>
    <col min="1154" max="1154" width="12.21875" bestFit="1" customWidth="1"/>
    <col min="1155" max="1155" width="10" bestFit="1" customWidth="1"/>
    <col min="1156" max="1156" width="12.21875" bestFit="1" customWidth="1"/>
    <col min="1157" max="1157" width="10" bestFit="1" customWidth="1"/>
    <col min="1158" max="1158" width="12.21875" bestFit="1" customWidth="1"/>
    <col min="1159" max="1159" width="10" bestFit="1" customWidth="1"/>
    <col min="1160" max="1160" width="12.21875" bestFit="1" customWidth="1"/>
    <col min="1161" max="1161" width="9" bestFit="1" customWidth="1"/>
    <col min="1162" max="1162" width="11.21875" bestFit="1" customWidth="1"/>
    <col min="1163" max="1163" width="10" bestFit="1" customWidth="1"/>
    <col min="1164" max="1164" width="12.21875" bestFit="1" customWidth="1"/>
    <col min="1165" max="1165" width="10" bestFit="1" customWidth="1"/>
    <col min="1166" max="1166" width="12.21875" bestFit="1" customWidth="1"/>
    <col min="1167" max="1167" width="10" bestFit="1" customWidth="1"/>
    <col min="1168" max="1168" width="12.21875" bestFit="1" customWidth="1"/>
    <col min="1169" max="1169" width="10" bestFit="1" customWidth="1"/>
    <col min="1170" max="1170" width="12.21875" bestFit="1" customWidth="1"/>
    <col min="1171" max="1171" width="10" bestFit="1" customWidth="1"/>
    <col min="1172" max="1172" width="12.21875" bestFit="1" customWidth="1"/>
    <col min="1173" max="1173" width="10" bestFit="1" customWidth="1"/>
    <col min="1174" max="1174" width="12.21875" bestFit="1" customWidth="1"/>
    <col min="1175" max="1175" width="10" bestFit="1" customWidth="1"/>
    <col min="1176" max="1176" width="12.21875" bestFit="1" customWidth="1"/>
    <col min="1177" max="1177" width="10" bestFit="1" customWidth="1"/>
    <col min="1178" max="1178" width="12.21875" bestFit="1" customWidth="1"/>
    <col min="1179" max="1179" width="10" bestFit="1" customWidth="1"/>
    <col min="1180" max="1180" width="12.21875" bestFit="1" customWidth="1"/>
    <col min="1181" max="1181" width="10" bestFit="1" customWidth="1"/>
    <col min="1182" max="1182" width="12.21875" bestFit="1" customWidth="1"/>
    <col min="1183" max="1183" width="10" bestFit="1" customWidth="1"/>
    <col min="1184" max="1184" width="12.21875" bestFit="1" customWidth="1"/>
    <col min="1185" max="1185" width="10" bestFit="1" customWidth="1"/>
    <col min="1186" max="1186" width="12.21875" bestFit="1" customWidth="1"/>
    <col min="1187" max="1187" width="10" bestFit="1" customWidth="1"/>
    <col min="1188" max="1188" width="12.21875" bestFit="1" customWidth="1"/>
    <col min="1189" max="1189" width="10" bestFit="1" customWidth="1"/>
    <col min="1190" max="1190" width="12.21875" bestFit="1" customWidth="1"/>
    <col min="1191" max="1191" width="10" bestFit="1" customWidth="1"/>
    <col min="1192" max="1192" width="12.21875" bestFit="1" customWidth="1"/>
    <col min="1193" max="1193" width="10" bestFit="1" customWidth="1"/>
    <col min="1194" max="1194" width="12.21875" bestFit="1" customWidth="1"/>
    <col min="1195" max="1195" width="9" bestFit="1" customWidth="1"/>
    <col min="1196" max="1196" width="11.21875" bestFit="1" customWidth="1"/>
    <col min="1197" max="1197" width="10" bestFit="1" customWidth="1"/>
    <col min="1198" max="1198" width="12.21875" bestFit="1" customWidth="1"/>
    <col min="1199" max="1199" width="10" bestFit="1" customWidth="1"/>
    <col min="1200" max="1200" width="12.21875" bestFit="1" customWidth="1"/>
    <col min="1201" max="1201" width="10" bestFit="1" customWidth="1"/>
    <col min="1202" max="1202" width="12.21875" bestFit="1" customWidth="1"/>
    <col min="1203" max="1203" width="10" bestFit="1" customWidth="1"/>
    <col min="1204" max="1204" width="12.21875" bestFit="1" customWidth="1"/>
    <col min="1205" max="1205" width="10" bestFit="1" customWidth="1"/>
    <col min="1206" max="1206" width="12.21875" bestFit="1" customWidth="1"/>
    <col min="1207" max="1207" width="10" bestFit="1" customWidth="1"/>
    <col min="1208" max="1208" width="12.21875" bestFit="1" customWidth="1"/>
    <col min="1209" max="1209" width="10" bestFit="1" customWidth="1"/>
    <col min="1210" max="1210" width="12.21875" bestFit="1" customWidth="1"/>
    <col min="1211" max="1211" width="9" bestFit="1" customWidth="1"/>
    <col min="1212" max="1212" width="11.21875" bestFit="1" customWidth="1"/>
    <col min="1213" max="1213" width="10" bestFit="1" customWidth="1"/>
    <col min="1214" max="1214" width="12.21875" bestFit="1" customWidth="1"/>
    <col min="1215" max="1215" width="10" bestFit="1" customWidth="1"/>
    <col min="1216" max="1216" width="12.21875" bestFit="1" customWidth="1"/>
    <col min="1217" max="1217" width="10" bestFit="1" customWidth="1"/>
    <col min="1218" max="1218" width="12.21875" bestFit="1" customWidth="1"/>
    <col min="1219" max="1219" width="10" bestFit="1" customWidth="1"/>
    <col min="1220" max="1220" width="12.21875" bestFit="1" customWidth="1"/>
    <col min="1221" max="1221" width="9" bestFit="1" customWidth="1"/>
    <col min="1222" max="1222" width="11.21875" bestFit="1" customWidth="1"/>
    <col min="1223" max="1223" width="10" bestFit="1" customWidth="1"/>
    <col min="1224" max="1224" width="12.21875" bestFit="1" customWidth="1"/>
    <col min="1225" max="1225" width="10" bestFit="1" customWidth="1"/>
    <col min="1226" max="1226" width="12.21875" bestFit="1" customWidth="1"/>
    <col min="1227" max="1227" width="10" bestFit="1" customWidth="1"/>
    <col min="1228" max="1228" width="12.21875" bestFit="1" customWidth="1"/>
    <col min="1229" max="1229" width="10" bestFit="1" customWidth="1"/>
    <col min="1230" max="1230" width="12.21875" bestFit="1" customWidth="1"/>
    <col min="1231" max="1231" width="10" bestFit="1" customWidth="1"/>
    <col min="1232" max="1232" width="12.21875" bestFit="1" customWidth="1"/>
    <col min="1233" max="1233" width="10" bestFit="1" customWidth="1"/>
    <col min="1234" max="1234" width="12.21875" bestFit="1" customWidth="1"/>
    <col min="1235" max="1235" width="10" bestFit="1" customWidth="1"/>
    <col min="1236" max="1236" width="12.21875" bestFit="1" customWidth="1"/>
    <col min="1237" max="1237" width="10" bestFit="1" customWidth="1"/>
    <col min="1238" max="1238" width="12.21875" bestFit="1" customWidth="1"/>
    <col min="1239" max="1239" width="10" bestFit="1" customWidth="1"/>
    <col min="1240" max="1240" width="12.21875" bestFit="1" customWidth="1"/>
    <col min="1241" max="1241" width="10" bestFit="1" customWidth="1"/>
    <col min="1242" max="1242" width="12.21875" bestFit="1" customWidth="1"/>
    <col min="1243" max="1243" width="10" bestFit="1" customWidth="1"/>
    <col min="1244" max="1244" width="12.21875" bestFit="1" customWidth="1"/>
    <col min="1245" max="1245" width="10" bestFit="1" customWidth="1"/>
    <col min="1246" max="1246" width="12.21875" bestFit="1" customWidth="1"/>
    <col min="1247" max="1247" width="10" bestFit="1" customWidth="1"/>
    <col min="1248" max="1248" width="12.21875" bestFit="1" customWidth="1"/>
    <col min="1249" max="1249" width="10" bestFit="1" customWidth="1"/>
    <col min="1250" max="1250" width="12.21875" bestFit="1" customWidth="1"/>
    <col min="1251" max="1251" width="10" bestFit="1" customWidth="1"/>
    <col min="1252" max="1252" width="12.21875" bestFit="1" customWidth="1"/>
    <col min="1253" max="1253" width="10" bestFit="1" customWidth="1"/>
    <col min="1254" max="1254" width="12.21875" bestFit="1" customWidth="1"/>
    <col min="1255" max="1255" width="10" bestFit="1" customWidth="1"/>
    <col min="1256" max="1256" width="12.21875" bestFit="1" customWidth="1"/>
    <col min="1257" max="1257" width="10" bestFit="1" customWidth="1"/>
    <col min="1258" max="1258" width="12.21875" bestFit="1" customWidth="1"/>
    <col min="1259" max="1259" width="10" bestFit="1" customWidth="1"/>
    <col min="1260" max="1260" width="12.21875" bestFit="1" customWidth="1"/>
    <col min="1261" max="1261" width="9" bestFit="1" customWidth="1"/>
    <col min="1262" max="1262" width="11.21875" bestFit="1" customWidth="1"/>
    <col min="1263" max="1263" width="10" bestFit="1" customWidth="1"/>
    <col min="1264" max="1264" width="12.21875" bestFit="1" customWidth="1"/>
    <col min="1265" max="1265" width="9" bestFit="1" customWidth="1"/>
    <col min="1266" max="1266" width="11.21875" bestFit="1" customWidth="1"/>
    <col min="1267" max="1267" width="10" bestFit="1" customWidth="1"/>
    <col min="1268" max="1268" width="12.21875" bestFit="1" customWidth="1"/>
    <col min="1269" max="1269" width="10" bestFit="1" customWidth="1"/>
    <col min="1270" max="1270" width="12.21875" bestFit="1" customWidth="1"/>
    <col min="1271" max="1271" width="10" bestFit="1" customWidth="1"/>
    <col min="1272" max="1272" width="12.21875" bestFit="1" customWidth="1"/>
    <col min="1273" max="1273" width="10" bestFit="1" customWidth="1"/>
    <col min="1274" max="1274" width="12.21875" bestFit="1" customWidth="1"/>
    <col min="1275" max="1275" width="10" bestFit="1" customWidth="1"/>
    <col min="1276" max="1276" width="12.21875" bestFit="1" customWidth="1"/>
    <col min="1277" max="1277" width="10" bestFit="1" customWidth="1"/>
    <col min="1278" max="1278" width="12.21875" bestFit="1" customWidth="1"/>
    <col min="1279" max="1279" width="10" bestFit="1" customWidth="1"/>
    <col min="1280" max="1280" width="12.21875" bestFit="1" customWidth="1"/>
    <col min="1281" max="1281" width="10" bestFit="1" customWidth="1"/>
    <col min="1282" max="1282" width="12.21875" bestFit="1" customWidth="1"/>
    <col min="1283" max="1283" width="9" bestFit="1" customWidth="1"/>
    <col min="1284" max="1284" width="11.21875" bestFit="1" customWidth="1"/>
    <col min="1285" max="1285" width="10" bestFit="1" customWidth="1"/>
    <col min="1286" max="1286" width="12.21875" bestFit="1" customWidth="1"/>
    <col min="1287" max="1287" width="9" bestFit="1" customWidth="1"/>
    <col min="1288" max="1288" width="11.21875" bestFit="1" customWidth="1"/>
    <col min="1289" max="1289" width="10" bestFit="1" customWidth="1"/>
    <col min="1290" max="1290" width="12.21875" bestFit="1" customWidth="1"/>
    <col min="1291" max="1291" width="10" bestFit="1" customWidth="1"/>
    <col min="1292" max="1292" width="12.21875" bestFit="1" customWidth="1"/>
    <col min="1293" max="1293" width="10" bestFit="1" customWidth="1"/>
    <col min="1294" max="1294" width="12.21875" bestFit="1" customWidth="1"/>
    <col min="1295" max="1295" width="10" bestFit="1" customWidth="1"/>
    <col min="1296" max="1296" width="12.21875" bestFit="1" customWidth="1"/>
    <col min="1297" max="1297" width="10" bestFit="1" customWidth="1"/>
    <col min="1298" max="1298" width="12.21875" bestFit="1" customWidth="1"/>
    <col min="1299" max="1299" width="10" bestFit="1" customWidth="1"/>
    <col min="1300" max="1300" width="12.21875" bestFit="1" customWidth="1"/>
    <col min="1301" max="1301" width="10" bestFit="1" customWidth="1"/>
    <col min="1302" max="1302" width="12.21875" bestFit="1" customWidth="1"/>
    <col min="1303" max="1303" width="10" bestFit="1" customWidth="1"/>
    <col min="1304" max="1304" width="12.21875" bestFit="1" customWidth="1"/>
    <col min="1305" max="1305" width="10" bestFit="1" customWidth="1"/>
    <col min="1306" max="1306" width="12.21875" bestFit="1" customWidth="1"/>
    <col min="1307" max="1307" width="10" bestFit="1" customWidth="1"/>
    <col min="1308" max="1308" width="12.21875" bestFit="1" customWidth="1"/>
    <col min="1309" max="1309" width="10" bestFit="1" customWidth="1"/>
    <col min="1310" max="1310" width="12.21875" bestFit="1" customWidth="1"/>
    <col min="1311" max="1311" width="10" bestFit="1" customWidth="1"/>
    <col min="1312" max="1312" width="12.21875" bestFit="1" customWidth="1"/>
    <col min="1313" max="1313" width="10" bestFit="1" customWidth="1"/>
    <col min="1314" max="1314" width="8" bestFit="1" customWidth="1"/>
    <col min="1315" max="1315" width="12.21875" bestFit="1" customWidth="1"/>
    <col min="1316" max="1316" width="10" bestFit="1" customWidth="1"/>
    <col min="1317" max="1317" width="12.21875" bestFit="1" customWidth="1"/>
    <col min="1318" max="1318" width="10" bestFit="1" customWidth="1"/>
    <col min="1319" max="1319" width="12.21875" bestFit="1" customWidth="1"/>
    <col min="1320" max="1320" width="10" bestFit="1" customWidth="1"/>
    <col min="1321" max="1321" width="12.21875" bestFit="1" customWidth="1"/>
    <col min="1322" max="1322" width="10" bestFit="1" customWidth="1"/>
    <col min="1323" max="1323" width="12.21875" bestFit="1" customWidth="1"/>
    <col min="1324" max="1324" width="10" bestFit="1" customWidth="1"/>
    <col min="1325" max="1325" width="12.21875" bestFit="1" customWidth="1"/>
    <col min="1326" max="1326" width="9" bestFit="1" customWidth="1"/>
    <col min="1327" max="1327" width="11.21875" bestFit="1" customWidth="1"/>
    <col min="1328" max="1328" width="10" bestFit="1" customWidth="1"/>
    <col min="1329" max="1329" width="12.21875" bestFit="1" customWidth="1"/>
    <col min="1330" max="1330" width="10" bestFit="1" customWidth="1"/>
    <col min="1331" max="1331" width="12.21875" bestFit="1" customWidth="1"/>
    <col min="1332" max="1332" width="10" bestFit="1" customWidth="1"/>
    <col min="1333" max="1333" width="12.21875" bestFit="1" customWidth="1"/>
    <col min="1334" max="1334" width="9" bestFit="1" customWidth="1"/>
    <col min="1335" max="1335" width="11.21875" bestFit="1" customWidth="1"/>
    <col min="1336" max="1336" width="9" bestFit="1" customWidth="1"/>
    <col min="1337" max="1337" width="11.21875" bestFit="1" customWidth="1"/>
    <col min="1338" max="1338" width="9" bestFit="1" customWidth="1"/>
    <col min="1339" max="1339" width="9.6640625" bestFit="1" customWidth="1"/>
    <col min="1340" max="1340" width="10" bestFit="1" customWidth="1"/>
    <col min="1341" max="1341" width="12.21875" bestFit="1" customWidth="1"/>
    <col min="1342" max="1342" width="10" bestFit="1" customWidth="1"/>
    <col min="1343" max="1343" width="12.21875" bestFit="1" customWidth="1"/>
    <col min="1344" max="1344" width="10" bestFit="1" customWidth="1"/>
    <col min="1345" max="1345" width="12.21875" bestFit="1" customWidth="1"/>
    <col min="1346" max="1346" width="10" bestFit="1" customWidth="1"/>
    <col min="1347" max="1347" width="12.21875" bestFit="1" customWidth="1"/>
    <col min="1348" max="1348" width="10" bestFit="1" customWidth="1"/>
    <col min="1349" max="1349" width="12.21875" bestFit="1" customWidth="1"/>
    <col min="1350" max="1350" width="10" bestFit="1" customWidth="1"/>
    <col min="1351" max="1351" width="12.21875" bestFit="1" customWidth="1"/>
    <col min="1352" max="1352" width="10" bestFit="1" customWidth="1"/>
    <col min="1353" max="1353" width="12.21875" bestFit="1" customWidth="1"/>
    <col min="1354" max="1354" width="10" bestFit="1" customWidth="1"/>
    <col min="1355" max="1355" width="12.21875" bestFit="1" customWidth="1"/>
    <col min="1356" max="1356" width="10" bestFit="1" customWidth="1"/>
    <col min="1357" max="1357" width="12.21875" bestFit="1" customWidth="1"/>
    <col min="1358" max="1358" width="10" bestFit="1" customWidth="1"/>
    <col min="1359" max="1359" width="12.21875" bestFit="1" customWidth="1"/>
    <col min="1360" max="1360" width="10" bestFit="1" customWidth="1"/>
    <col min="1361" max="1361" width="12.21875" bestFit="1" customWidth="1"/>
    <col min="1362" max="1362" width="10" bestFit="1" customWidth="1"/>
    <col min="1363" max="1363" width="12.21875" bestFit="1" customWidth="1"/>
    <col min="1364" max="1364" width="9" bestFit="1" customWidth="1"/>
    <col min="1365" max="1365" width="11.21875" bestFit="1" customWidth="1"/>
    <col min="1366" max="1366" width="10" bestFit="1" customWidth="1"/>
    <col min="1367" max="1367" width="12.21875" bestFit="1" customWidth="1"/>
    <col min="1368" max="1368" width="10" bestFit="1" customWidth="1"/>
    <col min="1369" max="1369" width="12.21875" bestFit="1" customWidth="1"/>
    <col min="1370" max="1370" width="10" bestFit="1" customWidth="1"/>
    <col min="1371" max="1371" width="12.21875" bestFit="1" customWidth="1"/>
    <col min="1372" max="1372" width="10" bestFit="1" customWidth="1"/>
    <col min="1373" max="1373" width="12.21875" bestFit="1" customWidth="1"/>
    <col min="1374" max="1374" width="10" bestFit="1" customWidth="1"/>
    <col min="1375" max="1375" width="9" bestFit="1" customWidth="1"/>
    <col min="1376" max="1376" width="12.21875" bestFit="1" customWidth="1"/>
    <col min="1377" max="1377" width="10" bestFit="1" customWidth="1"/>
    <col min="1378" max="1378" width="12.21875" bestFit="1" customWidth="1"/>
    <col min="1379" max="1379" width="10" bestFit="1" customWidth="1"/>
    <col min="1380" max="1380" width="12.21875" bestFit="1" customWidth="1"/>
    <col min="1381" max="1381" width="9" bestFit="1" customWidth="1"/>
    <col min="1382" max="1382" width="11.21875" bestFit="1" customWidth="1"/>
    <col min="1383" max="1383" width="10" bestFit="1" customWidth="1"/>
    <col min="1384" max="1384" width="12.21875" bestFit="1" customWidth="1"/>
    <col min="1385" max="1385" width="10" bestFit="1" customWidth="1"/>
    <col min="1386" max="1386" width="12.21875" bestFit="1" customWidth="1"/>
    <col min="1387" max="1387" width="10" bestFit="1" customWidth="1"/>
    <col min="1388" max="1388" width="12.21875" bestFit="1" customWidth="1"/>
    <col min="1389" max="1389" width="10" bestFit="1" customWidth="1"/>
    <col min="1390" max="1390" width="12.21875" bestFit="1" customWidth="1"/>
    <col min="1391" max="1391" width="10" bestFit="1" customWidth="1"/>
    <col min="1392" max="1392" width="12.21875" bestFit="1" customWidth="1"/>
    <col min="1393" max="1393" width="10" bestFit="1" customWidth="1"/>
    <col min="1394" max="1394" width="12.21875" bestFit="1" customWidth="1"/>
    <col min="1395" max="1395" width="10" bestFit="1" customWidth="1"/>
    <col min="1396" max="1396" width="12.21875" bestFit="1" customWidth="1"/>
    <col min="1397" max="1397" width="10" bestFit="1" customWidth="1"/>
    <col min="1398" max="1398" width="12.21875" bestFit="1" customWidth="1"/>
    <col min="1399" max="1399" width="10" bestFit="1" customWidth="1"/>
    <col min="1400" max="1400" width="12.21875" bestFit="1" customWidth="1"/>
    <col min="1401" max="1401" width="10" bestFit="1" customWidth="1"/>
    <col min="1402" max="1402" width="12.21875" bestFit="1" customWidth="1"/>
    <col min="1403" max="1403" width="10" bestFit="1" customWidth="1"/>
    <col min="1404" max="1404" width="12.21875" bestFit="1" customWidth="1"/>
    <col min="1405" max="1405" width="10" bestFit="1" customWidth="1"/>
    <col min="1406" max="1406" width="12.21875" bestFit="1" customWidth="1"/>
    <col min="1407" max="1407" width="10" bestFit="1" customWidth="1"/>
    <col min="1408" max="1408" width="12.21875" bestFit="1" customWidth="1"/>
    <col min="1409" max="1409" width="9" bestFit="1" customWidth="1"/>
    <col min="1410" max="1410" width="11.21875" bestFit="1" customWidth="1"/>
    <col min="1411" max="1411" width="10" bestFit="1" customWidth="1"/>
    <col min="1412" max="1412" width="12.21875" bestFit="1" customWidth="1"/>
    <col min="1413" max="1413" width="10" bestFit="1" customWidth="1"/>
    <col min="1414" max="1414" width="12.21875" bestFit="1" customWidth="1"/>
    <col min="1415" max="1415" width="10" bestFit="1" customWidth="1"/>
    <col min="1416" max="1416" width="12.21875" bestFit="1" customWidth="1"/>
    <col min="1417" max="1417" width="10" bestFit="1" customWidth="1"/>
    <col min="1418" max="1418" width="12.21875" bestFit="1" customWidth="1"/>
    <col min="1419" max="1419" width="10" bestFit="1" customWidth="1"/>
    <col min="1420" max="1420" width="12.21875" bestFit="1" customWidth="1"/>
    <col min="1421" max="1421" width="10" bestFit="1" customWidth="1"/>
    <col min="1422" max="1422" width="12.21875" bestFit="1" customWidth="1"/>
    <col min="1423" max="1423" width="10" bestFit="1" customWidth="1"/>
    <col min="1424" max="1424" width="12.21875" bestFit="1" customWidth="1"/>
    <col min="1425" max="1425" width="10" bestFit="1" customWidth="1"/>
    <col min="1426" max="1426" width="12.21875" bestFit="1" customWidth="1"/>
    <col min="1427" max="1427" width="10" bestFit="1" customWidth="1"/>
    <col min="1428" max="1428" width="12.21875" bestFit="1" customWidth="1"/>
    <col min="1429" max="1429" width="10" bestFit="1" customWidth="1"/>
    <col min="1430" max="1430" width="12.21875" bestFit="1" customWidth="1"/>
    <col min="1431" max="1431" width="10" bestFit="1" customWidth="1"/>
    <col min="1432" max="1432" width="12.21875" bestFit="1" customWidth="1"/>
    <col min="1433" max="1433" width="10" bestFit="1" customWidth="1"/>
    <col min="1434" max="1434" width="12.21875" bestFit="1" customWidth="1"/>
    <col min="1435" max="1435" width="10" bestFit="1" customWidth="1"/>
    <col min="1436" max="1436" width="12.21875" bestFit="1" customWidth="1"/>
    <col min="1437" max="1437" width="10" bestFit="1" customWidth="1"/>
    <col min="1438" max="1438" width="12.21875" bestFit="1" customWidth="1"/>
    <col min="1439" max="1439" width="10" bestFit="1" customWidth="1"/>
    <col min="1440" max="1440" width="12.21875" bestFit="1" customWidth="1"/>
    <col min="1441" max="1441" width="10" bestFit="1" customWidth="1"/>
    <col min="1442" max="1442" width="12.21875" bestFit="1" customWidth="1"/>
    <col min="1443" max="1443" width="10" bestFit="1" customWidth="1"/>
    <col min="1444" max="1444" width="12.21875" bestFit="1" customWidth="1"/>
    <col min="1445" max="1445" width="10" bestFit="1" customWidth="1"/>
    <col min="1446" max="1446" width="12.21875" bestFit="1" customWidth="1"/>
    <col min="1447" max="1447" width="10" bestFit="1" customWidth="1"/>
    <col min="1448" max="1448" width="12.21875" bestFit="1" customWidth="1"/>
    <col min="1449" max="1449" width="10" bestFit="1" customWidth="1"/>
    <col min="1450" max="1450" width="12.21875" bestFit="1" customWidth="1"/>
    <col min="1451" max="1451" width="10" bestFit="1" customWidth="1"/>
    <col min="1452" max="1452" width="12.21875" bestFit="1" customWidth="1"/>
    <col min="1453" max="1453" width="10" bestFit="1" customWidth="1"/>
    <col min="1454" max="1454" width="12.21875" bestFit="1" customWidth="1"/>
    <col min="1455" max="1455" width="10" bestFit="1" customWidth="1"/>
    <col min="1456" max="1456" width="9" bestFit="1" customWidth="1"/>
    <col min="1457" max="1457" width="12.21875" bestFit="1" customWidth="1"/>
    <col min="1458" max="1458" width="10" bestFit="1" customWidth="1"/>
    <col min="1459" max="1459" width="12.21875" bestFit="1" customWidth="1"/>
    <col min="1460" max="1460" width="10" bestFit="1" customWidth="1"/>
    <col min="1461" max="1461" width="12.21875" bestFit="1" customWidth="1"/>
    <col min="1462" max="1462" width="10" bestFit="1" customWidth="1"/>
    <col min="1463" max="1463" width="12.21875" bestFit="1" customWidth="1"/>
    <col min="1464" max="1464" width="10" bestFit="1" customWidth="1"/>
    <col min="1465" max="1465" width="12.21875" bestFit="1" customWidth="1"/>
    <col min="1466" max="1466" width="10" bestFit="1" customWidth="1"/>
    <col min="1467" max="1467" width="12.21875" bestFit="1" customWidth="1"/>
    <col min="1468" max="1468" width="10" bestFit="1" customWidth="1"/>
    <col min="1469" max="1469" width="12.21875" bestFit="1" customWidth="1"/>
    <col min="1470" max="1470" width="9" bestFit="1" customWidth="1"/>
    <col min="1471" max="1471" width="11.21875" bestFit="1" customWidth="1"/>
    <col min="1472" max="1472" width="10" bestFit="1" customWidth="1"/>
    <col min="1473" max="1473" width="12.21875" bestFit="1" customWidth="1"/>
    <col min="1474" max="1474" width="10" bestFit="1" customWidth="1"/>
    <col min="1475" max="1475" width="12.21875" bestFit="1" customWidth="1"/>
    <col min="1476" max="1476" width="10" bestFit="1" customWidth="1"/>
    <col min="1477" max="1477" width="12.21875" bestFit="1" customWidth="1"/>
    <col min="1478" max="1478" width="10" bestFit="1" customWidth="1"/>
    <col min="1479" max="1479" width="12.21875" bestFit="1" customWidth="1"/>
    <col min="1480" max="1480" width="10" bestFit="1" customWidth="1"/>
    <col min="1481" max="1481" width="12.21875" bestFit="1" customWidth="1"/>
    <col min="1482" max="1482" width="10" bestFit="1" customWidth="1"/>
    <col min="1483" max="1483" width="12.21875" bestFit="1" customWidth="1"/>
    <col min="1484" max="1484" width="10" bestFit="1" customWidth="1"/>
    <col min="1485" max="1485" width="12.21875" bestFit="1" customWidth="1"/>
    <col min="1486" max="1486" width="10" bestFit="1" customWidth="1"/>
    <col min="1487" max="1487" width="12.21875" bestFit="1" customWidth="1"/>
    <col min="1488" max="1488" width="10" bestFit="1" customWidth="1"/>
    <col min="1489" max="1489" width="12.21875" bestFit="1" customWidth="1"/>
    <col min="1490" max="1491" width="9" bestFit="1" customWidth="1"/>
    <col min="1492" max="1492" width="9.6640625" bestFit="1" customWidth="1"/>
    <col min="1493" max="1493" width="10" bestFit="1" customWidth="1"/>
    <col min="1494" max="1494" width="12.21875" bestFit="1" customWidth="1"/>
    <col min="1495" max="1495" width="10" bestFit="1" customWidth="1"/>
    <col min="1496" max="1496" width="12.21875" bestFit="1" customWidth="1"/>
    <col min="1497" max="1497" width="10" bestFit="1" customWidth="1"/>
    <col min="1498" max="1498" width="12.21875" bestFit="1" customWidth="1"/>
    <col min="1499" max="1499" width="10" bestFit="1" customWidth="1"/>
    <col min="1500" max="1500" width="12.21875" bestFit="1" customWidth="1"/>
    <col min="1501" max="1501" width="10" bestFit="1" customWidth="1"/>
    <col min="1502" max="1502" width="12.21875" bestFit="1" customWidth="1"/>
    <col min="1503" max="1503" width="9" bestFit="1" customWidth="1"/>
    <col min="1504" max="1504" width="11.21875" bestFit="1" customWidth="1"/>
    <col min="1505" max="1505" width="10" bestFit="1" customWidth="1"/>
    <col min="1506" max="1506" width="12.21875" bestFit="1" customWidth="1"/>
    <col min="1507" max="1507" width="10" bestFit="1" customWidth="1"/>
    <col min="1508" max="1508" width="12.21875" bestFit="1" customWidth="1"/>
    <col min="1509" max="1509" width="10" bestFit="1" customWidth="1"/>
    <col min="1510" max="1510" width="12.21875" bestFit="1" customWidth="1"/>
    <col min="1511" max="1511" width="10" bestFit="1" customWidth="1"/>
    <col min="1512" max="1512" width="12.21875" bestFit="1" customWidth="1"/>
    <col min="1513" max="1513" width="10" bestFit="1" customWidth="1"/>
    <col min="1514" max="1514" width="12.21875" bestFit="1" customWidth="1"/>
    <col min="1515" max="1515" width="10" bestFit="1" customWidth="1"/>
    <col min="1516" max="1516" width="12.21875" bestFit="1" customWidth="1"/>
    <col min="1517" max="1517" width="10" bestFit="1" customWidth="1"/>
    <col min="1518" max="1518" width="12.21875" bestFit="1" customWidth="1"/>
    <col min="1519" max="1519" width="10" bestFit="1" customWidth="1"/>
    <col min="1520" max="1520" width="12.21875" bestFit="1" customWidth="1"/>
    <col min="1521" max="1521" width="10" bestFit="1" customWidth="1"/>
    <col min="1522" max="1522" width="12.21875" bestFit="1" customWidth="1"/>
    <col min="1523" max="1523" width="10" bestFit="1" customWidth="1"/>
    <col min="1524" max="1524" width="12.21875" bestFit="1" customWidth="1"/>
    <col min="1525" max="1525" width="10" bestFit="1" customWidth="1"/>
    <col min="1526" max="1526" width="12.21875" bestFit="1" customWidth="1"/>
    <col min="1527" max="1527" width="9" bestFit="1" customWidth="1"/>
    <col min="1528" max="1528" width="11.21875" bestFit="1" customWidth="1"/>
    <col min="1529" max="1529" width="10" bestFit="1" customWidth="1"/>
    <col min="1530" max="1530" width="12.21875" bestFit="1" customWidth="1"/>
    <col min="1531" max="1531" width="10" bestFit="1" customWidth="1"/>
    <col min="1532" max="1532" width="12.21875" bestFit="1" customWidth="1"/>
    <col min="1533" max="1533" width="10" bestFit="1" customWidth="1"/>
    <col min="1534" max="1534" width="12.21875" bestFit="1" customWidth="1"/>
    <col min="1535" max="1535" width="10" bestFit="1" customWidth="1"/>
    <col min="1536" max="1536" width="12.21875" bestFit="1" customWidth="1"/>
    <col min="1537" max="1537" width="10" bestFit="1" customWidth="1"/>
    <col min="1538" max="1538" width="12.21875" bestFit="1" customWidth="1"/>
    <col min="1539" max="1539" width="10" bestFit="1" customWidth="1"/>
    <col min="1540" max="1540" width="12.21875" bestFit="1" customWidth="1"/>
    <col min="1541" max="1541" width="10" bestFit="1" customWidth="1"/>
    <col min="1542" max="1542" width="12.21875" bestFit="1" customWidth="1"/>
    <col min="1543" max="1543" width="9" bestFit="1" customWidth="1"/>
    <col min="1544" max="1544" width="11.21875" bestFit="1" customWidth="1"/>
    <col min="1545" max="1545" width="10" bestFit="1" customWidth="1"/>
    <col min="1546" max="1546" width="12.21875" bestFit="1" customWidth="1"/>
    <col min="1547" max="1547" width="10" bestFit="1" customWidth="1"/>
    <col min="1548" max="1548" width="12.21875" bestFit="1" customWidth="1"/>
    <col min="1549" max="1549" width="10" bestFit="1" customWidth="1"/>
    <col min="1550" max="1550" width="12.21875" bestFit="1" customWidth="1"/>
    <col min="1551" max="1551" width="10" bestFit="1" customWidth="1"/>
    <col min="1552" max="1552" width="12.21875" bestFit="1" customWidth="1"/>
    <col min="1553" max="1553" width="10" bestFit="1" customWidth="1"/>
    <col min="1554" max="1554" width="12.21875" bestFit="1" customWidth="1"/>
    <col min="1555" max="1555" width="10" bestFit="1" customWidth="1"/>
    <col min="1556" max="1556" width="12.21875" bestFit="1" customWidth="1"/>
    <col min="1557" max="1557" width="10" bestFit="1" customWidth="1"/>
    <col min="1558" max="1558" width="12.21875" bestFit="1" customWidth="1"/>
    <col min="1559" max="1559" width="10" bestFit="1" customWidth="1"/>
    <col min="1560" max="1560" width="12.21875" bestFit="1" customWidth="1"/>
    <col min="1561" max="1561" width="10" bestFit="1" customWidth="1"/>
    <col min="1562" max="1562" width="12.21875" bestFit="1" customWidth="1"/>
    <col min="1563" max="1563" width="10" bestFit="1" customWidth="1"/>
    <col min="1564" max="1564" width="12.21875" bestFit="1" customWidth="1"/>
    <col min="1565" max="1565" width="10" bestFit="1" customWidth="1"/>
    <col min="1566" max="1566" width="12.21875" bestFit="1" customWidth="1"/>
    <col min="1567" max="1567" width="10" bestFit="1" customWidth="1"/>
    <col min="1568" max="1568" width="12.21875" bestFit="1" customWidth="1"/>
    <col min="1569" max="1569" width="10" bestFit="1" customWidth="1"/>
    <col min="1570" max="1570" width="12.21875" bestFit="1" customWidth="1"/>
    <col min="1571" max="1571" width="10" bestFit="1" customWidth="1"/>
    <col min="1572" max="1572" width="12.21875" bestFit="1" customWidth="1"/>
    <col min="1573" max="1573" width="10" bestFit="1" customWidth="1"/>
    <col min="1574" max="1574" width="12.21875" bestFit="1" customWidth="1"/>
    <col min="1575" max="1575" width="10" bestFit="1" customWidth="1"/>
    <col min="1576" max="1576" width="12.21875" bestFit="1" customWidth="1"/>
    <col min="1577" max="1577" width="10" bestFit="1" customWidth="1"/>
    <col min="1578" max="1578" width="12.21875" bestFit="1" customWidth="1"/>
    <col min="1579" max="1579" width="10" bestFit="1" customWidth="1"/>
    <col min="1580" max="1580" width="12.21875" bestFit="1" customWidth="1"/>
    <col min="1581" max="1581" width="10" bestFit="1" customWidth="1"/>
    <col min="1582" max="1582" width="12.21875" bestFit="1" customWidth="1"/>
    <col min="1583" max="1583" width="9" bestFit="1" customWidth="1"/>
    <col min="1584" max="1584" width="11.21875" bestFit="1" customWidth="1"/>
    <col min="1585" max="1585" width="10" bestFit="1" customWidth="1"/>
    <col min="1586" max="1586" width="12.21875" bestFit="1" customWidth="1"/>
    <col min="1587" max="1587" width="10" bestFit="1" customWidth="1"/>
    <col min="1588" max="1588" width="12.21875" bestFit="1" customWidth="1"/>
    <col min="1589" max="1589" width="10" bestFit="1" customWidth="1"/>
    <col min="1590" max="1590" width="12.21875" bestFit="1" customWidth="1"/>
    <col min="1591" max="1591" width="10" bestFit="1" customWidth="1"/>
    <col min="1592" max="1592" width="12.21875" bestFit="1" customWidth="1"/>
    <col min="1593" max="1593" width="10" bestFit="1" customWidth="1"/>
    <col min="1594" max="1594" width="12.21875" bestFit="1" customWidth="1"/>
    <col min="1595" max="1595" width="10" bestFit="1" customWidth="1"/>
    <col min="1596" max="1596" width="12.21875" bestFit="1" customWidth="1"/>
    <col min="1597" max="1597" width="10" bestFit="1" customWidth="1"/>
    <col min="1598" max="1598" width="12.21875" bestFit="1" customWidth="1"/>
    <col min="1599" max="1599" width="10" bestFit="1" customWidth="1"/>
    <col min="1600" max="1600" width="12.21875" bestFit="1" customWidth="1"/>
    <col min="1601" max="1601" width="10" bestFit="1" customWidth="1"/>
    <col min="1602" max="1602" width="12.21875" bestFit="1" customWidth="1"/>
    <col min="1603" max="1603" width="10" bestFit="1" customWidth="1"/>
    <col min="1604" max="1604" width="12.21875" bestFit="1" customWidth="1"/>
    <col min="1605" max="1605" width="9" bestFit="1" customWidth="1"/>
    <col min="1606" max="1606" width="11.21875" bestFit="1" customWidth="1"/>
    <col min="1607" max="1607" width="10" bestFit="1" customWidth="1"/>
    <col min="1608" max="1608" width="12.21875" bestFit="1" customWidth="1"/>
    <col min="1609" max="1609" width="10" bestFit="1" customWidth="1"/>
    <col min="1610" max="1610" width="12.21875" bestFit="1" customWidth="1"/>
    <col min="1611" max="1611" width="10" bestFit="1" customWidth="1"/>
    <col min="1612" max="1612" width="12.21875" bestFit="1" customWidth="1"/>
    <col min="1613" max="1613" width="9" bestFit="1" customWidth="1"/>
    <col min="1614" max="1614" width="11.21875" bestFit="1" customWidth="1"/>
    <col min="1615" max="1615" width="10" bestFit="1" customWidth="1"/>
    <col min="1616" max="1616" width="12.21875" bestFit="1" customWidth="1"/>
    <col min="1617" max="1617" width="10" bestFit="1" customWidth="1"/>
    <col min="1618" max="1618" width="12.21875" bestFit="1" customWidth="1"/>
    <col min="1619" max="1619" width="10" bestFit="1" customWidth="1"/>
    <col min="1620" max="1620" width="12.21875" bestFit="1" customWidth="1"/>
    <col min="1621" max="1621" width="9" bestFit="1" customWidth="1"/>
    <col min="1622" max="1622" width="9.6640625" bestFit="1" customWidth="1"/>
    <col min="1623" max="1623" width="10" bestFit="1" customWidth="1"/>
    <col min="1624" max="1624" width="12.21875" bestFit="1" customWidth="1"/>
    <col min="1625" max="1625" width="10" bestFit="1" customWidth="1"/>
    <col min="1626" max="1626" width="12.21875" bestFit="1" customWidth="1"/>
    <col min="1627" max="1627" width="10" bestFit="1" customWidth="1"/>
    <col min="1628" max="1628" width="12.21875" bestFit="1" customWidth="1"/>
    <col min="1629" max="1629" width="10" bestFit="1" customWidth="1"/>
    <col min="1630" max="1630" width="12.21875" bestFit="1" customWidth="1"/>
    <col min="1631" max="1631" width="10" bestFit="1" customWidth="1"/>
    <col min="1632" max="1632" width="12.21875" bestFit="1" customWidth="1"/>
    <col min="1633" max="1633" width="10" bestFit="1" customWidth="1"/>
    <col min="1634" max="1634" width="12.21875" bestFit="1" customWidth="1"/>
    <col min="1635" max="1635" width="10" bestFit="1" customWidth="1"/>
    <col min="1636" max="1636" width="12.21875" bestFit="1" customWidth="1"/>
    <col min="1637" max="1637" width="10" bestFit="1" customWidth="1"/>
    <col min="1638" max="1638" width="12.21875" bestFit="1" customWidth="1"/>
    <col min="1639" max="1639" width="10" bestFit="1" customWidth="1"/>
    <col min="1640" max="1640" width="12.21875" bestFit="1" customWidth="1"/>
    <col min="1641" max="1641" width="10" bestFit="1" customWidth="1"/>
    <col min="1642" max="1642" width="12.21875" bestFit="1" customWidth="1"/>
    <col min="1643" max="1643" width="10" bestFit="1" customWidth="1"/>
    <col min="1644" max="1644" width="12.21875" bestFit="1" customWidth="1"/>
    <col min="1645" max="1645" width="10" bestFit="1" customWidth="1"/>
    <col min="1646" max="1646" width="12.21875" bestFit="1" customWidth="1"/>
    <col min="1647" max="1647" width="10" bestFit="1" customWidth="1"/>
    <col min="1648" max="1648" width="12.21875" bestFit="1" customWidth="1"/>
    <col min="1649" max="1649" width="10" bestFit="1" customWidth="1"/>
    <col min="1650" max="1650" width="12.21875" bestFit="1" customWidth="1"/>
    <col min="1651" max="1651" width="10" bestFit="1" customWidth="1"/>
    <col min="1652" max="1652" width="12.21875" bestFit="1" customWidth="1"/>
    <col min="1653" max="1653" width="10" bestFit="1" customWidth="1"/>
    <col min="1654" max="1654" width="12.21875" bestFit="1" customWidth="1"/>
    <col min="1655" max="1655" width="10" bestFit="1" customWidth="1"/>
    <col min="1656" max="1656" width="12.21875" bestFit="1" customWidth="1"/>
    <col min="1657" max="1657" width="10" bestFit="1" customWidth="1"/>
    <col min="1658" max="1658" width="12.21875" bestFit="1" customWidth="1"/>
    <col min="1659" max="1659" width="10" bestFit="1" customWidth="1"/>
    <col min="1660" max="1660" width="12.21875" bestFit="1" customWidth="1"/>
    <col min="1661" max="1661" width="10" bestFit="1" customWidth="1"/>
    <col min="1662" max="1662" width="12.21875" bestFit="1" customWidth="1"/>
    <col min="1663" max="1663" width="10" bestFit="1" customWidth="1"/>
    <col min="1664" max="1664" width="12.21875" bestFit="1" customWidth="1"/>
    <col min="1665" max="1665" width="10" bestFit="1" customWidth="1"/>
    <col min="1666" max="1666" width="12.21875" bestFit="1" customWidth="1"/>
    <col min="1667" max="1667" width="10" bestFit="1" customWidth="1"/>
    <col min="1668" max="1668" width="12.21875" bestFit="1" customWidth="1"/>
    <col min="1669" max="1669" width="10" bestFit="1" customWidth="1"/>
    <col min="1670" max="1670" width="12.21875" bestFit="1" customWidth="1"/>
    <col min="1671" max="1671" width="10" bestFit="1" customWidth="1"/>
    <col min="1672" max="1672" width="12.21875" bestFit="1" customWidth="1"/>
    <col min="1673" max="1673" width="10" bestFit="1" customWidth="1"/>
    <col min="1674" max="1674" width="12.21875" bestFit="1" customWidth="1"/>
    <col min="1675" max="1675" width="10" bestFit="1" customWidth="1"/>
    <col min="1676" max="1676" width="12.21875" bestFit="1" customWidth="1"/>
    <col min="1677" max="1677" width="10" bestFit="1" customWidth="1"/>
    <col min="1678" max="1678" width="12.21875" bestFit="1" customWidth="1"/>
    <col min="1679" max="1679" width="10" bestFit="1" customWidth="1"/>
    <col min="1680" max="1680" width="12.21875" bestFit="1" customWidth="1"/>
    <col min="1681" max="1681" width="10" bestFit="1" customWidth="1"/>
    <col min="1682" max="1682" width="12.21875" bestFit="1" customWidth="1"/>
    <col min="1683" max="1683" width="10" bestFit="1" customWidth="1"/>
    <col min="1684" max="1684" width="12.21875" bestFit="1" customWidth="1"/>
    <col min="1685" max="1685" width="10" bestFit="1" customWidth="1"/>
    <col min="1686" max="1686" width="12.21875" bestFit="1" customWidth="1"/>
    <col min="1687" max="1687" width="10" bestFit="1" customWidth="1"/>
    <col min="1688" max="1688" width="12.21875" bestFit="1" customWidth="1"/>
    <col min="1689" max="1689" width="10" bestFit="1" customWidth="1"/>
    <col min="1690" max="1690" width="12.21875" bestFit="1" customWidth="1"/>
    <col min="1691" max="1691" width="10" bestFit="1" customWidth="1"/>
    <col min="1692" max="1692" width="12.21875" bestFit="1" customWidth="1"/>
    <col min="1693" max="1693" width="10" bestFit="1" customWidth="1"/>
    <col min="1694" max="1694" width="12.21875" bestFit="1" customWidth="1"/>
    <col min="1695" max="1695" width="10" bestFit="1" customWidth="1"/>
    <col min="1696" max="1696" width="12.21875" bestFit="1" customWidth="1"/>
    <col min="1697" max="1697" width="10" bestFit="1" customWidth="1"/>
    <col min="1698" max="1698" width="9" bestFit="1" customWidth="1"/>
    <col min="1699" max="1699" width="12.21875" bestFit="1" customWidth="1"/>
    <col min="1700" max="1700" width="10" bestFit="1" customWidth="1"/>
    <col min="1701" max="1701" width="12.21875" bestFit="1" customWidth="1"/>
    <col min="1702" max="1702" width="10" bestFit="1" customWidth="1"/>
    <col min="1703" max="1703" width="12.21875" bestFit="1" customWidth="1"/>
    <col min="1704" max="1704" width="10" bestFit="1" customWidth="1"/>
    <col min="1705" max="1705" width="12.21875" bestFit="1" customWidth="1"/>
    <col min="1706" max="1706" width="10" bestFit="1" customWidth="1"/>
    <col min="1707" max="1707" width="12.21875" bestFit="1" customWidth="1"/>
    <col min="1708" max="1708" width="10" bestFit="1" customWidth="1"/>
    <col min="1709" max="1709" width="12.21875" bestFit="1" customWidth="1"/>
    <col min="1710" max="1710" width="10" bestFit="1" customWidth="1"/>
    <col min="1711" max="1711" width="12.21875" bestFit="1" customWidth="1"/>
    <col min="1712" max="1712" width="10" bestFit="1" customWidth="1"/>
    <col min="1713" max="1713" width="12.21875" bestFit="1" customWidth="1"/>
    <col min="1714" max="1714" width="10" bestFit="1" customWidth="1"/>
    <col min="1715" max="1715" width="12.21875" bestFit="1" customWidth="1"/>
    <col min="1716" max="1716" width="10" bestFit="1" customWidth="1"/>
    <col min="1717" max="1717" width="12.21875" bestFit="1" customWidth="1"/>
    <col min="1718" max="1718" width="10" bestFit="1" customWidth="1"/>
    <col min="1719" max="1719" width="12.21875" bestFit="1" customWidth="1"/>
    <col min="1720" max="1720" width="10" bestFit="1" customWidth="1"/>
    <col min="1721" max="1721" width="12.21875" bestFit="1" customWidth="1"/>
    <col min="1722" max="1722" width="9" bestFit="1" customWidth="1"/>
    <col min="1723" max="1723" width="11.21875" bestFit="1" customWidth="1"/>
    <col min="1724" max="1724" width="10" bestFit="1" customWidth="1"/>
    <col min="1725" max="1725" width="12.21875" bestFit="1" customWidth="1"/>
    <col min="1726" max="1726" width="10" bestFit="1" customWidth="1"/>
    <col min="1727" max="1727" width="12.21875" bestFit="1" customWidth="1"/>
    <col min="1728" max="1728" width="10" bestFit="1" customWidth="1"/>
    <col min="1729" max="1729" width="12.21875" bestFit="1" customWidth="1"/>
    <col min="1730" max="1730" width="10" bestFit="1" customWidth="1"/>
    <col min="1731" max="1731" width="12.21875" bestFit="1" customWidth="1"/>
    <col min="1732" max="1732" width="10" bestFit="1" customWidth="1"/>
    <col min="1733" max="1733" width="12.21875" bestFit="1" customWidth="1"/>
    <col min="1734" max="1734" width="10" bestFit="1" customWidth="1"/>
    <col min="1735" max="1735" width="12.21875" bestFit="1" customWidth="1"/>
    <col min="1736" max="1736" width="10" bestFit="1" customWidth="1"/>
    <col min="1737" max="1737" width="12.21875" bestFit="1" customWidth="1"/>
    <col min="1738" max="1738" width="10" bestFit="1" customWidth="1"/>
    <col min="1739" max="1739" width="12.21875" bestFit="1" customWidth="1"/>
    <col min="1740" max="1740" width="10" bestFit="1" customWidth="1"/>
    <col min="1741" max="1741" width="12.21875" bestFit="1" customWidth="1"/>
    <col min="1742" max="1742" width="10" bestFit="1" customWidth="1"/>
    <col min="1743" max="1743" width="12.21875" bestFit="1" customWidth="1"/>
    <col min="1744" max="1744" width="9" bestFit="1" customWidth="1"/>
    <col min="1745" max="1745" width="11.21875" bestFit="1" customWidth="1"/>
    <col min="1746" max="1746" width="9" bestFit="1" customWidth="1"/>
    <col min="1747" max="1747" width="8" bestFit="1" customWidth="1"/>
    <col min="1748" max="1748" width="11.21875" bestFit="1" customWidth="1"/>
    <col min="1749" max="1749" width="10" bestFit="1" customWidth="1"/>
    <col min="1750" max="1750" width="12.21875" bestFit="1" customWidth="1"/>
    <col min="1751" max="1751" width="10" bestFit="1" customWidth="1"/>
    <col min="1752" max="1752" width="12.21875" bestFit="1" customWidth="1"/>
    <col min="1753" max="1753" width="10" bestFit="1" customWidth="1"/>
    <col min="1754" max="1754" width="12.21875" bestFit="1" customWidth="1"/>
    <col min="1755" max="1755" width="10" bestFit="1" customWidth="1"/>
    <col min="1756" max="1756" width="12.21875" bestFit="1" customWidth="1"/>
    <col min="1757" max="1757" width="10" bestFit="1" customWidth="1"/>
    <col min="1758" max="1758" width="12.21875" bestFit="1" customWidth="1"/>
    <col min="1759" max="1759" width="10" bestFit="1" customWidth="1"/>
    <col min="1760" max="1760" width="12.21875" bestFit="1" customWidth="1"/>
    <col min="1761" max="1761" width="10" bestFit="1" customWidth="1"/>
    <col min="1762" max="1762" width="12.21875" bestFit="1" customWidth="1"/>
    <col min="1763" max="1763" width="10" bestFit="1" customWidth="1"/>
    <col min="1764" max="1764" width="12.21875" bestFit="1" customWidth="1"/>
    <col min="1765" max="1765" width="10" bestFit="1" customWidth="1"/>
    <col min="1766" max="1766" width="12.21875" bestFit="1" customWidth="1"/>
    <col min="1767" max="1767" width="11" bestFit="1" customWidth="1"/>
    <col min="1768" max="1768" width="13.33203125" bestFit="1" customWidth="1"/>
    <col min="1769" max="1769" width="10" bestFit="1" customWidth="1"/>
    <col min="1770" max="1770" width="12.21875" bestFit="1" customWidth="1"/>
    <col min="1771" max="1771" width="11" bestFit="1" customWidth="1"/>
    <col min="1772" max="1772" width="13.33203125" bestFit="1" customWidth="1"/>
    <col min="1773" max="1773" width="11" bestFit="1" customWidth="1"/>
    <col min="1774" max="1774" width="13.33203125" bestFit="1" customWidth="1"/>
    <col min="1775" max="1775" width="11" bestFit="1" customWidth="1"/>
    <col min="1776" max="1776" width="13.33203125" bestFit="1" customWidth="1"/>
    <col min="1777" max="1777" width="11" bestFit="1" customWidth="1"/>
    <col min="1778" max="1778" width="13.33203125" bestFit="1" customWidth="1"/>
    <col min="1779" max="1779" width="11" bestFit="1" customWidth="1"/>
    <col min="1780" max="1780" width="13.33203125" bestFit="1" customWidth="1"/>
    <col min="1781" max="1781" width="11" bestFit="1" customWidth="1"/>
    <col min="1782" max="1782" width="13.33203125" bestFit="1" customWidth="1"/>
    <col min="1783" max="1783" width="11" bestFit="1" customWidth="1"/>
    <col min="1784" max="1784" width="13.33203125" bestFit="1" customWidth="1"/>
    <col min="1785" max="1785" width="11" bestFit="1" customWidth="1"/>
    <col min="1786" max="1786" width="13.33203125" bestFit="1" customWidth="1"/>
    <col min="1787" max="1787" width="11" bestFit="1" customWidth="1"/>
    <col min="1788" max="1788" width="13.33203125" bestFit="1" customWidth="1"/>
    <col min="1789" max="1789" width="11" bestFit="1" customWidth="1"/>
    <col min="1790" max="1790" width="13.33203125" bestFit="1" customWidth="1"/>
    <col min="1791" max="1791" width="11" bestFit="1" customWidth="1"/>
    <col min="1792" max="1792" width="13.33203125" bestFit="1" customWidth="1"/>
    <col min="1793" max="1793" width="11" bestFit="1" customWidth="1"/>
    <col min="1794" max="1794" width="13.33203125" bestFit="1" customWidth="1"/>
    <col min="1795" max="1795" width="11" bestFit="1" customWidth="1"/>
    <col min="1796" max="1796" width="13.33203125" bestFit="1" customWidth="1"/>
    <col min="1797" max="1797" width="11" bestFit="1" customWidth="1"/>
    <col min="1798" max="1798" width="13.33203125" bestFit="1" customWidth="1"/>
    <col min="1799" max="1799" width="11" bestFit="1" customWidth="1"/>
    <col min="1800" max="1800" width="13.33203125" bestFit="1" customWidth="1"/>
    <col min="1801" max="1801" width="11" bestFit="1" customWidth="1"/>
    <col min="1802" max="1802" width="13.33203125" bestFit="1" customWidth="1"/>
    <col min="1803" max="1803" width="11" bestFit="1" customWidth="1"/>
    <col min="1804" max="1804" width="13.33203125" bestFit="1" customWidth="1"/>
    <col min="1805" max="1805" width="11" bestFit="1" customWidth="1"/>
    <col min="1806" max="1806" width="13.33203125" bestFit="1" customWidth="1"/>
    <col min="1807" max="1807" width="11" bestFit="1" customWidth="1"/>
    <col min="1808" max="1808" width="13.33203125" bestFit="1" customWidth="1"/>
    <col min="1809" max="1809" width="9" bestFit="1" customWidth="1"/>
    <col min="1810" max="1810" width="10.6640625" bestFit="1" customWidth="1"/>
    <col min="1811" max="1811" width="9" bestFit="1" customWidth="1"/>
    <col min="1812" max="1812" width="11.6640625" bestFit="1" customWidth="1"/>
    <col min="1813" max="1813" width="10.77734375" bestFit="1" customWidth="1"/>
  </cols>
  <sheetData>
    <row r="1" spans="1:3">
      <c r="A1" s="4" t="s">
        <v>2807</v>
      </c>
      <c r="B1" t="s">
        <v>2810</v>
      </c>
      <c r="C1" t="s">
        <v>2811</v>
      </c>
    </row>
    <row r="2" spans="1:3">
      <c r="A2" s="5" t="s">
        <v>51</v>
      </c>
      <c r="B2" s="6">
        <v>3128366.6500000004</v>
      </c>
      <c r="C2" s="6">
        <v>920214.45</v>
      </c>
    </row>
    <row r="3" spans="1:3">
      <c r="A3" s="7" t="s">
        <v>168</v>
      </c>
      <c r="B3" s="6">
        <v>686750.93</v>
      </c>
      <c r="C3" s="6">
        <v>198694.22000000003</v>
      </c>
    </row>
    <row r="4" spans="1:3">
      <c r="A4" s="7" t="s">
        <v>76</v>
      </c>
      <c r="B4" s="6">
        <v>972075.33999999985</v>
      </c>
      <c r="C4" s="6">
        <v>282367.33999999997</v>
      </c>
    </row>
    <row r="5" spans="1:3">
      <c r="A5" s="7" t="s">
        <v>67</v>
      </c>
      <c r="B5" s="6">
        <v>789467.08000000007</v>
      </c>
      <c r="C5" s="6">
        <v>228402.52999999997</v>
      </c>
    </row>
    <row r="6" spans="1:3">
      <c r="A6" s="7" t="s">
        <v>52</v>
      </c>
      <c r="B6" s="6">
        <v>680073.3</v>
      </c>
      <c r="C6" s="6">
        <v>210750.36</v>
      </c>
    </row>
    <row r="7" spans="1:3">
      <c r="A7" s="5" t="s">
        <v>38</v>
      </c>
      <c r="B7" s="6">
        <v>2783462.06</v>
      </c>
      <c r="C7" s="6">
        <v>803677.37</v>
      </c>
    </row>
    <row r="8" spans="1:3">
      <c r="A8" s="7" t="s">
        <v>58</v>
      </c>
      <c r="B8" s="6">
        <v>580984.80000000005</v>
      </c>
      <c r="C8" s="6">
        <v>165565.25999999995</v>
      </c>
    </row>
    <row r="9" spans="1:3">
      <c r="A9" s="7" t="s">
        <v>163</v>
      </c>
      <c r="B9" s="6">
        <v>555619.29999999993</v>
      </c>
      <c r="C9" s="6">
        <v>166674.33000000002</v>
      </c>
    </row>
    <row r="10" spans="1:3">
      <c r="A10" s="7" t="s">
        <v>101</v>
      </c>
      <c r="B10" s="6">
        <v>341081.60999999993</v>
      </c>
      <c r="C10" s="6">
        <v>105086.29</v>
      </c>
    </row>
    <row r="11" spans="1:3">
      <c r="A11" s="7" t="s">
        <v>39</v>
      </c>
      <c r="B11" s="6">
        <v>616740.47000000009</v>
      </c>
      <c r="C11" s="6">
        <v>176877.61</v>
      </c>
    </row>
    <row r="12" spans="1:3">
      <c r="A12" s="7" t="s">
        <v>134</v>
      </c>
      <c r="B12" s="6">
        <v>689035.87999999989</v>
      </c>
      <c r="C12" s="6">
        <v>189473.88000000003</v>
      </c>
    </row>
    <row r="13" spans="1:3">
      <c r="A13" s="5" t="s">
        <v>84</v>
      </c>
      <c r="B13" s="6">
        <v>3167761.7599999993</v>
      </c>
      <c r="C13" s="6">
        <v>943327.65</v>
      </c>
    </row>
    <row r="14" spans="1:3">
      <c r="A14" s="7" t="s">
        <v>85</v>
      </c>
      <c r="B14" s="6">
        <v>822281.68999999959</v>
      </c>
      <c r="C14" s="6">
        <v>248081.91000000006</v>
      </c>
    </row>
    <row r="15" spans="1:3">
      <c r="A15" s="7" t="s">
        <v>90</v>
      </c>
      <c r="B15" s="6">
        <v>895289.60000000021</v>
      </c>
      <c r="C15" s="6">
        <v>263451.58</v>
      </c>
    </row>
    <row r="16" spans="1:3">
      <c r="A16" s="7" t="s">
        <v>286</v>
      </c>
      <c r="B16" s="6">
        <v>652672.68999999983</v>
      </c>
      <c r="C16" s="6">
        <v>202694</v>
      </c>
    </row>
    <row r="17" spans="1:3">
      <c r="A17" s="7" t="s">
        <v>181</v>
      </c>
      <c r="B17" s="6">
        <v>797517.77999999991</v>
      </c>
      <c r="C17" s="6">
        <v>229100.15999999995</v>
      </c>
    </row>
    <row r="18" spans="1:3">
      <c r="A18" s="5" t="s">
        <v>2808</v>
      </c>
      <c r="B18" s="6"/>
      <c r="C18" s="6"/>
    </row>
    <row r="19" spans="1:3">
      <c r="A19" s="7" t="s">
        <v>2808</v>
      </c>
      <c r="B19" s="6"/>
      <c r="C19" s="6"/>
    </row>
    <row r="20" spans="1:3">
      <c r="A20" s="5" t="s">
        <v>2809</v>
      </c>
      <c r="B20" s="6">
        <v>9079590.4699999988</v>
      </c>
      <c r="C20" s="6">
        <v>2667219.4700000002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B3FA-24E2-430B-A3C2-41863D8775B7}">
  <dimension ref="A2:B8"/>
  <sheetViews>
    <sheetView workbookViewId="0">
      <selection activeCell="B5" sqref="A2:B8"/>
    </sheetView>
  </sheetViews>
  <sheetFormatPr defaultRowHeight="14.4"/>
  <cols>
    <col min="1" max="1" width="12.77734375" bestFit="1" customWidth="1"/>
    <col min="2" max="2" width="16" bestFit="1" customWidth="1"/>
    <col min="3" max="3" width="12.109375" bestFit="1" customWidth="1"/>
  </cols>
  <sheetData>
    <row r="2" spans="1:2">
      <c r="A2" s="4" t="s">
        <v>2807</v>
      </c>
      <c r="B2" t="s">
        <v>2831</v>
      </c>
    </row>
    <row r="3" spans="1:2">
      <c r="A3" s="5" t="s">
        <v>60</v>
      </c>
      <c r="B3" s="6">
        <v>223</v>
      </c>
    </row>
    <row r="4" spans="1:2">
      <c r="A4" s="5" t="s">
        <v>54</v>
      </c>
      <c r="B4" s="6">
        <v>204</v>
      </c>
    </row>
    <row r="5" spans="1:2">
      <c r="A5" s="5" t="s">
        <v>41</v>
      </c>
      <c r="B5" s="6">
        <v>222</v>
      </c>
    </row>
    <row r="6" spans="1:2">
      <c r="A6" s="5" t="s">
        <v>69</v>
      </c>
      <c r="B6" s="6">
        <v>242</v>
      </c>
    </row>
    <row r="7" spans="1:2">
      <c r="A7" s="5" t="s">
        <v>215</v>
      </c>
      <c r="B7" s="6">
        <v>21</v>
      </c>
    </row>
    <row r="8" spans="1:2">
      <c r="A8" s="5" t="s">
        <v>2809</v>
      </c>
      <c r="B8" s="6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B0E8-6EF8-4745-BD19-6BA4CF0C65E0}">
  <dimension ref="A1:B7"/>
  <sheetViews>
    <sheetView workbookViewId="0">
      <selection activeCell="B5" sqref="A1:B7"/>
    </sheetView>
  </sheetViews>
  <sheetFormatPr defaultRowHeight="14.4"/>
  <cols>
    <col min="1" max="1" width="12.6640625" bestFit="1" customWidth="1"/>
    <col min="2" max="2" width="21.88671875" bestFit="1" customWidth="1"/>
  </cols>
  <sheetData>
    <row r="1" spans="1:2">
      <c r="A1" s="4" t="s">
        <v>2807</v>
      </c>
      <c r="B1" t="s">
        <v>2832</v>
      </c>
    </row>
    <row r="2" spans="1:2">
      <c r="A2" s="5" t="s">
        <v>34</v>
      </c>
      <c r="B2" s="6">
        <v>0.2469567190022274</v>
      </c>
    </row>
    <row r="3" spans="1:2">
      <c r="A3" s="5" t="s">
        <v>100</v>
      </c>
      <c r="B3" s="6">
        <v>0.2645802527796251</v>
      </c>
    </row>
    <row r="4" spans="1:2">
      <c r="A4" s="5" t="s">
        <v>105</v>
      </c>
      <c r="B4" s="6">
        <v>0.28616370867610508</v>
      </c>
    </row>
    <row r="5" spans="1:2">
      <c r="A5" s="5" t="s">
        <v>47</v>
      </c>
      <c r="B5" s="6">
        <v>0.2971964651859228</v>
      </c>
    </row>
    <row r="6" spans="1:2">
      <c r="A6" s="5" t="s">
        <v>2808</v>
      </c>
      <c r="B6" s="6">
        <v>0</v>
      </c>
    </row>
    <row r="7" spans="1:2">
      <c r="A7" s="5" t="s">
        <v>2809</v>
      </c>
      <c r="B7" s="6">
        <v>0.26849957321655271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D47F-DDD3-4080-9E8E-9E7F6560B2D0}">
  <dimension ref="A3:B24"/>
  <sheetViews>
    <sheetView workbookViewId="0">
      <selection activeCell="B21" sqref="A3:B24"/>
    </sheetView>
  </sheetViews>
  <sheetFormatPr defaultRowHeight="14.4"/>
  <cols>
    <col min="1" max="1" width="12.77734375" bestFit="1" customWidth="1"/>
    <col min="2" max="2" width="22.6640625" bestFit="1" customWidth="1"/>
    <col min="3" max="3" width="28.5546875" bestFit="1" customWidth="1"/>
  </cols>
  <sheetData>
    <row r="3" spans="1:2">
      <c r="A3" s="4" t="s">
        <v>2807</v>
      </c>
      <c r="B3" t="s">
        <v>2833</v>
      </c>
    </row>
    <row r="4" spans="1:2">
      <c r="A4" s="5" t="s">
        <v>48</v>
      </c>
      <c r="B4" s="6">
        <v>55</v>
      </c>
    </row>
    <row r="5" spans="1:2">
      <c r="A5" s="7" t="s">
        <v>165</v>
      </c>
      <c r="B5" s="6">
        <v>13</v>
      </c>
    </row>
    <row r="6" spans="1:2">
      <c r="A6" s="7" t="s">
        <v>121</v>
      </c>
      <c r="B6" s="6">
        <v>28</v>
      </c>
    </row>
    <row r="7" spans="1:2">
      <c r="A7" s="7" t="s">
        <v>112</v>
      </c>
      <c r="B7" s="6">
        <v>14</v>
      </c>
    </row>
    <row r="8" spans="1:2">
      <c r="A8" s="5" t="s">
        <v>35</v>
      </c>
      <c r="B8" s="6">
        <v>63</v>
      </c>
    </row>
    <row r="9" spans="1:2">
      <c r="A9" s="7" t="s">
        <v>165</v>
      </c>
      <c r="B9" s="6">
        <v>20</v>
      </c>
    </row>
    <row r="10" spans="1:2">
      <c r="A10" s="7" t="s">
        <v>121</v>
      </c>
      <c r="B10" s="6">
        <v>23</v>
      </c>
    </row>
    <row r="11" spans="1:2">
      <c r="A11" s="7" t="s">
        <v>112</v>
      </c>
      <c r="B11" s="6">
        <v>20</v>
      </c>
    </row>
    <row r="12" spans="1:2">
      <c r="A12" s="5" t="s">
        <v>64</v>
      </c>
      <c r="B12" s="6">
        <v>51</v>
      </c>
    </row>
    <row r="13" spans="1:2">
      <c r="A13" s="7" t="s">
        <v>165</v>
      </c>
      <c r="B13" s="6">
        <v>20</v>
      </c>
    </row>
    <row r="14" spans="1:2">
      <c r="A14" s="7" t="s">
        <v>121</v>
      </c>
      <c r="B14" s="6">
        <v>11</v>
      </c>
    </row>
    <row r="15" spans="1:2">
      <c r="A15" s="7" t="s">
        <v>112</v>
      </c>
      <c r="B15" s="6">
        <v>20</v>
      </c>
    </row>
    <row r="16" spans="1:2">
      <c r="A16" s="5" t="s">
        <v>215</v>
      </c>
      <c r="B16" s="6">
        <v>6</v>
      </c>
    </row>
    <row r="17" spans="1:2">
      <c r="A17" s="7" t="s">
        <v>165</v>
      </c>
      <c r="B17" s="6">
        <v>2</v>
      </c>
    </row>
    <row r="18" spans="1:2">
      <c r="A18" s="7" t="s">
        <v>121</v>
      </c>
      <c r="B18" s="6">
        <v>1</v>
      </c>
    </row>
    <row r="19" spans="1:2">
      <c r="A19" s="7" t="s">
        <v>112</v>
      </c>
      <c r="B19" s="6">
        <v>3</v>
      </c>
    </row>
    <row r="20" spans="1:2">
      <c r="A20" s="5" t="s">
        <v>73</v>
      </c>
      <c r="B20" s="6">
        <v>51</v>
      </c>
    </row>
    <row r="21" spans="1:2">
      <c r="A21" s="7" t="s">
        <v>165</v>
      </c>
      <c r="B21" s="6">
        <v>14</v>
      </c>
    </row>
    <row r="22" spans="1:2">
      <c r="A22" s="7" t="s">
        <v>121</v>
      </c>
      <c r="B22" s="6">
        <v>23</v>
      </c>
    </row>
    <row r="23" spans="1:2">
      <c r="A23" s="7" t="s">
        <v>112</v>
      </c>
      <c r="B23" s="6">
        <v>14</v>
      </c>
    </row>
    <row r="24" spans="1:2">
      <c r="A24" s="5" t="s">
        <v>2809</v>
      </c>
      <c r="B24" s="6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EDEB-AB08-46BB-B57E-55B0285DD2F6}">
  <dimension ref="A1:B14"/>
  <sheetViews>
    <sheetView tabSelected="1" workbookViewId="0">
      <selection activeCell="I19" sqref="I19"/>
    </sheetView>
  </sheetViews>
  <sheetFormatPr defaultRowHeight="14.4"/>
  <cols>
    <col min="1" max="1" width="12.5546875" bestFit="1" customWidth="1"/>
    <col min="2" max="2" width="13.21875" customWidth="1"/>
  </cols>
  <sheetData>
    <row r="1" spans="1:2">
      <c r="A1" s="4" t="s">
        <v>2807</v>
      </c>
      <c r="B1" t="s">
        <v>2810</v>
      </c>
    </row>
    <row r="2" spans="1:2">
      <c r="A2" s="5" t="s">
        <v>2826</v>
      </c>
      <c r="B2" s="6">
        <v>709197.71</v>
      </c>
    </row>
    <row r="3" spans="1:2">
      <c r="A3" s="5" t="s">
        <v>2815</v>
      </c>
      <c r="B3" s="6">
        <v>1156626.3499999994</v>
      </c>
    </row>
    <row r="4" spans="1:2">
      <c r="A4" s="5" t="s">
        <v>2828</v>
      </c>
      <c r="B4" s="6">
        <v>836648.79999999993</v>
      </c>
    </row>
    <row r="5" spans="1:2">
      <c r="A5" s="5" t="s">
        <v>2825</v>
      </c>
      <c r="B5" s="6">
        <v>790339.21</v>
      </c>
    </row>
    <row r="6" spans="1:2">
      <c r="A6" s="5" t="s">
        <v>2821</v>
      </c>
      <c r="B6" s="6">
        <v>786151.80999999994</v>
      </c>
    </row>
    <row r="7" spans="1:2">
      <c r="A7" s="5" t="s">
        <v>2820</v>
      </c>
      <c r="B7" s="6">
        <v>852453.08999999985</v>
      </c>
    </row>
    <row r="8" spans="1:2">
      <c r="A8" s="5" t="s">
        <v>2829</v>
      </c>
      <c r="B8" s="6">
        <v>828370.42999999993</v>
      </c>
    </row>
    <row r="9" spans="1:2">
      <c r="A9" s="5" t="s">
        <v>2813</v>
      </c>
      <c r="B9" s="6">
        <v>907785.79000000027</v>
      </c>
    </row>
    <row r="10" spans="1:2">
      <c r="A10" s="5" t="s">
        <v>2822</v>
      </c>
      <c r="B10" s="6">
        <v>834417.54</v>
      </c>
    </row>
    <row r="11" spans="1:2">
      <c r="A11" s="5" t="s">
        <v>2823</v>
      </c>
      <c r="B11" s="6">
        <v>676298.98000000021</v>
      </c>
    </row>
    <row r="12" spans="1:2">
      <c r="A12" s="5" t="s">
        <v>2817</v>
      </c>
      <c r="B12" s="6">
        <v>320640.38000000012</v>
      </c>
    </row>
    <row r="13" spans="1:2">
      <c r="A13" s="5" t="s">
        <v>2816</v>
      </c>
      <c r="B13" s="6">
        <v>380660.38000000006</v>
      </c>
    </row>
    <row r="14" spans="1:2">
      <c r="A14" s="5" t="s">
        <v>2809</v>
      </c>
      <c r="B14" s="6">
        <v>9079590.4700000007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Sales and profit by region</vt:lpstr>
      <vt:lpstr>Sheet1</vt:lpstr>
      <vt:lpstr>Sales and profit by category an</vt:lpstr>
      <vt:lpstr>Order count by ship mode</vt:lpstr>
      <vt:lpstr>Profit margin by customer segme</vt:lpstr>
      <vt:lpstr>Refunded cancelled failed order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KALBANDE</dc:creator>
  <cp:lastModifiedBy>DHIRAJ KALBANDE</cp:lastModifiedBy>
  <dcterms:created xsi:type="dcterms:W3CDTF">2026-06-21T05:43:51Z</dcterms:created>
  <dcterms:modified xsi:type="dcterms:W3CDTF">2026-06-21T05:59:39Z</dcterms:modified>
</cp:coreProperties>
</file>